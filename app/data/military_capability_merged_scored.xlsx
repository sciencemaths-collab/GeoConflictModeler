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91fafa618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0f8e90c7484221"/>
    <x:sheet xmlns:r="http://schemas.openxmlformats.org/officeDocument/2006/relationships" name="Scores_Snapshot" sheetId="2" r:id="R3ae8c975cc4c4abf"/>
    <x:sheet xmlns:r="http://schemas.openxmlformats.org/officeDocument/2006/relationships" name="Weights" sheetId="3" r:id="Rf9c0289b5aea472d"/>
    <x:sheet xmlns:r="http://schemas.openxmlformats.org/officeDocument/2006/relationships" name="DATA_Master" sheetId="4" r:id="Rddfcb1ad136e460d"/>
    <x:sheet xmlns:r="http://schemas.openxmlformats.org/officeDocument/2006/relationships" name="Sources" sheetId="5" r:id="R42e2acceb5b54e9b"/>
    <x:sheet xmlns:r="http://schemas.openxmlformats.org/officeDocument/2006/relationships" name="Name_Mapping" sheetId="6" r:id="Rb75ecea28d1f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"/>
    <x:numFmt numFmtId="165" formatCode="0.0%"/>
    <x:numFmt numFmtId="166" formatCode="0.0"/>
    <x:numFmt numFmtId="167" formatCode="0.0&quot;%&quot;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2" fontId="0" fillId="0" borderId="0" xfId="0"/>
    <x:xf numFmtId="164" fontId="0" fillId="0" borderId="0" xfId="0"/>
    <x:xf numFmtId="165" fontId="0" fillId="0" borderId="0" xfId="0"/>
    <x:xf numFmtId="166" fontId="0" fillId="0" borderId="0" xfId="0"/>
    <x:xf numFmtId="1" fontId="0" fillId="0" borderId="0" xfId="0"/>
    <x:xf numFmtId="164" fontId="0" fillId="0" borderId="0" xfId="0"/>
    <x:xf numFmtId="167" fontId="0" fillId="0" borderId="0" xfId="0"/>
    <x:xf numFmtId="166" fontId="0" fillId="0" borderId="0" xfId="0"/>
    <x:xf numFmtId="3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f0c5c145c4184" /><Relationship Type="http://schemas.openxmlformats.org/officeDocument/2006/relationships/theme" Target="/xl/theme/theme1.xml" Id="R161a960ccbc041c2" /><Relationship Type="http://schemas.openxmlformats.org/officeDocument/2006/relationships/sharedStrings" Target="/xl/sharedStrings.xml" Id="R35fa57a8c05a4c23" /><Relationship Type="http://schemas.openxmlformats.org/officeDocument/2006/relationships/worksheet" Target="/xl/worksheets/sheet1.xml" Id="R900f8e90c7484221" /><Relationship Type="http://schemas.openxmlformats.org/officeDocument/2006/relationships/worksheet" Target="/xl/worksheets/sheet2.xml" Id="R3ae8c975cc4c4abf" /><Relationship Type="http://schemas.openxmlformats.org/officeDocument/2006/relationships/worksheet" Target="/xl/worksheets/sheet3.xml" Id="Rf9c0289b5aea472d" /><Relationship Type="http://schemas.openxmlformats.org/officeDocument/2006/relationships/worksheet" Target="/xl/worksheets/sheet4.xml" Id="Rddfcb1ad136e460d" /><Relationship Type="http://schemas.openxmlformats.org/officeDocument/2006/relationships/worksheet" Target="/xl/worksheets/sheet5.xml" Id="R42e2acceb5b54e9b" /><Relationship Type="http://schemas.openxmlformats.org/officeDocument/2006/relationships/worksheet" Target="/xl/worksheets/sheet6.xml" Id="Rb75ecea28d1f44e5" /></Relationships>
</file>

<file path=xl/tables/table1.xml><?xml version="1.0" encoding="utf-8"?>
<x:table xmlns:x="http://schemas.openxmlformats.org/spreadsheetml/2006/main" id="1" name="MasterTable" displayName="MasterTable" ref="A1:CG252" headerRowCount="1">
  <x:autoFilter ref="A1:CG252"/>
  <x:tableColumns count="85">
    <x:tableColumn id="1" name="ISO3"/>
    <x:tableColumn id="2" name="Country_Display"/>
    <x:tableColumn id="3" name="Region"/>
    <x:tableColumn id="4" name="Income group"/>
    <x:tableColumn id="5" name="Continent"/>
    <x:tableColumn id="6" name="Population year"/>
    <x:tableColumn id="7" name="Population (people)"/>
    <x:tableColumn id="8" name="Armed forces personnel year"/>
    <x:tableColumn id="9" name="Armed forces personnel (total)"/>
    <x:tableColumn id="10" name="Land personnel (est)"/>
    <x:tableColumn id="11" name="Air Force personnel (est)"/>
    <x:tableColumn id="12" name="Navy personnel (est)"/>
    <x:tableColumn id="13" name="Military expenditure year"/>
    <x:tableColumn id="14" name="Military expenditure (current US$)"/>
    <x:tableColumn id="15" name="Military expenditure (% GDP)"/>
    <x:tableColumn id="16" name="Military spend per personnel (US$)"/>
    <x:tableColumn id="17" name="GDP year"/>
    <x:tableColumn id="18" name="GDP (current US$)"/>
    <x:tableColumn id="19" name="Active satellites (UCS)"/>
    <x:tableColumn id="20" name="Military satellites (UCS)"/>
    <x:tableColumn id="21" name="Nuclear weapons status (FAS)"/>
    <x:tableColumn id="22" name="Estimated warheads (total inventory)"/>
    <x:tableColumn id="23" name="Nuclear test history"/>
    <x:tableColumn id="24" name="terrain_score_0_100"/>
    <x:tableColumn id="25" name="transport_score_0_100"/>
    <x:tableColumn id="26" name="area_km2"/>
    <x:tableColumn id="27" name="pop_density_per_km2"/>
    <x:tableColumn id="28" name="gdp_per_cap_usd"/>
    <x:tableColumn id="29" name="Total_Naval_Assets_2024"/>
    <x:tableColumn id="30" name="Aircraft_Carriers_2025"/>
    <x:tableColumn id="31" name="Helicopter_Carriers_2025"/>
    <x:tableColumn id="32" name="TvR"/>
    <x:tableColumn id="33" name="Units_Tracked"/>
    <x:tableColumn id="34" name="WDMMW_Rank_2026"/>
    <x:tableColumn id="35" name="CP score"/>
    <x:tableColumn id="36" name="EC score"/>
    <x:tableColumn id="37" name="MC score"/>
    <x:tableColumn id="38" name="RE score"/>
    <x:tableColumn id="39" name="FR score"/>
    <x:tableColumn id="40" name="ER score"/>
    <x:tableColumn id="41" name="DN score"/>
    <x:tableColumn id="42" name="DI score"/>
    <x:tableColumn id="43" name="CI score"/>
    <x:tableColumn id="44" name="log_pop"/>
    <x:tableColumn id="45" name="pop_norm"/>
    <x:tableColumn id="46" name="log_gdp"/>
    <x:tableColumn id="47" name="gdp_norm"/>
    <x:tableColumn id="48" name="log_milexp"/>
    <x:tableColumn id="49" name="milexp_norm"/>
    <x:tableColumn id="50" name="log_personnel"/>
    <x:tableColumn id="51" name="personnel_norm"/>
    <x:tableColumn id="52" name="log_landpers"/>
    <x:tableColumn id="53" name="landpers_norm"/>
    <x:tableColumn id="54" name="log_airpers"/>
    <x:tableColumn id="55" name="airpers_norm"/>
    <x:tableColumn id="56" name="log_navypers"/>
    <x:tableColumn id="57" name="navypers_norm"/>
    <x:tableColumn id="58" name="spendperpers_norm"/>
    <x:tableColumn id="59" name="log_tvr"/>
    <x:tableColumn id="60" name="tvr_norm"/>
    <x:tableColumn id="61" name="log_navalassets"/>
    <x:tableColumn id="62" name="navalassets_norm"/>
    <x:tableColumn id="63" name="carrier_points"/>
    <x:tableColumn id="64" name="carrier_norm"/>
    <x:tableColumn id="65" name="gdp_pc_norm"/>
    <x:tableColumn id="66" name="terrain_defense"/>
    <x:tableColumn id="67" name="terrain_ease"/>
    <x:tableColumn id="68" name="naval_score"/>
    <x:tableColumn id="69" name="land_score"/>
    <x:tableColumn id="70" name="air_score"/>
    <x:tableColumn id="71" name="logistics_score"/>
    <x:tableColumn id="72" name="population_score"/>
    <x:tableColumn id="73" name="economy_score"/>
    <x:tableColumn id="74" name="nuclear_score"/>
    <x:tableColumn id="75" name="diplomacy_score"/>
    <x:tableColumn id="76" name="networks_score"/>
    <x:tableColumn id="77" name="resilience_score"/>
    <x:tableColumn id="78" name="future_resources_score"/>
    <x:tableColumn id="79" name="milcap_score"/>
    <x:tableColumn id="80" name="offense_index"/>
    <x:tableColumn id="81" name="defense_index"/>
    <x:tableColumn id="82" name="overall_index"/>
    <x:tableColumn id="83" name="data_confidence"/>
    <x:tableColumn id="84" name="log_warheads"/>
    <x:tableColumn id="85" name="warheads_norm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9eae616c9ff49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t="inlineStr">
        <x:is>
          <x:t xml:space="preserve">Military Capability (Merged + Scored)</x:t>
        </x:is>
      </x:c>
    </x:row>
    <x:row r="3">
      <x:c r="A3" t="inlineStr">
        <x:is>
          <x:t xml:space="preserve">This workbook merges four uploaded datasets:</x:t>
        </x:is>
      </x:c>
    </x:row>
    <x:row r="4">
      <x:c r="A4" t="inlineStr">
        <x:is>
          <x:t xml:space="preserve">1) global_military_capability_dataset.xlsx (base demographics/economy/spend/personnel)</x:t>
        </x:is>
      </x:c>
    </x:row>
    <x:row r="5">
      <x:c r="A5" t="inlineStr">
        <x:is>
          <x:t xml:space="preserve">2) naval_by_country.xlsx (naval assets + WDMMW TvR ranking)</x:t>
        </x:is>
      </x:c>
    </x:row>
    <x:row r="6">
      <x:c r="A6" t="inlineStr">
        <x:is>
          <x:t xml:space="preserve">3) asia_power_index_2025_measures_plus_comprehensive_power.xlsx (Lowy Asia Power Index measures for 27 entities)</x:t>
        </x:is>
      </x:c>
    </x:row>
    <x:row r="7">
      <x:c r="A7" t="inlineStr">
        <x:is>
          <x:t xml:space="preserve">4) country_land_terrain_transport.xlsx (terrain + transport proxy scores from Natural Earth)</x:t>
        </x:is>
      </x:c>
    </x:row>
    <x:row r="9">
      <x:c r="A9" t="inlineStr">
        <x:is>
          <x:t xml:space="preserve">Key outputs (DATA_Master):</x:t>
        </x:is>
      </x:c>
    </x:row>
    <x:row r="10">
      <x:c r="A10" t="inlineStr">
        <x:is>
          <x:t xml:space="preserve">- Sub-scores (0–100): Naval, Land, Air, Logistics, Terrain (defense advantage), Population, Economy, Nuclear</x:t>
        </x:is>
      </x:c>
    </x:row>
    <x:row r="11">
      <x:c r="A11" t="inlineStr">
        <x:is>
          <x:t xml:space="preserve">- Composite indices (0–100): Offense_Index, Defense_Index, Overall_Index</x:t>
        </x:is>
      </x:c>
    </x:row>
    <x:row r="12">
      <x:c r="A12" t="inlineStr">
        <x:is>
          <x:t xml:space="preserve">- Data_Confidence (0–100): how many core components were available for that country/territory</x:t>
        </x:is>
      </x:c>
    </x:row>
    <x:row r="14">
      <x:c r="A14" t="inlineStr">
        <x:is>
          <x:t xml:space="preserve">Important caveats:</x:t>
        </x:is>
      </x:c>
    </x:row>
    <x:row r="15">
      <x:c r="A15" t="inlineStr">
        <x:is>
          <x:t xml:space="preserve">- Some aspects are proxies (e.g., Air score uses spending + personnel + spend-per-personnel; no aircraft inventory is included).</x:t>
        </x:is>
      </x:c>
    </x:row>
    <x:row r="16">
      <x:c r="A16" t="inlineStr">
        <x:is>
          <x:t xml:space="preserve">- Lowy scores only exist for 27 Indo-Pacific entities; blanks elsewhere are handled by re-weighting.</x:t>
        </x:is>
      </x:c>
    </x:row>
    <x:row r="17">
      <x:c r="A17" t="inlineStr">
        <x:is>
          <x:t xml:space="preserve">- Terrain score here is a shape/fragmentation proxy (not elevation ruggedness).</x:t>
        </x:is>
      </x:c>
    </x:row>
    <x:row r="18">
      <x:c r="A18" t="inlineStr">
        <x:is>
          <x:t xml:space="preserve">- If you change weights, scores update automatically (formulas).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8" customWidth="1"/>
    <x:col min="3" max="3" width="18" customWidth="1"/>
    <x:col min="4" max="4" width="18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</x:cols>
  <x:sheetData>
    <x:row r="1">
      <x:c r="A1" s="1" t="inlineStr">
        <x:is>
          <x:t xml:space="preserve">ISO3</x:t>
        </x:is>
      </x:c>
      <x:c r="B1" s="1" t="inlineStr">
        <x:is>
          <x:t xml:space="preserve">Country</x:t>
        </x:is>
      </x:c>
      <x:c r="C1" s="1" t="inlineStr">
        <x:is>
          <x:t xml:space="preserve">Region</x:t>
        </x:is>
      </x:c>
      <x:c r="D1" s="1" t="inlineStr">
        <x:is>
          <x:t xml:space="preserve">Continent</x:t>
        </x:is>
      </x:c>
      <x:c r="E1" s="1" t="inlineStr">
        <x:is>
          <x:t xml:space="preserve">Population</x:t>
        </x:is>
      </x:c>
      <x:c r="F1" s="1" t="inlineStr">
        <x:is>
          <x:t xml:space="preserve">GDP_USD</x:t>
        </x:is>
      </x:c>
      <x:c r="G1" s="1" t="inlineStr">
        <x:is>
          <x:t xml:space="preserve">MilExp_USD</x:t>
        </x:is>
      </x:c>
      <x:c r="H1" s="1" t="inlineStr">
        <x:is>
          <x:t xml:space="preserve">Naval_Assets</x:t>
        </x:is>
      </x:c>
      <x:c r="I1" s="1" t="inlineStr">
        <x:is>
          <x:t xml:space="preserve">Naval_TvR</x:t>
        </x:is>
      </x:c>
      <x:c r="J1" s="1" t="inlineStr">
        <x:is>
          <x:t xml:space="preserve">Terrain_Score</x:t>
        </x:is>
      </x:c>
      <x:c r="K1" s="1" t="inlineStr">
        <x:is>
          <x:t xml:space="preserve">Transport_Score</x:t>
        </x:is>
      </x:c>
      <x:c r="L1" s="1" t="inlineStr">
        <x:is>
          <x:t xml:space="preserve">Naval_Score</x:t>
        </x:is>
      </x:c>
      <x:c r="M1" s="1" t="inlineStr">
        <x:is>
          <x:t xml:space="preserve">Land_Score</x:t>
        </x:is>
      </x:c>
      <x:c r="N1" s="1" t="inlineStr">
        <x:is>
          <x:t xml:space="preserve">Air_Score</x:t>
        </x:is>
      </x:c>
      <x:c r="O1" s="1" t="inlineStr">
        <x:is>
          <x:t xml:space="preserve">Logistics_Score</x:t>
        </x:is>
      </x:c>
      <x:c r="P1" s="1" t="inlineStr">
        <x:is>
          <x:t xml:space="preserve">Economy_Score</x:t>
        </x:is>
      </x:c>
      <x:c r="Q1" s="1" t="inlineStr">
        <x:is>
          <x:t xml:space="preserve">Population_Score</x:t>
        </x:is>
      </x:c>
      <x:c r="R1" s="1" t="inlineStr">
        <x:is>
          <x:t xml:space="preserve">Nuclear_Score</x:t>
        </x:is>
      </x:c>
      <x:c r="S1" s="1" t="inlineStr">
        <x:is>
          <x:t xml:space="preserve">Offense_Index</x:t>
        </x:is>
      </x:c>
      <x:c r="T1" s="1" t="inlineStr">
        <x:is>
          <x:t xml:space="preserve">Defense_Index</x:t>
        </x:is>
      </x:c>
      <x:c r="U1" s="1" t="inlineStr">
        <x:is>
          <x:t xml:space="preserve">Overall_Index</x:t>
        </x:is>
      </x:c>
      <x:c r="V1" s="1" t="inlineStr">
        <x:is>
          <x:t xml:space="preserve">Data_Confidence</x:t>
        </x:is>
      </x:c>
      <x:c r="W1" s="1" t="inlineStr">
        <x:is>
          <x:t xml:space="preserve">Offense_Rank</x:t>
        </x:is>
      </x:c>
      <x:c r="X1" s="1" t="inlineStr">
        <x:is>
          <x:t xml:space="preserve">Defense_Rank</x:t>
        </x:is>
      </x:c>
      <x:c r="Y1" s="1" t="inlineStr">
        <x:is>
          <x:t xml:space="preserve">Overall_Rank</x:t>
        </x:is>
      </x:c>
    </x:row>
    <x:row r="2">
      <x:c r="A2" t="inlineStr">
        <x:is>
          <x:t xml:space="preserve">ASM</x:t>
        </x:is>
      </x:c>
      <x:c r="B2" t="inlineStr">
        <x:is>
          <x:t xml:space="preserve">American Samoa</x:t>
        </x:is>
      </x:c>
      <x:c r="C2" t="inlineStr">
        <x:is>
          <x:t xml:space="preserve">East Asia &amp; Pacific</x:t>
        </x:is>
      </x:c>
      <x:c r="E2" s="11" t="n">
        <x:v>46765</x:v>
      </x:c>
      <x:c r="F2" s="8" t="n">
        <x:v>871000000</x:v>
      </x:c>
      <x:c r="G2" s="8" t="n"/>
      <x:c r="H2" s="11" t="n"/>
      <x:c r="I2" s="10" t="n"/>
      <x:c r="J2" s="10" t="n"/>
      <x:c r="K2" s="10" t="n"/>
      <x:c r="L2" s="10" t="n">
        <x:v>0</x:v>
      </x:c>
      <x:c r="M2" s="10" t="n">
        <x:v>20.2261014917001</x:v>
      </x:c>
      <x:c r="N2" s="10" t="n"/>
      <x:c r="O2" s="10" t="n"/>
      <x:c r="P2" s="10" t="n">
        <x:v>20.2261014917001</x:v>
      </x:c>
      <x:c r="Q2" s="10" t="n">
        <x:v>13.24133784339857</x:v>
      </x:c>
      <x:c r="R2" s="10" t="n">
        <x:v>0</x:v>
      </x:c>
      <x:c r="S2" s="10" t="n">
        <x:v>11.48744257329802</x:v>
      </x:c>
      <x:c r="T2" s="10" t="n">
        <x:v>14.96118220950428</x:v>
      </x:c>
      <x:c r="U2" s="10" t="n">
        <x:v>13.22431239140115</x:v>
      </x:c>
      <x:c r="V2" s="10" t="n">
        <x:v>50</x:v>
      </x:c>
      <x:c r="W2" s="7" t="n">
        <x:v>209</x:v>
      </x:c>
      <x:c r="X2" s="7" t="n">
        <x:v>210</x:v>
      </x:c>
      <x:c r="Y2" s="7" t="n">
        <x:v>209</x:v>
      </x:c>
    </x:row>
    <x:row r="3">
      <x:c r="A3" t="inlineStr">
        <x:is>
          <x:t xml:space="preserve">AIA</x:t>
        </x:is>
      </x:c>
      <x:c r="B3" t="inlineStr">
        <x:is>
          <x:t xml:space="preserve">Anguilla</x:t>
        </x:is>
      </x:c>
      <x:c r="E3" s="11" t="n"/>
      <x:c r="F3" s="8" t="n"/>
      <x:c r="G3" s="8" t="n"/>
      <x:c r="H3" s="11" t="n"/>
      <x:c r="I3" s="10" t="n"/>
      <x:c r="J3" s="10" t="n"/>
      <x:c r="K3" s="10" t="n"/>
      <x:c r="L3" s="10" t="n">
        <x:v>0</x:v>
      </x:c>
      <x:c r="M3" s="10" t="n"/>
      <x:c r="N3" s="10" t="n"/>
      <x:c r="O3" s="10" t="n"/>
      <x:c r="P3" s="10" t="n"/>
      <x:c r="Q3" s="10" t="n"/>
      <x:c r="R3" s="10" t="n">
        <x:v>0</x:v>
      </x:c>
      <x:c r="S3" s="10" t="n">
        <x:v>0</x:v>
      </x:c>
      <x:c r="T3" s="10" t="n">
        <x:v>0</x:v>
      </x:c>
      <x:c r="U3" s="10" t="n">
        <x:v>0</x:v>
      </x:c>
      <x:c r="V3" s="10" t="n">
        <x:v>12</x:v>
      </x:c>
      <x:c r="W3" s="7" t="n">
        <x:v>222</x:v>
      </x:c>
      <x:c r="X3" s="7" t="n">
        <x:v>222</x:v>
      </x:c>
      <x:c r="Y3" s="7" t="n">
        <x:v>222</x:v>
      </x:c>
    </x:row>
    <x:row r="4">
      <x:c r="A4" t="inlineStr">
        <x:is>
          <x:t xml:space="preserve">ATA</x:t>
        </x:is>
      </x:c>
      <x:c r="B4" t="inlineStr">
        <x:is>
          <x:t xml:space="preserve">Antarctica</x:t>
        </x:is>
      </x:c>
      <x:c r="D4" t="inlineStr">
        <x:is>
          <x:t xml:space="preserve">Antarctica</x:t>
        </x:is>
      </x:c>
      <x:c r="E4" s="11" t="n"/>
      <x:c r="F4" s="8" t="n"/>
      <x:c r="G4" s="8" t="n"/>
      <x:c r="H4" s="11" t="n"/>
      <x:c r="I4" s="10" t="n"/>
      <x:c r="J4" s="10" t="n">
        <x:v>56.22087838953465</x:v>
      </x:c>
      <x:c r="K4" s="10" t="n">
        <x:v>71.34249770794442</x:v>
      </x:c>
      <x:c r="L4" s="10" t="n">
        <x:v>0</x:v>
      </x:c>
      <x:c r="M4" s="10" t="n"/>
      <x:c r="N4" s="10" t="n"/>
      <x:c r="O4" s="10" t="n">
        <x:v>71.34249770794442</x:v>
      </x:c>
      <x:c r="P4" s="10" t="n">
        <x:v>100</x:v>
      </x:c>
      <x:c r="Q4" s="10" t="n"/>
      <x:c r="R4" s="10" t="n">
        <x:v>0</x:v>
      </x:c>
      <x:c r="S4" s="10" t="n">
        <x:v>46.60264665485236</x:v>
      </x:c>
      <x:c r="T4" s="10" t="n">
        <x:v>58.26901282924371</x:v>
      </x:c>
      <x:c r="U4" s="10" t="n">
        <x:v>52.43582974204804</x:v>
      </x:c>
      <x:c r="V4" s="10" t="n">
        <x:v>50</x:v>
      </x:c>
      <x:c r="W4" s="7" t="n">
        <x:v>87</x:v>
      </x:c>
      <x:c r="X4" s="7" t="n">
        <x:v>19</x:v>
      </x:c>
      <x:c r="Y4" s="7" t="n">
        <x:v>47</x:v>
      </x:c>
    </x:row>
    <x:row r="5">
      <x:c r="A5" t="inlineStr">
        <x:is>
          <x:t xml:space="preserve">ATG</x:t>
        </x:is>
      </x:c>
      <x:c r="B5" t="inlineStr">
        <x:is>
          <x:t xml:space="preserve">Antigua and Barbuda</x:t>
        </x:is>
      </x:c>
      <x:c r="C5" t="inlineStr">
        <x:is>
          <x:t xml:space="preserve">Latin America &amp; Caribbean</x:t>
        </x:is>
      </x:c>
      <x:c r="E5" s="11" t="n">
        <x:v>93772</x:v>
      </x:c>
      <x:c r="F5" s="8" t="n">
        <x:v>2207622874.07407</x:v>
      </x:c>
      <x:c r="G5" s="8" t="n"/>
      <x:c r="H5" s="11" t="n"/>
      <x:c r="I5" s="10" t="n"/>
      <x:c r="J5" s="10" t="n"/>
      <x:c r="K5" s="10" t="n"/>
      <x:c r="L5" s="10" t="n">
        <x:v>0</x:v>
      </x:c>
      <x:c r="M5" s="10" t="n">
        <x:v>5.862180760872261</x:v>
      </x:c>
      <x:c r="N5" s="10" t="n">
        <x:v>0</x:v>
      </x:c>
      <x:c r="O5" s="10" t="n"/>
      <x:c r="P5" s="10" t="n">
        <x:v>27.35684355073722</x:v>
      </x:c>
      <x:c r="Q5" s="10" t="n">
        <x:v>19.0773944310514</x:v>
      </x:c>
      <x:c r="R5" s="10" t="n">
        <x:v>0</x:v>
      </x:c>
      <x:c r="S5" s="10" t="n">
        <x:v>7.711942585061226</x:v>
      </x:c>
      <x:c r="T5" s="10" t="n">
        <x:v>11.70790787300255</x:v>
      </x:c>
      <x:c r="U5" s="10" t="n">
        <x:v>9.70992522903189</x:v>
      </x:c>
      <x:c r="V5" s="10" t="n">
        <x:v>62</x:v>
      </x:c>
      <x:c r="W5" s="7" t="n">
        <x:v>215</x:v>
      </x:c>
      <x:c r="X5" s="7" t="n">
        <x:v>216</x:v>
      </x:c>
      <x:c r="Y5" s="7" t="n">
        <x:v>216</x:v>
      </x:c>
    </x:row>
    <x:row r="6">
      <x:c r="A6" t="inlineStr">
        <x:is>
          <x:t xml:space="preserve">EGY</x:t>
        </x:is>
      </x:c>
      <x:c r="B6" t="inlineStr">
        <x:is>
          <x:t xml:space="preserve">Egypt, Arab Rep.</x:t>
        </x:is>
      </x:c>
      <x:c r="C6" t="inlineStr">
        <x:is>
          <x:t xml:space="preserve">Middle East &amp; North Africa</x:t>
        </x:is>
      </x:c>
      <x:c r="D6" t="inlineStr">
        <x:is>
          <x:t xml:space="preserve">Africa</x:t>
        </x:is>
      </x:c>
      <x:c r="E6" s="11" t="n">
        <x:v>116538258</x:v>
      </x:c>
      <x:c r="F6" s="8" t="n">
        <x:v>389059911003.566</x:v>
      </x:c>
      <x:c r="G6" s="8" t="n">
        <x:v>2396211163.82267</x:v>
      </x:c>
      <x:c r="H6" s="11" t="n">
        <x:v>140</x:v>
      </x:c>
      <x:c r="I6" s="10" t="n">
        <x:v>72.40000000000001</x:v>
      </x:c>
      <x:c r="J6" s="10" t="n">
        <x:v>14.7010159711192</x:v>
      </x:c>
      <x:c r="K6" s="10" t="n">
        <x:v>58.17405875829822</x:v>
      </x:c>
      <x:c r="L6" s="10" t="n">
        <x:v>59.78982588325</x:v>
      </x:c>
      <x:c r="M6" s="10" t="n">
        <x:v>83.57299360688057</x:v>
      </x:c>
      <x:c r="N6" s="10" t="n">
        <x:v>66.22423185407442</x:v>
      </x:c>
      <x:c r="O6" s="10" t="n">
        <x:v>58.17405875829822</x:v>
      </x:c>
      <x:c r="P6" s="10" t="n">
        <x:v>42.37576300609376</x:v>
      </x:c>
      <x:c r="Q6" s="10" t="n">
        <x:v>78.84632928683256</x:v>
      </x:c>
      <x:c r="R6" s="10" t="n">
        <x:v>0</x:v>
      </x:c>
      <x:c r="S6" s="10" t="n">
        <x:v>62.7543168315419</x:v>
      </x:c>
      <x:c r="T6" s="10" t="n">
        <x:v>54.9741987478574</x:v>
      </x:c>
      <x:c r="U6" s="10" t="n">
        <x:v>58.86425778969965</x:v>
      </x:c>
      <x:c r="V6" s="10" t="n">
        <x:v>100</x:v>
      </x:c>
      <x:c r="W6" s="7" t="n">
        <x:v>20</x:v>
      </x:c>
      <x:c r="X6" s="7" t="n">
        <x:v>31</x:v>
      </x:c>
      <x:c r="Y6" s="7" t="n">
        <x:v>23</x:v>
      </x:c>
    </x:row>
    <x:row r="7">
      <x:c r="A7" t="inlineStr">
        <x:is>
          <x:t xml:space="preserve">ARG</x:t>
        </x:is>
      </x:c>
      <x:c r="B7" t="inlineStr">
        <x:is>
          <x:t xml:space="preserve">Argentina</x:t>
        </x:is>
      </x:c>
      <x:c r="C7" t="inlineStr">
        <x:is>
          <x:t xml:space="preserve">Latin America &amp; Caribbean</x:t>
        </x:is>
      </x:c>
      <x:c r="D7" t="inlineStr">
        <x:is>
          <x:t xml:space="preserve">South America</x:t>
        </x:is>
      </x:c>
      <x:c r="E7" s="11" t="n">
        <x:v>45696159</x:v>
      </x:c>
      <x:c r="F7" s="8" t="n">
        <x:v>638365455340.04</x:v>
      </x:c>
      <x:c r="G7" s="8" t="n">
        <x:v>4177618452.20522</x:v>
      </x:c>
      <x:c r="H7" s="11" t="n">
        <x:v>41</x:v>
      </x:c>
      <x:c r="I7" s="10" t="n">
        <x:v>19.8</x:v>
      </x:c>
      <x:c r="J7" s="10" t="n">
        <x:v>34.40844413639826</x:v>
      </x:c>
      <x:c r="K7" s="10" t="n">
        <x:v>55.26139434308824</x:v>
      </x:c>
      <x:c r="L7" s="10" t="n">
        <x:v>35.92723107812428</x:v>
      </x:c>
      <x:c r="M7" s="10" t="n">
        <x:v>76.8068793266408</x:v>
      </x:c>
      <x:c r="N7" s="10" t="n">
        <x:v>63.38167187350881</x:v>
      </x:c>
      <x:c r="O7" s="10" t="n">
        <x:v>55.26139434308824</x:v>
      </x:c>
      <x:c r="P7" s="10" t="n">
        <x:v>46.35200211328215</x:v>
      </x:c>
      <x:c r="Q7" s="10" t="n">
        <x:v>70.99296399100211</x:v>
      </x:c>
      <x:c r="R7" s="10" t="n">
        <x:v>0</x:v>
      </x:c>
      <x:c r="S7" s="10" t="n">
        <x:v>55.08287210426455</x:v>
      </x:c>
      <x:c r="T7" s="10" t="n">
        <x:v>55.65551033348626</x:v>
      </x:c>
      <x:c r="U7" s="10" t="n">
        <x:v>55.3691912188754</x:v>
      </x:c>
      <x:c r="V7" s="10" t="n">
        <x:v>100</x:v>
      </x:c>
      <x:c r="W7" s="7" t="n">
        <x:v>44</x:v>
      </x:c>
      <x:c r="X7" s="7" t="n">
        <x:v>28</x:v>
      </x:c>
      <x:c r="Y7" s="7" t="n">
        <x:v>36</x:v>
      </x:c>
    </x:row>
    <x:row r="8">
      <x:c r="A8" t="inlineStr">
        <x:is>
          <x:t xml:space="preserve">ABW</x:t>
        </x:is>
      </x:c>
      <x:c r="B8" t="inlineStr">
        <x:is>
          <x:t xml:space="preserve">Aruba</x:t>
        </x:is>
      </x:c>
      <x:c r="C8" t="inlineStr">
        <x:is>
          <x:t xml:space="preserve">Latin America &amp; Caribbean</x:t>
        </x:is>
      </x:c>
      <x:c r="E8" s="11" t="n">
        <x:v>107995</x:v>
      </x:c>
      <x:c r="F8" s="8" t="n">
        <x:v>4265650673.00236</x:v>
      </x:c>
      <x:c r="G8" s="8" t="n"/>
      <x:c r="H8" s="11" t="n"/>
      <x:c r="I8" s="10" t="n"/>
      <x:c r="J8" s="10" t="n"/>
      <x:c r="K8" s="10" t="n"/>
      <x:c r="L8" s="10" t="n">
        <x:v>0</x:v>
      </x:c>
      <x:c r="M8" s="10" t="n">
        <x:v>32.40707615311245</x:v>
      </x:c>
      <x:c r="N8" s="10" t="n"/>
      <x:c r="O8" s="10" t="n"/>
      <x:c r="P8" s="10" t="n">
        <x:v>32.40707615311245</x:v>
      </x:c>
      <x:c r="Q8" s="10" t="n">
        <x:v>20.26199609964245</x:v>
      </x:c>
      <x:c r="R8" s="10" t="n">
        <x:v>0</x:v>
      </x:c>
      <x:c r="S8" s="10" t="n">
        <x:v>18.26690815960115</x:v>
      </x:c>
      <x:c r="T8" s="10" t="n">
        <x:v>23.75463502221245</x:v>
      </x:c>
      <x:c r="U8" s="10" t="n">
        <x:v>21.0107715909068</x:v>
      </x:c>
      <x:c r="V8" s="10" t="n">
        <x:v>50</x:v>
      </x:c>
      <x:c r="W8" s="7" t="n">
        <x:v>194</x:v>
      </x:c>
      <x:c r="X8" s="7" t="n">
        <x:v>192</x:v>
      </x:c>
      <x:c r="Y8" s="7" t="n">
        <x:v>194</x:v>
      </x:c>
    </x:row>
    <x:row r="9">
      <x:c r="A9" t="inlineStr">
        <x:is>
          <x:t xml:space="preserve">AUS</x:t>
        </x:is>
      </x:c>
      <x:c r="B9" t="inlineStr">
        <x:is>
          <x:t xml:space="preserve">Australia</x:t>
        </x:is>
      </x:c>
      <x:c r="C9" t="inlineStr">
        <x:is>
          <x:t xml:space="preserve">East Asia &amp; Pacific</x:t>
        </x:is>
      </x:c>
      <x:c r="D9" t="inlineStr">
        <x:is>
          <x:t xml:space="preserve">Oceania</x:t>
        </x:is>
      </x:c>
      <x:c r="E9" s="11" t="n">
        <x:v>27196812</x:v>
      </x:c>
      <x:c r="F9" s="8" t="n">
        <x:v>1757022451652.83</x:v>
      </x:c>
      <x:c r="G9" s="8" t="n">
        <x:v>33819572368.4211</x:v>
      </x:c>
      <x:c r="H9" s="11" t="n">
        <x:v>43</x:v>
      </x:c>
      <x:c r="I9" s="10" t="n">
        <x:v>48.9</x:v>
      </x:c>
      <x:c r="J9" s="10" t="n">
        <x:v>29.61854278788714</x:v>
      </x:c>
      <x:c r="K9" s="10" t="n">
        <x:v>60.11585232047167</x:v>
      </x:c>
      <x:c r="L9" s="10" t="n">
        <x:v>49.51157282255736</x:v>
      </x:c>
      <x:c r="M9" s="10" t="n">
        <x:v>78.19323752904121</x:v>
      </x:c>
      <x:c r="N9" s="10" t="n">
        <x:v>77.95263776361779</x:v>
      </x:c>
      <x:c r="O9" s="10" t="n">
        <x:v>60.11585232047167</x:v>
      </x:c>
      <x:c r="P9" s="10" t="n">
        <x:v>38.86789288915529</x:v>
      </x:c>
      <x:c r="Q9" s="10" t="n">
        <x:v>66.64004625003398</x:v>
      </x:c>
      <x:c r="R9" s="10" t="n">
        <x:v>0</x:v>
      </x:c>
      <x:c r="S9" s="10" t="n">
        <x:v>58.74762504750807</x:v>
      </x:c>
      <x:c r="T9" s="10" t="n">
        <x:v>48.5863462243663</x:v>
      </x:c>
      <x:c r="U9" s="10" t="n">
        <x:v>53.66698563593718</x:v>
      </x:c>
      <x:c r="V9" s="10" t="n">
        <x:v>100</x:v>
      </x:c>
      <x:c r="W9" s="7" t="n">
        <x:v>32</x:v>
      </x:c>
      <x:c r="X9" s="7" t="n">
        <x:v>66</x:v>
      </x:c>
      <x:c r="Y9" s="7" t="n">
        <x:v>43</x:v>
      </x:c>
    </x:row>
    <x:row r="10">
      <x:c r="A10" t="inlineStr">
        <x:is>
          <x:t xml:space="preserve">BRB</x:t>
        </x:is>
      </x:c>
      <x:c r="B10" t="inlineStr">
        <x:is>
          <x:t xml:space="preserve">Barbados</x:t>
        </x:is>
      </x:c>
      <x:c r="C10" t="inlineStr">
        <x:is>
          <x:t xml:space="preserve">Latin America &amp; Caribbean</x:t>
        </x:is>
      </x:c>
      <x:c r="E10" s="11" t="n">
        <x:v>282467</x:v>
      </x:c>
      <x:c r="F10" s="8" t="n">
        <x:v>7498050000</x:v>
      </x:c>
      <x:c r="G10" s="8" t="n"/>
      <x:c r="H10" s="11" t="n"/>
      <x:c r="I10" s="10" t="n"/>
      <x:c r="J10" s="10" t="n"/>
      <x:c r="K10" s="10" t="n"/>
      <x:c r="L10" s="10" t="n">
        <x:v>0</x:v>
      </x:c>
      <x:c r="M10" s="10" t="n">
        <x:v>42.96239050049694</x:v>
      </x:c>
      <x:c r="N10" s="10" t="n">
        <x:v>39.7933897463294</x:v>
      </x:c>
      <x:c r="O10" s="10" t="n"/>
      <x:c r="P10" s="10" t="n">
        <x:v>36.73175846132179</x:v>
      </x:c>
      <x:c r="Q10" s="10" t="n">
        <x:v>28.32730311845764</x:v>
      </x:c>
      <x:c r="R10" s="10" t="n">
        <x:v>0</x:v>
      </x:c>
      <x:c r="S10" s="10" t="n">
        <x:v>27.19389053321109</x:v>
      </x:c>
      <x:c r="T10" s="10" t="n">
        <x:v>30.69204836100217</x:v>
      </x:c>
      <x:c r="U10" s="10" t="n">
        <x:v>28.94296944710663</x:v>
      </x:c>
      <x:c r="V10" s="10" t="n">
        <x:v>62</x:v>
      </x:c>
      <x:c r="W10" s="7" t="n">
        <x:v>178</x:v>
      </x:c>
      <x:c r="X10" s="7" t="n">
        <x:v>171</x:v>
      </x:c>
      <x:c r="Y10" s="7" t="n">
        <x:v>177</x:v>
      </x:c>
    </x:row>
    <x:row r="11">
      <x:c r="A11" t="inlineStr">
        <x:is>
          <x:t xml:space="preserve">BLZ</x:t>
        </x:is>
      </x:c>
      <x:c r="B11" t="inlineStr">
        <x:is>
          <x:t xml:space="preserve">Belize</x:t>
        </x:is>
      </x:c>
      <x:c r="C11" t="inlineStr">
        <x:is>
          <x:t xml:space="preserve">Latin America &amp; Caribbean</x:t>
        </x:is>
      </x:c>
      <x:c r="D11" t="inlineStr">
        <x:is>
          <x:t xml:space="preserve">North America</x:t>
        </x:is>
      </x:c>
      <x:c r="E11" s="11" t="n">
        <x:v>417072</x:v>
      </x:c>
      <x:c r="F11" s="8" t="n">
        <x:v>3203631800</x:v>
      </x:c>
      <x:c r="G11" s="8" t="n">
        <x:v>30137800</x:v>
      </x:c>
      <x:c r="H11" s="11" t="n">
        <x:v>8</x:v>
      </x:c>
      <x:c r="I11" s="10" t="n"/>
      <x:c r="J11" s="10" t="n">
        <x:v>14.33387017569198</x:v>
      </x:c>
      <x:c r="K11" s="10" t="n">
        <x:v>43.11853072131156</x:v>
      </x:c>
      <x:c r="L11" s="10" t="n">
        <x:v>12.34231091592779</x:v>
      </x:c>
      <x:c r="M11" s="10" t="n">
        <x:v>50.42051645903916</x:v>
      </x:c>
      <x:c r="N11" s="10" t="n">
        <x:v>45.00448357138715</x:v>
      </x:c>
      <x:c r="O11" s="10" t="n">
        <x:v>43.11853072131156</x:v>
      </x:c>
      <x:c r="P11" s="10" t="n">
        <x:v>19.73161821163622</x:v>
      </x:c>
      <x:c r="Q11" s="10" t="n">
        <x:v>31.59627076658523</x:v>
      </x:c>
      <x:c r="R11" s="10" t="n">
        <x:v>0</x:v>
      </x:c>
      <x:c r="S11" s="10" t="n">
        <x:v>34.31485483824244</x:v>
      </x:c>
      <x:c r="T11" s="10" t="n">
        <x:v>34.54017749271591</x:v>
      </x:c>
      <x:c r="U11" s="10" t="n">
        <x:v>34.42751616547918</x:v>
      </x:c>
      <x:c r="V11" s="10" t="n">
        <x:v>100</x:v>
      </x:c>
      <x:c r="W11" s="7" t="n">
        <x:v>158</x:v>
      </x:c>
      <x:c r="X11" s="7" t="n">
        <x:v>159</x:v>
      </x:c>
      <x:c r="Y11" s="7" t="n">
        <x:v>160</x:v>
      </x:c>
    </x:row>
    <x:row r="12">
      <x:c r="A12" t="inlineStr">
        <x:is>
          <x:t xml:space="preserve">BMU</x:t>
        </x:is>
      </x:c>
      <x:c r="B12" t="inlineStr">
        <x:is>
          <x:t xml:space="preserve">Bermuda</x:t>
        </x:is>
      </x:c>
      <x:c r="C12" t="inlineStr">
        <x:is>
          <x:t xml:space="preserve">North America</x:t>
        </x:is>
      </x:c>
      <x:c r="E12" s="11" t="n">
        <x:v>64636</x:v>
      </x:c>
      <x:c r="F12" s="8" t="n">
        <x:v>9233600000</x:v>
      </x:c>
      <x:c r="G12" s="8" t="n"/>
      <x:c r="H12" s="11" t="n"/>
      <x:c r="I12" s="10" t="n"/>
      <x:c r="J12" s="10" t="n"/>
      <x:c r="K12" s="10" t="n"/>
      <x:c r="L12" s="10" t="n">
        <x:v>0</x:v>
      </x:c>
      <x:c r="M12" s="10" t="n">
        <x:v>38.32811989574417</x:v>
      </x:c>
      <x:c r="N12" s="10" t="n"/>
      <x:c r="O12" s="10" t="n"/>
      <x:c r="P12" s="10" t="n">
        <x:v>38.32811989574417</x:v>
      </x:c>
      <x:c r="Q12" s="10" t="n">
        <x:v>15.9561150974618</x:v>
      </x:c>
      <x:c r="R12" s="10" t="n">
        <x:v>0</x:v>
      </x:c>
      <x:c r="S12" s="10" t="n">
        <x:v>20.43963705580077</x:v>
      </x:c>
      <x:c r="T12" s="10" t="n">
        <x:v>26.2748242787265</x:v>
      </x:c>
      <x:c r="U12" s="10" t="n">
        <x:v>23.35723066726364</x:v>
      </x:c>
      <x:c r="V12" s="10" t="n">
        <x:v>50</x:v>
      </x:c>
      <x:c r="W12" s="7" t="n">
        <x:v>188</x:v>
      </x:c>
      <x:c r="X12" s="7" t="n">
        <x:v>183</x:v>
      </x:c>
      <x:c r="Y12" s="7" t="n">
        <x:v>187</x:v>
      </x:c>
    </x:row>
    <x:row r="13">
      <x:c r="A13" t="inlineStr">
        <x:is>
          <x:t xml:space="preserve">BOL</x:t>
        </x:is>
      </x:c>
      <x:c r="B13" t="inlineStr">
        <x:is>
          <x:t xml:space="preserve">Bolivia</x:t>
        </x:is>
      </x:c>
      <x:c r="C13" t="inlineStr">
        <x:is>
          <x:t xml:space="preserve">Latin America &amp; Caribbean</x:t>
        </x:is>
      </x:c>
      <x:c r="D13" t="inlineStr">
        <x:is>
          <x:t xml:space="preserve">South America</x:t>
        </x:is>
      </x:c>
      <x:c r="E13" s="11" t="n">
        <x:v>12413315</x:v>
      </x:c>
      <x:c r="F13" s="8" t="n">
        <x:v>54881327452.9667</x:v>
      </x:c>
      <x:c r="G13" s="8" t="n">
        <x:v>655130126.3654881</x:v>
      </x:c>
      <x:c r="H13" s="11" t="n">
        <x:v>173</x:v>
      </x:c>
      <x:c r="I13" s="10" t="n"/>
      <x:c r="J13" s="10" t="n">
        <x:v>14.53872264215452</x:v>
      </x:c>
      <x:c r="K13" s="10" t="n">
        <x:v>37.51774243031416</x:v>
      </x:c>
      <x:c r="L13" s="10" t="n">
        <x:v>45.61686648647125</x:v>
      </x:c>
      <x:c r="M13" s="10" t="n">
        <x:v>70.56254244787122</x:v>
      </x:c>
      <x:c r="N13" s="10" t="n">
        <x:v>58.47246406306109</x:v>
      </x:c>
      <x:c r="O13" s="10" t="n">
        <x:v>37.51774243031416</x:v>
      </x:c>
      <x:c r="P13" s="10" t="n">
        <x:v>32.49272718413264</x:v>
      </x:c>
      <x:c r="Q13" s="10" t="n">
        <x:v>60.06068819737658</x:v>
      </x:c>
      <x:c r="R13" s="10" t="n">
        <x:v>0</x:v>
      </x:c>
      <x:c r="S13" s="10" t="n">
        <x:v>50.15015557831465</x:v>
      </x:c>
      <x:c r="T13" s="10" t="n">
        <x:v>44.74509826106492</x:v>
      </x:c>
      <x:c r="U13" s="10" t="n">
        <x:v>47.44762691968978</x:v>
      </x:c>
      <x:c r="V13" s="10" t="n">
        <x:v>100</x:v>
      </x:c>
      <x:c r="W13" s="7" t="n">
        <x:v>68</x:v>
      </x:c>
      <x:c r="X13" s="7" t="n">
        <x:v>90</x:v>
      </x:c>
      <x:c r="Y13" s="7" t="n">
        <x:v>78</x:v>
      </x:c>
    </x:row>
    <x:row r="14">
      <x:c r="A14" t="inlineStr">
        <x:is>
          <x:t xml:space="preserve">BES</x:t>
        </x:is>
      </x:c>
      <x:c r="B14" t="inlineStr">
        <x:is>
          <x:t xml:space="preserve">Bonaire, Sint Eustatius and Saba</x:t>
        </x:is>
      </x:c>
      <x:c r="E14" s="11" t="n"/>
      <x:c r="F14" s="8" t="n"/>
      <x:c r="G14" s="8" t="n"/>
      <x:c r="H14" s="11" t="n"/>
      <x:c r="I14" s="10" t="n"/>
      <x:c r="J14" s="10" t="n"/>
      <x:c r="K14" s="10" t="n"/>
      <x:c r="L14" s="10" t="n">
        <x:v>0</x:v>
      </x:c>
      <x:c r="M14" s="10" t="n"/>
      <x:c r="N14" s="10" t="n"/>
      <x:c r="O14" s="10" t="n"/>
      <x:c r="P14" s="10" t="n"/>
      <x:c r="Q14" s="10" t="n"/>
      <x:c r="R14" s="10" t="n">
        <x:v>0</x:v>
      </x:c>
      <x:c r="S14" s="10" t="n">
        <x:v>0</x:v>
      </x:c>
      <x:c r="T14" s="10" t="n">
        <x:v>0</x:v>
      </x:c>
      <x:c r="U14" s="10" t="n">
        <x:v>0</x:v>
      </x:c>
      <x:c r="V14" s="10" t="n">
        <x:v>12</x:v>
      </x:c>
      <x:c r="W14" s="7" t="n">
        <x:v>222</x:v>
      </x:c>
      <x:c r="X14" s="7" t="n">
        <x:v>222</x:v>
      </x:c>
      <x:c r="Y14" s="7" t="n">
        <x:v>222</x:v>
      </x:c>
    </x:row>
    <x:row r="15">
      <x:c r="A15" t="inlineStr">
        <x:is>
          <x:t xml:space="preserve">BVT</x:t>
        </x:is>
      </x:c>
      <x:c r="B15" t="inlineStr">
        <x:is>
          <x:t xml:space="preserve">Bouvet Island</x:t>
        </x:is>
      </x:c>
      <x:c r="E15" s="11" t="n"/>
      <x:c r="F15" s="8" t="n"/>
      <x:c r="G15" s="8" t="n"/>
      <x:c r="H15" s="11" t="n"/>
      <x:c r="I15" s="10" t="n"/>
      <x:c r="J15" s="10" t="n"/>
      <x:c r="K15" s="10" t="n"/>
      <x:c r="L15" s="10" t="n">
        <x:v>0</x:v>
      </x:c>
      <x:c r="M15" s="10" t="n"/>
      <x:c r="N15" s="10" t="n"/>
      <x:c r="O15" s="10" t="n"/>
      <x:c r="P15" s="10" t="n"/>
      <x:c r="Q15" s="10" t="n"/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12</x:v>
      </x:c>
      <x:c r="W15" s="7" t="n">
        <x:v>222</x:v>
      </x:c>
      <x:c r="X15" s="7" t="n">
        <x:v>222</x:v>
      </x:c>
      <x:c r="Y15" s="7" t="n">
        <x:v>222</x:v>
      </x:c>
    </x:row>
    <x:row r="16">
      <x:c r="A16" t="inlineStr">
        <x:is>
          <x:t xml:space="preserve">IOT</x:t>
        </x:is>
      </x:c>
      <x:c r="B16" t="inlineStr">
        <x:is>
          <x:t xml:space="preserve">British Indian Ocean Territory</x:t>
        </x:is>
      </x:c>
      <x:c r="E16" s="11" t="n"/>
      <x:c r="F16" s="8" t="n"/>
      <x:c r="G16" s="8" t="n"/>
      <x:c r="H16" s="11" t="n"/>
      <x:c r="I16" s="10" t="n"/>
      <x:c r="J16" s="10" t="n"/>
      <x:c r="K16" s="10" t="n"/>
      <x:c r="L16" s="10" t="n">
        <x:v>0</x:v>
      </x:c>
      <x:c r="M16" s="10" t="n"/>
      <x:c r="N16" s="10" t="n"/>
      <x:c r="O16" s="10" t="n"/>
      <x:c r="P16" s="10" t="n"/>
      <x:c r="Q16" s="10" t="n"/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12</x:v>
      </x:c>
      <x:c r="W16" s="7" t="n">
        <x:v>222</x:v>
      </x:c>
      <x:c r="X16" s="7" t="n">
        <x:v>222</x:v>
      </x:c>
      <x:c r="Y16" s="7" t="n">
        <x:v>222</x:v>
      </x:c>
    </x:row>
    <x:row r="17">
      <x:c r="A17" t="inlineStr">
        <x:is>
          <x:t xml:space="preserve">VGB</x:t>
        </x:is>
      </x:c>
      <x:c r="B17" t="inlineStr">
        <x:is>
          <x:t xml:space="preserve">British Virgin Islands</x:t>
        </x:is>
      </x:c>
      <x:c r="C17" t="inlineStr">
        <x:is>
          <x:t xml:space="preserve">Latin America &amp; Caribbean</x:t>
        </x:is>
      </x:c>
      <x:c r="E17" s="11" t="n">
        <x:v>39471</x:v>
      </x:c>
      <x:c r="F17" s="8" t="n"/>
      <x:c r="G17" s="8" t="n"/>
      <x:c r="H17" s="11" t="n"/>
      <x:c r="I17" s="10" t="n"/>
      <x:c r="J17" s="10" t="n"/>
      <x:c r="K17" s="10" t="n"/>
      <x:c r="L17" s="10" t="n">
        <x:v>0</x:v>
      </x:c>
      <x:c r="M17" s="10" t="n"/>
      <x:c r="N17" s="10" t="n"/>
      <x:c r="O17" s="10" t="n"/>
      <x:c r="P17" s="10" t="n"/>
      <x:c r="Q17" s="10" t="n">
        <x:v>11.81894160919523</x:v>
      </x:c>
      <x:c r="R17" s="10" t="n">
        <x:v>0</x:v>
      </x:c>
      <x:c r="S17" s="10" t="n">
        <x:v>3.260397685295235</x:v>
      </x:c>
      <x:c r="T17" s="10" t="n">
        <x:v>6.566078671775127</x:v>
      </x:c>
      <x:c r="U17" s="10" t="n">
        <x:v>4.913238178535181</x:v>
      </x:c>
      <x:c r="V17" s="10" t="n">
        <x:v>25</x:v>
      </x:c>
      <x:c r="W17" s="7" t="n">
        <x:v>220</x:v>
      </x:c>
      <x:c r="X17" s="7" t="n">
        <x:v>219</x:v>
      </x:c>
      <x:c r="Y17" s="7" t="n">
        <x:v>219</x:v>
      </x:c>
    </x:row>
    <x:row r="18">
      <x:c r="A18" t="inlineStr">
        <x:is>
          <x:t xml:space="preserve">BRN</x:t>
        </x:is>
      </x:c>
      <x:c r="B18" t="inlineStr">
        <x:is>
          <x:t xml:space="preserve">Brunei Darussalam</x:t>
        </x:is>
      </x:c>
      <x:c r="C18" t="inlineStr">
        <x:is>
          <x:t xml:space="preserve">East Asia &amp; Pacific</x:t>
        </x:is>
      </x:c>
      <x:c r="D18" t="inlineStr">
        <x:is>
          <x:t xml:space="preserve">Asia</x:t>
        </x:is>
      </x:c>
      <x:c r="E18" s="11" t="n">
        <x:v>462721</x:v>
      </x:c>
      <x:c r="F18" s="8" t="n">
        <x:v>15340808592.48</x:v>
      </x:c>
      <x:c r="G18" s="8" t="n">
        <x:v>558608208.955224</x:v>
      </x:c>
      <x:c r="H18" s="11" t="n"/>
      <x:c r="I18" s="10" t="n"/>
      <x:c r="J18" s="10" t="n">
        <x:v>9.773483063455263</x:v>
      </x:c>
      <x:c r="K18" s="10" t="n">
        <x:v>80.70366014415097</x:v>
      </x:c>
      <x:c r="L18" s="10" t="n">
        <x:v>0</x:v>
      </x:c>
      <x:c r="M18" s="10" t="n">
        <x:v>60.64619689215144</x:v>
      </x:c>
      <x:c r="N18" s="10" t="n">
        <x:v>54.66113308943848</x:v>
      </x:c>
      <x:c r="O18" s="10" t="n">
        <x:v>80.70366014415097</x:v>
      </x:c>
      <x:c r="P18" s="10" t="n">
        <x:v>18.92820741011747</x:v>
      </x:c>
      <x:c r="Q18" s="10" t="n">
        <x:v>32.46754453122292</x:v>
      </x:c>
      <x:c r="R18" s="10" t="n">
        <x:v>0</x:v>
      </x:c>
      <x:c r="S18" s="10" t="n">
        <x:v>39.30556790098954</x:v>
      </x:c>
      <x:c r="T18" s="10" t="n">
        <x:v>31.1545836714317</x:v>
      </x:c>
      <x:c r="U18" s="10" t="n">
        <x:v>35.23007578621062</x:v>
      </x:c>
      <x:c r="V18" s="10" t="n">
        <x:v>100</x:v>
      </x:c>
      <x:c r="W18" s="7" t="n">
        <x:v>127</x:v>
      </x:c>
      <x:c r="X18" s="7" t="n">
        <x:v>168</x:v>
      </x:c>
      <x:c r="Y18" s="7" t="n">
        <x:v>157</x:v>
      </x:c>
    </x:row>
    <x:row r="19">
      <x:c r="A19" t="inlineStr">
        <x:is>
          <x:t xml:space="preserve">BFA</x:t>
        </x:is>
      </x:c>
      <x:c r="B19" t="inlineStr">
        <x:is>
          <x:t xml:space="preserve">Burkina Faso</x:t>
        </x:is>
      </x:c>
      <x:c r="C19" t="inlineStr">
        <x:is>
          <x:t xml:space="preserve">Sub-Saharan Africa</x:t>
        </x:is>
      </x:c>
      <x:c r="D19" t="inlineStr">
        <x:is>
          <x:t xml:space="preserve">Africa</x:t>
        </x:is>
      </x:c>
      <x:c r="E19" s="11" t="n">
        <x:v>23548781</x:v>
      </x:c>
      <x:c r="F19" s="8" t="n">
        <x:v>23124729853.0218</x:v>
      </x:c>
      <x:c r="G19" s="8" t="n">
        <x:v>1023672220.14258</x:v>
      </x:c>
      <x:c r="H19" s="11" t="n"/>
      <x:c r="I19" s="10" t="n"/>
      <x:c r="J19" s="10" t="n">
        <x:v>12.27770785923628</x:v>
      </x:c>
      <x:c r="K19" s="10" t="n">
        <x:v>28.10278827824348</x:v>
      </x:c>
      <x:c r="L19" s="10" t="n">
        <x:v>0</x:v>
      </x:c>
      <x:c r="M19" s="10" t="n">
        <x:v>62.98312310675793</x:v>
      </x:c>
      <x:c r="N19" s="10" t="n">
        <x:v>57.0069021631667</x:v>
      </x:c>
      <x:c r="O19" s="10" t="n">
        <x:v>28.10278827824348</x:v>
      </x:c>
      <x:c r="P19" s="10" t="n">
        <x:v>27.4349829099631</x:v>
      </x:c>
      <x:c r="Q19" s="10" t="n">
        <x:v>65.43188565516677</x:v>
      </x:c>
      <x:c r="R19" s="10" t="n">
        <x:v>0</x:v>
      </x:c>
      <x:c r="S19" s="10" t="n">
        <x:v>37.96854172122447</x:v>
      </x:c>
      <x:c r="T19" s="10" t="n">
        <x:v>41.57667773929172</x:v>
      </x:c>
      <x:c r="U19" s="10" t="n">
        <x:v>39.7726097302581</x:v>
      </x:c>
      <x:c r="V19" s="10" t="n">
        <x:v>100</x:v>
      </x:c>
      <x:c r="W19" s="7" t="n">
        <x:v>135</x:v>
      </x:c>
      <x:c r="X19" s="7" t="n">
        <x:v>123</x:v>
      </x:c>
      <x:c r="Y19" s="7" t="n">
        <x:v>130</x:v>
      </x:c>
    </x:row>
    <x:row r="20">
      <x:c r="A20" t="inlineStr">
        <x:is>
          <x:t xml:space="preserve">CAN</x:t>
        </x:is>
      </x:c>
      <x:c r="B20" t="inlineStr">
        <x:is>
          <x:t xml:space="preserve">Canada</x:t>
        </x:is>
      </x:c>
      <x:c r="C20" t="inlineStr">
        <x:is>
          <x:t xml:space="preserve">North America</x:t>
        </x:is>
      </x:c>
      <x:c r="D20" t="inlineStr">
        <x:is>
          <x:t xml:space="preserve">North America</x:t>
        </x:is>
      </x:c>
      <x:c r="E20" s="11" t="n">
        <x:v>41288599</x:v>
      </x:c>
      <x:c r="F20" s="8" t="n">
        <x:v>2243636826633.76</x:v>
      </x:c>
      <x:c r="G20" s="8" t="n">
        <x:v>29346897810.219</x:v>
      </x:c>
      <x:c r="H20" s="11" t="n">
        <x:v>67</x:v>
      </x:c>
      <x:c r="I20" s="10" t="n">
        <x:v>43.7</x:v>
      </x:c>
      <x:c r="J20" s="10" t="n">
        <x:v>100</x:v>
      </x:c>
      <x:c r="K20" s="10" t="n">
        <x:v>59.63932313978334</x:v>
      </x:c>
      <x:c r="L20" s="10" t="n">
        <x:v>48.09365718402289</x:v>
      </x:c>
      <x:c r="M20" s="10" t="n">
        <x:v>79.01165120991115</x:v>
      </x:c>
      <x:c r="N20" s="10" t="n">
        <x:v>74.52539657635658</x:v>
      </x:c>
      <x:c r="O20" s="10" t="n">
        <x:v>59.63932313978334</x:v>
      </x:c>
      <x:c r="P20" s="10" t="n">
        <x:v>57.57730463414748</x:v>
      </x:c>
      <x:c r="Q20" s="10" t="n">
        <x:v>70.14213587081935</x:v>
      </x:c>
      <x:c r="R20" s="10" t="n">
        <x:v>0</x:v>
      </x:c>
      <x:c r="S20" s="10" t="n">
        <x:v>60.00357056843198</x:v>
      </x:c>
      <x:c r="T20" s="10" t="n">
        <x:v>68.87568360880736</x:v>
      </x:c>
      <x:c r="U20" s="10" t="n">
        <x:v>64.43962708861967</x:v>
      </x:c>
      <x:c r="V20" s="10" t="n">
        <x:v>100</x:v>
      </x:c>
      <x:c r="W20" s="7" t="n">
        <x:v>27</x:v>
      </x:c>
      <x:c r="X20" s="7" t="n">
        <x:v>3</x:v>
      </x:c>
      <x:c r="Y20" s="7" t="n">
        <x:v>8</x:v>
      </x:c>
    </x:row>
    <x:row r="21">
      <x:c r="A21" t="inlineStr">
        <x:is>
          <x:t xml:space="preserve">CYM</x:t>
        </x:is>
      </x:c>
      <x:c r="B21" t="inlineStr">
        <x:is>
          <x:t xml:space="preserve">Cayman Islands</x:t>
        </x:is>
      </x:c>
      <x:c r="C21" t="inlineStr">
        <x:is>
          <x:t xml:space="preserve">Latin America &amp; Caribbean</x:t>
        </x:is>
      </x:c>
      <x:c r="E21" s="11" t="n">
        <x:v>74457</x:v>
      </x:c>
      <x:c r="F21" s="8" t="n">
        <x:v>7241244269.45972</x:v>
      </x:c>
      <x:c r="G21" s="8" t="n"/>
      <x:c r="H21" s="11" t="n"/>
      <x:c r="I21" s="10" t="n"/>
      <x:c r="J21" s="10" t="n"/>
      <x:c r="K21" s="10" t="n"/>
      <x:c r="L21" s="10" t="n">
        <x:v>0</x:v>
      </x:c>
      <x:c r="M21" s="10" t="n">
        <x:v>36.46455633052288</x:v>
      </x:c>
      <x:c r="N21" s="10" t="n"/>
      <x:c r="O21" s="10" t="n"/>
      <x:c r="P21" s="10" t="n">
        <x:v>36.46455633052288</x:v>
      </x:c>
      <x:c r="Q21" s="10" t="n">
        <x:v>17.14265438095504</x:v>
      </x:c>
      <x:c r="R21" s="10" t="n">
        <x:v>0</x:v>
      </x:c>
      <x:c r="S21" s="10" t="n">
        <x:v>19.73126726620427</x:v>
      </x:c>
      <x:c r="T21" s="10" t="n">
        <x:v>25.44329564552602</x:v>
      </x:c>
      <x:c r="U21" s="10" t="n">
        <x:v>22.58728145586515</x:v>
      </x:c>
      <x:c r="V21" s="10" t="n">
        <x:v>50</x:v>
      </x:c>
      <x:c r="W21" s="7" t="n">
        <x:v>190</x:v>
      </x:c>
      <x:c r="X21" s="7" t="n">
        <x:v>189</x:v>
      </x:c>
      <x:c r="Y21" s="7" t="n">
        <x:v>190</x:v>
      </x:c>
    </x:row>
    <x:row r="22">
      <x:c r="A22" t="inlineStr">
        <x:is>
          <x:t xml:space="preserve">CAF</x:t>
        </x:is>
      </x:c>
      <x:c r="B22" t="inlineStr">
        <x:is>
          <x:t xml:space="preserve">Central African Republic</x:t>
        </x:is>
      </x:c>
      <x:c r="C22" t="inlineStr">
        <x:is>
          <x:t xml:space="preserve">Sub-Saharan Africa</x:t>
        </x:is>
      </x:c>
      <x:c r="D22" t="inlineStr">
        <x:is>
          <x:t xml:space="preserve">Africa</x:t>
        </x:is>
      </x:c>
      <x:c r="E22" s="11" t="n">
        <x:v>5330690</x:v>
      </x:c>
      <x:c r="F22" s="8" t="n">
        <x:v>2751494281.06887</x:v>
      </x:c>
      <x:c r="G22" s="8" t="n">
        <x:v>71174969.9459274</x:v>
      </x:c>
      <x:c r="H22" s="11" t="n"/>
      <x:c r="I22" s="10" t="n"/>
      <x:c r="J22" s="10" t="n">
        <x:v>16.92997002270527</x:v>
      </x:c>
      <x:c r="K22" s="10" t="n">
        <x:v>0</x:v>
      </x:c>
      <x:c r="L22" s="10" t="n">
        <x:v>0</x:v>
      </x:c>
      <x:c r="M22" s="10" t="n">
        <x:v>57.27868274792309</x:v>
      </x:c>
      <x:c r="N22" s="10" t="n">
        <x:v>49.99568813525971</x:v>
      </x:c>
      <x:c r="O22" s="10" t="n">
        <x:v>0</x:v>
      </x:c>
      <x:c r="P22" s="10" t="n">
        <x:v>17.4272272961564</x:v>
      </x:c>
      <x:c r="Q22" s="10" t="n">
        <x:v>52.96997627772162</x:v>
      </x:c>
      <x:c r="R22" s="10" t="n">
        <x:v>0</x:v>
      </x:c>
      <x:c r="S22" s="10" t="n">
        <x:v>28.71022858459035</x:v>
      </x:c>
      <x:c r="T22" s="10" t="n">
        <x:v>32.79125563780954</x:v>
      </x:c>
      <x:c r="U22" s="10" t="n">
        <x:v>30.75074211119995</x:v>
      </x:c>
      <x:c r="V22" s="10" t="n">
        <x:v>100</x:v>
      </x:c>
      <x:c r="W22" s="7" t="n">
        <x:v>176</x:v>
      </x:c>
      <x:c r="X22" s="7" t="n">
        <x:v>163</x:v>
      </x:c>
      <x:c r="Y22" s="7" t="n">
        <x:v>174</x:v>
      </x:c>
    </x:row>
    <x:row r="23">
      <x:c r="A23" t="inlineStr">
        <x:is>
          <x:t xml:space="preserve">CXR</x:t>
        </x:is>
      </x:c>
      <x:c r="B23" t="inlineStr">
        <x:is>
          <x:t xml:space="preserve">Christmas Island</x:t>
        </x:is>
      </x:c>
      <x:c r="E23" s="11" t="n"/>
      <x:c r="F23" s="8" t="n"/>
      <x:c r="G23" s="8" t="n"/>
      <x:c r="H23" s="11" t="n"/>
      <x:c r="I23" s="10" t="n"/>
      <x:c r="J23" s="10" t="n"/>
      <x:c r="K23" s="10" t="n"/>
      <x:c r="L23" s="10" t="n">
        <x:v>0</x:v>
      </x:c>
      <x:c r="M23" s="10" t="n"/>
      <x:c r="N23" s="10" t="n"/>
      <x:c r="O23" s="10" t="n"/>
      <x:c r="P23" s="10" t="n"/>
      <x:c r="Q23" s="10" t="n"/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12</x:v>
      </x:c>
      <x:c r="W23" s="7" t="n">
        <x:v>222</x:v>
      </x:c>
      <x:c r="X23" s="7" t="n">
        <x:v>222</x:v>
      </x:c>
      <x:c r="Y23" s="7" t="n">
        <x:v>222</x:v>
      </x:c>
    </x:row>
    <x:row r="24">
      <x:c r="A24" t="inlineStr">
        <x:is>
          <x:t xml:space="preserve">CCK</x:t>
        </x:is>
      </x:c>
      <x:c r="B24" t="inlineStr">
        <x:is>
          <x:t xml:space="preserve">Cocos (Keeling) Islands</x:t>
        </x:is>
      </x:c>
      <x:c r="E24" s="11" t="n"/>
      <x:c r="F24" s="8" t="n"/>
      <x:c r="G24" s="8" t="n"/>
      <x:c r="H24" s="11" t="n"/>
      <x:c r="I24" s="10" t="n"/>
      <x:c r="J24" s="10" t="n"/>
      <x:c r="K24" s="10" t="n"/>
      <x:c r="L24" s="10" t="n">
        <x:v>0</x:v>
      </x:c>
      <x:c r="M24" s="10" t="n"/>
      <x:c r="N24" s="10" t="n"/>
      <x:c r="O24" s="10" t="n"/>
      <x:c r="P24" s="10" t="n"/>
      <x:c r="Q24" s="10" t="n"/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12</x:v>
      </x:c>
      <x:c r="W24" s="7" t="n">
        <x:v>222</x:v>
      </x:c>
      <x:c r="X24" s="7" t="n">
        <x:v>222</x:v>
      </x:c>
      <x:c r="Y24" s="7" t="n">
        <x:v>222</x:v>
      </x:c>
    </x:row>
    <x:row r="25">
      <x:c r="A25" t="inlineStr">
        <x:is>
          <x:t xml:space="preserve">DMA</x:t>
        </x:is>
      </x:c>
      <x:c r="B25" t="inlineStr">
        <x:is>
          <x:t xml:space="preserve">Dominica</x:t>
        </x:is>
      </x:c>
      <x:c r="C25" t="inlineStr">
        <x:is>
          <x:t xml:space="preserve">Latin America &amp; Caribbean</x:t>
        </x:is>
      </x:c>
      <x:c r="E25" s="11" t="n">
        <x:v>66205</x:v>
      </x:c>
      <x:c r="F25" s="8" t="n">
        <x:v>688881481.481481</x:v>
      </x:c>
      <x:c r="G25" s="8" t="n"/>
      <x:c r="H25" s="11" t="n"/>
      <x:c r="I25" s="10" t="n"/>
      <x:c r="J25" s="10" t="n"/>
      <x:c r="K25" s="10" t="n"/>
      <x:c r="L25" s="10" t="n">
        <x:v>0</x:v>
      </x:c>
      <x:c r="M25" s="10" t="n">
        <x:v>18.42758062333424</x:v>
      </x:c>
      <x:c r="N25" s="10" t="n"/>
      <x:c r="O25" s="10" t="n"/>
      <x:c r="P25" s="10" t="n">
        <x:v>18.42758062333424</x:v>
      </x:c>
      <x:c r="Q25" s="10" t="n">
        <x:v>16.15730581622512</x:v>
      </x:c>
      <x:c r="R25" s="10" t="n">
        <x:v>0</x:v>
      </x:c>
      <x:c r="S25" s="10" t="n">
        <x:v>11.06137350429984</x:v>
      </x:c>
      <x:c r="T25" s="10" t="n">
        <x:v>14.56113987202139</x:v>
      </x:c>
      <x:c r="U25" s="10" t="n">
        <x:v>12.81125668816062</x:v>
      </x:c>
      <x:c r="V25" s="10" t="n">
        <x:v>50</x:v>
      </x:c>
      <x:c r="W25" s="7" t="n">
        <x:v>210</x:v>
      </x:c>
      <x:c r="X25" s="7" t="n">
        <x:v>212</x:v>
      </x:c>
      <x:c r="Y25" s="7" t="n">
        <x:v>211</x:v>
      </x:c>
    </x:row>
    <x:row r="26">
      <x:c r="A26" t="inlineStr">
        <x:is>
          <x:t xml:space="preserve">BHS</x:t>
        </x:is>
      </x:c>
      <x:c r="B26" t="inlineStr">
        <x:is>
          <x:t xml:space="preserve">Bahamas, The</x:t>
        </x:is>
      </x:c>
      <x:c r="C26" t="inlineStr">
        <x:is>
          <x:t xml:space="preserve">Latin America &amp; Caribbean</x:t>
        </x:is>
      </x:c>
      <x:c r="D26" t="inlineStr">
        <x:is>
          <x:t xml:space="preserve">North America</x:t>
        </x:is>
      </x:c>
      <x:c r="E26" s="11" t="n">
        <x:v>401283</x:v>
      </x:c>
      <x:c r="F26" s="8" t="n">
        <x:v>15832800000</x:v>
      </x:c>
      <x:c r="G26" s="8" t="n"/>
      <x:c r="H26" s="11" t="n"/>
      <x:c r="I26" s="10" t="n"/>
      <x:c r="J26" s="10" t="n">
        <x:v>47.70559254035646</x:v>
      </x:c>
      <x:c r="K26" s="10" t="n">
        <x:v>61.71978753301557</x:v>
      </x:c>
      <x:c r="L26" s="10" t="n">
        <x:v>0</x:v>
      </x:c>
      <x:c r="M26" s="10" t="n">
        <x:v>47.94073583464323</x:v>
      </x:c>
      <x:c r="N26" s="10" t="n">
        <x:v>44.97573632600538</x:v>
      </x:c>
      <x:c r="O26" s="10" t="n">
        <x:v>61.71978753301557</x:v>
      </x:c>
      <x:c r="P26" s="10" t="n">
        <x:v>30.87366487289626</x:v>
      </x:c>
      <x:c r="Q26" s="10" t="n">
        <x:v>31.27254267047519</x:v>
      </x:c>
      <x:c r="R26" s="10" t="n">
        <x:v>0</x:v>
      </x:c>
      <x:c r="S26" s="10" t="n">
        <x:v>34.69286803592009</x:v>
      </x:c>
      <x:c r="T26" s="10" t="n">
        <x:v>40.23165517047007</x:v>
      </x:c>
      <x:c r="U26" s="10" t="n">
        <x:v>37.46226160319507</x:v>
      </x:c>
      <x:c r="V26" s="10" t="n">
        <x:v>88</x:v>
      </x:c>
      <x:c r="W26" s="7" t="n">
        <x:v>154</x:v>
      </x:c>
      <x:c r="X26" s="7" t="n">
        <x:v>138</x:v>
      </x:c>
      <x:c r="Y26" s="7" t="n">
        <x:v>146</x:v>
      </x:c>
    </x:row>
    <x:row r="27">
      <x:c r="A27" t="inlineStr">
        <x:is>
          <x:t xml:space="preserve">MNP</x:t>
        </x:is>
      </x:c>
      <x:c r="B27" t="inlineStr">
        <x:is>
          <x:t xml:space="preserve">Northern Mariana Islands</x:t>
        </x:is>
      </x:c>
      <x:c r="C27" t="inlineStr">
        <x:is>
          <x:t xml:space="preserve">East Asia &amp; Pacific</x:t>
        </x:is>
      </x:c>
      <x:c r="E27" s="11" t="n">
        <x:v>44278</x:v>
      </x:c>
      <x:c r="F27" s="8" t="n">
        <x:v>1096000000</x:v>
      </x:c>
      <x:c r="G27" s="8" t="n"/>
      <x:c r="H27" s="11" t="n"/>
      <x:c r="I27" s="10" t="n"/>
      <x:c r="J27" s="10" t="n"/>
      <x:c r="K27" s="10" t="n"/>
      <x:c r="L27" s="10" t="n">
        <x:v>0</x:v>
      </x:c>
      <x:c r="M27" s="10" t="n">
        <x:v>21.98787915997742</x:v>
      </x:c>
      <x:c r="N27" s="10" t="n"/>
      <x:c r="O27" s="10" t="n"/>
      <x:c r="P27" s="10" t="n">
        <x:v>21.98787915997742</x:v>
      </x:c>
      <x:c r="Q27" s="10" t="n">
        <x:v>12.7829401607237</x:v>
      </x:c>
      <x:c r="R27" s="10" t="n">
        <x:v>0</x:v>
      </x:c>
      <x:c r="S27" s="10" t="n">
        <x:v>12.25360689900368</x:v>
      </x:c>
      <x:c r="T27" s="10" t="n">
        <x:v>15.89805135833295</x:v>
      </x:c>
      <x:c r="U27" s="10" t="n">
        <x:v>14.07582912866831</x:v>
      </x:c>
      <x:c r="V27" s="10" t="n">
        <x:v>50</x:v>
      </x:c>
      <x:c r="W27" s="7" t="n">
        <x:v>208</x:v>
      </x:c>
      <x:c r="X27" s="7" t="n">
        <x:v>209</x:v>
      </x:c>
      <x:c r="Y27" s="7" t="n">
        <x:v>208</x:v>
      </x:c>
    </x:row>
    <x:row r="28">
      <x:c r="A28" t="inlineStr">
        <x:is>
          <x:t xml:space="preserve">COD</x:t>
        </x:is>
      </x:c>
      <x:c r="B28" t="inlineStr">
        <x:is>
          <x:t xml:space="preserve">Congo, Dem. Rep.</x:t>
        </x:is>
      </x:c>
      <x:c r="C28" t="inlineStr">
        <x:is>
          <x:t xml:space="preserve">Sub-Saharan Africa</x:t>
        </x:is>
      </x:c>
      <x:c r="D28" t="inlineStr">
        <x:is>
          <x:t xml:space="preserve">Africa</x:t>
        </x:is>
      </x:c>
      <x:c r="E28" s="11" t="n">
        <x:v>109276265</x:v>
      </x:c>
      <x:c r="F28" s="8" t="n">
        <x:v>70962185790.7094</x:v>
      </x:c>
      <x:c r="G28" s="8" t="n">
        <x:v>899187778.403836</x:v>
      </x:c>
      <x:c r="H28" s="11" t="n">
        <x:v>16</x:v>
      </x:c>
      <x:c r="I28" s="10" t="n"/>
      <x:c r="J28" s="10" t="n">
        <x:v>18.68165553997235</x:v>
      </x:c>
      <x:c r="K28" s="10" t="n">
        <x:v>12.9831223668898</x:v>
      </x:c>
      <x:c r="L28" s="10" t="n">
        <x:v>19.48729844142872</x:v>
      </x:c>
      <x:c r="M28" s="10" t="n">
        <x:v>73.61015744470585</x:v>
      </x:c>
      <x:c r="N28" s="10" t="n">
        <x:v>60.41748636800705</x:v>
      </x:c>
      <x:c r="O28" s="10" t="n">
        <x:v>12.9831223668898</x:v>
      </x:c>
      <x:c r="P28" s="10" t="n">
        <x:v>32.42294457216811</x:v>
      </x:c>
      <x:c r="Q28" s="10" t="n">
        <x:v>78.30660941257203</x:v>
      </x:c>
      <x:c r="R28" s="10" t="n">
        <x:v>0</x:v>
      </x:c>
      <x:c r="S28" s="10" t="n">
        <x:v>43.44528097198733</x:v>
      </x:c>
      <x:c r="T28" s="10" t="n">
        <x:v>44.79021529044614</x:v>
      </x:c>
      <x:c r="U28" s="10" t="n">
        <x:v>44.11774813121674</x:v>
      </x:c>
      <x:c r="V28" s="10" t="n">
        <x:v>100</x:v>
      </x:c>
      <x:c r="W28" s="7" t="n">
        <x:v>105</x:v>
      </x:c>
      <x:c r="X28" s="7" t="n">
        <x:v>89</x:v>
      </x:c>
      <x:c r="Y28" s="7" t="n">
        <x:v>100</x:v>
      </x:c>
    </x:row>
    <x:row r="29">
      <x:c r="A29" t="inlineStr">
        <x:is>
          <x:t xml:space="preserve">COK</x:t>
        </x:is>
      </x:c>
      <x:c r="B29" t="inlineStr">
        <x:is>
          <x:t xml:space="preserve">Cook Islands</x:t>
        </x:is>
      </x:c>
      <x:c r="E29" s="11" t="n"/>
      <x:c r="F29" s="8" t="n"/>
      <x:c r="G29" s="8" t="n"/>
      <x:c r="H29" s="11" t="n"/>
      <x:c r="I29" s="10" t="n"/>
      <x:c r="J29" s="10" t="n"/>
      <x:c r="K29" s="10" t="n"/>
      <x:c r="L29" s="10" t="n">
        <x:v>0</x:v>
      </x:c>
      <x:c r="M29" s="10" t="n"/>
      <x:c r="N29" s="10" t="n"/>
      <x:c r="O29" s="10" t="n"/>
      <x:c r="P29" s="10" t="n"/>
      <x:c r="Q29" s="10" t="n"/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12</x:v>
      </x:c>
      <x:c r="W29" s="7" t="n">
        <x:v>222</x:v>
      </x:c>
      <x:c r="X29" s="7" t="n">
        <x:v>222</x:v>
      </x:c>
      <x:c r="Y29" s="7" t="n">
        <x:v>222</x:v>
      </x:c>
    </x:row>
    <x:row r="30">
      <x:c r="A30" t="inlineStr">
        <x:is>
          <x:t xml:space="preserve">CUW</x:t>
        </x:is>
      </x:c>
      <x:c r="B30" t="inlineStr">
        <x:is>
          <x:t xml:space="preserve">Curaçao</x:t>
        </x:is>
      </x:c>
      <x:c r="C30" t="inlineStr">
        <x:is>
          <x:t xml:space="preserve">Latin America &amp; Caribbean</x:t>
        </x:is>
      </x:c>
      <x:c r="E30" s="11" t="n">
        <x:v>155967</x:v>
      </x:c>
      <x:c r="F30" s="8" t="n">
        <x:v>3561178196.20713</x:v>
      </x:c>
      <x:c r="G30" s="8" t="n"/>
      <x:c r="H30" s="11" t="n"/>
      <x:c r="I30" s="10" t="n"/>
      <x:c r="J30" s="10" t="n"/>
      <x:c r="K30" s="10" t="n"/>
      <x:c r="L30" s="10" t="n">
        <x:v>0</x:v>
      </x:c>
      <x:c r="M30" s="10" t="n">
        <x:v>31.02311767097632</x:v>
      </x:c>
      <x:c r="N30" s="10" t="n"/>
      <x:c r="O30" s="10" t="n"/>
      <x:c r="P30" s="10" t="n">
        <x:v>31.02311767097632</x:v>
      </x:c>
      <x:c r="Q30" s="10" t="n">
        <x:v>23.3452478369166</x:v>
      </x:c>
      <x:c r="R30" s="10" t="n">
        <x:v>0</x:v>
      </x:c>
      <x:c r="S30" s="10" t="n">
        <x:v>18.06114622074031</x:v>
      </x:c>
      <x:c r="T30" s="10" t="n">
        <x:v>23.63758040487614</x:v>
      </x:c>
      <x:c r="U30" s="10" t="n">
        <x:v>20.84936331280822</x:v>
      </x:c>
      <x:c r="V30" s="10" t="n">
        <x:v>50</x:v>
      </x:c>
      <x:c r="W30" s="7" t="n">
        <x:v>195</x:v>
      </x:c>
      <x:c r="X30" s="7" t="n">
        <x:v>193</x:v>
      </x:c>
      <x:c r="Y30" s="7" t="n">
        <x:v>195</x:v>
      </x:c>
    </x:row>
    <x:row r="31">
      <x:c r="A31" t="inlineStr">
        <x:is>
          <x:t xml:space="preserve">CZE</x:t>
        </x:is>
      </x:c>
      <x:c r="B31" t="inlineStr">
        <x:is>
          <x:t xml:space="preserve">Czechia</x:t>
        </x:is>
      </x:c>
      <x:c r="C31" t="inlineStr">
        <x:is>
          <x:t xml:space="preserve">Europe &amp; Central Asia</x:t>
        </x:is>
      </x:c>
      <x:c r="D31" t="inlineStr">
        <x:is>
          <x:t xml:space="preserve">Europe</x:t>
        </x:is>
      </x:c>
      <x:c r="E31" s="11" t="n">
        <x:v>10905028</x:v>
      </x:c>
      <x:c r="F31" s="8" t="n">
        <x:v>347034062928.479</x:v>
      </x:c>
      <x:c r="G31" s="8" t="n">
        <x:v>6524946704.27873</x:v>
      </x:c>
      <x:c r="H31" s="11" t="n"/>
      <x:c r="I31" s="10" t="n"/>
      <x:c r="J31" s="10" t="n">
        <x:v>11.01687861198584</x:v>
      </x:c>
      <x:c r="K31" s="10" t="n">
        <x:v>75.56356152487893</x:v>
      </x:c>
      <x:c r="L31" s="10" t="n">
        <x:v>0</x:v>
      </x:c>
      <x:c r="M31" s="10" t="n">
        <x:v>71.51370281624931</x:v>
      </x:c>
      <x:c r="N31" s="10" t="n">
        <x:v>65.7894044191345</x:v>
      </x:c>
      <x:c r="O31" s="10" t="n">
        <x:v>75.56356152487893</x:v>
      </x:c>
      <x:c r="P31" s="10" t="n">
        <x:v>46.15920071443236</x:v>
      </x:c>
      <x:c r="Q31" s="10" t="n">
        <x:v>58.97399309799276</x:v>
      </x:c>
      <x:c r="R31" s="10" t="n">
        <x:v>0</x:v>
      </x:c>
      <x:c r="S31" s="10" t="n">
        <x:v>50.39936330934877</x:v>
      </x:c>
      <x:c r="T31" s="10" t="n">
        <x:v>52.60495707886881</x:v>
      </x:c>
      <x:c r="U31" s="10" t="n">
        <x:v>51.5021601941088</x:v>
      </x:c>
      <x:c r="V31" s="10" t="n">
        <x:v>100</x:v>
      </x:c>
      <x:c r="W31" s="7" t="n">
        <x:v>67</x:v>
      </x:c>
      <x:c r="X31" s="7" t="n">
        <x:v>44</x:v>
      </x:c>
      <x:c r="Y31" s="7" t="n">
        <x:v>51</x:v>
      </x:c>
    </x:row>
    <x:row r="32">
      <x:c r="A32" t="inlineStr">
        <x:is>
          <x:t xml:space="preserve">PRK</x:t>
        </x:is>
      </x:c>
      <x:c r="B32" t="inlineStr">
        <x:is>
          <x:t xml:space="preserve">Korea, Dem. People's Rep.</x:t>
        </x:is>
      </x:c>
      <x:c r="C32" t="inlineStr">
        <x:is>
          <x:t xml:space="preserve">East Asia &amp; Pacific</x:t>
        </x:is>
      </x:c>
      <x:c r="D32" t="inlineStr">
        <x:is>
          <x:t xml:space="preserve">Asia</x:t>
        </x:is>
      </x:c>
      <x:c r="E32" s="11" t="n">
        <x:v>26498823</x:v>
      </x:c>
      <x:c r="F32" s="8" t="n"/>
      <x:c r="G32" s="8" t="n">
        <x:v>1604444444.44444</x:v>
      </x:c>
      <x:c r="H32" s="11" t="n">
        <x:v>505</x:v>
      </x:c>
      <x:c r="I32" s="10" t="n">
        <x:v>67.90000000000001</x:v>
      </x:c>
      <x:c r="J32" s="10" t="n">
        <x:v>28.29744126788533</x:v>
      </x:c>
      <x:c r="K32" s="10" t="n">
        <x:v>33.8022217276764</x:v>
      </x:c>
      <x:c r="L32" s="10" t="n">
        <x:v>62.76929008344305</x:v>
      </x:c>
      <x:c r="M32" s="10" t="n">
        <x:v>88.49795075462602</x:v>
      </x:c>
      <x:c r="N32" s="10" t="n">
        <x:v>66.72655117188263</x:v>
      </x:c>
      <x:c r="O32" s="10" t="n">
        <x:v>33.8022217276764</x:v>
      </x:c>
      <x:c r="P32" s="10" t="n"/>
      <x:c r="Q32" s="10" t="n">
        <x:v>66.42194973967287</x:v>
      </x:c>
      <x:c r="R32" s="10" t="n">
        <x:v>0</x:v>
      </x:c>
      <x:c r="S32" s="10" t="n">
        <x:v>55.47285035752071</x:v>
      </x:c>
      <x:c r="T32" s="10" t="n">
        <x:v>42.28454964050802</x:v>
      </x:c>
      <x:c r="U32" s="10" t="n">
        <x:v>48.87869999901436</x:v>
      </x:c>
      <x:c r="V32" s="10" t="n">
        <x:v>88</x:v>
      </x:c>
      <x:c r="W32" s="7" t="n">
        <x:v>41</x:v>
      </x:c>
      <x:c r="X32" s="7" t="n">
        <x:v>115</x:v>
      </x:c>
      <x:c r="Y32" s="7" t="n">
        <x:v>71</x:v>
      </x:c>
    </x:row>
    <x:row r="33">
      <x:c r="A33" t="inlineStr">
        <x:is>
          <x:t xml:space="preserve">STP</x:t>
        </x:is>
      </x:c>
      <x:c r="B33" t="inlineStr">
        <x:is>
          <x:t xml:space="preserve">São Tomé and Principe</x:t>
        </x:is>
      </x:c>
      <x:c r="C33" t="inlineStr">
        <x:is>
          <x:t xml:space="preserve">Sub-Saharan Africa</x:t>
        </x:is>
      </x:c>
      <x:c r="E33" s="11" t="n">
        <x:v>235536</x:v>
      </x:c>
      <x:c r="F33" s="8" t="n">
        <x:v>822154621.088897</x:v>
      </x:c>
      <x:c r="G33" s="8" t="n"/>
      <x:c r="H33" s="11" t="n"/>
      <x:c r="I33" s="10" t="n"/>
      <x:c r="J33" s="10" t="n"/>
      <x:c r="K33" s="10" t="n"/>
      <x:c r="L33" s="10" t="n">
        <x:v>0</x:v>
      </x:c>
      <x:c r="M33" s="10" t="n">
        <x:v>39.33064212965667</x:v>
      </x:c>
      <x:c r="N33" s="10" t="n">
        <x:v>39.7933897463294</x:v>
      </x:c>
      <x:c r="O33" s="10" t="n"/>
      <x:c r="P33" s="10" t="n">
        <x:v>19.78359939740052</x:v>
      </x:c>
      <x:c r="Q33" s="10" t="n">
        <x:v>26.80313438838469</x:v>
      </x:c>
      <x:c r="R33" s="10" t="n">
        <x:v>0</x:v>
      </x:c>
      <x:c r="S33" s="10" t="n">
        <x:v>23.54435990582201</x:v>
      </x:c>
      <x:c r="T33" s="10" t="n">
        <x:v>25.7784476681107</x:v>
      </x:c>
      <x:c r="U33" s="10" t="n">
        <x:v>24.66140378696635</x:v>
      </x:c>
      <x:c r="V33" s="10" t="n">
        <x:v>62</x:v>
      </x:c>
      <x:c r="W33" s="7" t="n">
        <x:v>180</x:v>
      </x:c>
      <x:c r="X33" s="7" t="n">
        <x:v>188</x:v>
      </x:c>
      <x:c r="Y33" s="7" t="n">
        <x:v>181</x:v>
      </x:c>
    </x:row>
    <x:row r="34">
      <x:c r="A34" t="inlineStr">
        <x:is>
          <x:t xml:space="preserve">TLS</x:t>
        </x:is>
      </x:c>
      <x:c r="B34" t="inlineStr">
        <x:is>
          <x:t xml:space="preserve">Timor-Leste</x:t>
        </x:is>
      </x:c>
      <x:c r="C34" t="inlineStr">
        <x:is>
          <x:t xml:space="preserve">East Asia &amp; Pacific</x:t>
        </x:is>
      </x:c>
      <x:c r="D34" t="inlineStr">
        <x:is>
          <x:t xml:space="preserve">Asia</x:t>
        </x:is>
      </x:c>
      <x:c r="E34" s="11" t="n">
        <x:v>1400638</x:v>
      </x:c>
      <x:c r="F34" s="8" t="n">
        <x:v>1865608515.41321</x:v>
      </x:c>
      <x:c r="G34" s="8" t="n">
        <x:v>46400000</x:v>
      </x:c>
      <x:c r="H34" s="11" t="n"/>
      <x:c r="I34" s="10" t="n"/>
      <x:c r="J34" s="10" t="n">
        <x:v>15.04368236603077</x:v>
      </x:c>
      <x:c r="K34" s="10" t="n">
        <x:v>41.65699694705043</x:v>
      </x:c>
      <x:c r="L34" s="10" t="n">
        <x:v>0</x:v>
      </x:c>
      <x:c r="M34" s="10" t="n">
        <x:v>50.26723081935295</x:v>
      </x:c>
      <x:c r="N34" s="10" t="n">
        <x:v>45.97198932186533</x:v>
      </x:c>
      <x:c r="O34" s="10" t="n">
        <x:v>41.65699694705043</x:v>
      </x:c>
      <x:c r="P34" s="10" t="n">
        <x:v>10.66649110262075</x:v>
      </x:c>
      <x:c r="Q34" s="10" t="n">
        <x:v>41.75829766948019</x:v>
      </x:c>
      <x:c r="R34" s="10" t="n">
        <x:v>0</x:v>
      </x:c>
      <x:c r="S34" s="10" t="n">
        <x:v>29.83168224012421</x:v>
      </x:c>
      <x:c r="T34" s="10" t="n">
        <x:v>22.95133212021096</x:v>
      </x:c>
      <x:c r="U34" s="10" t="n">
        <x:v>26.39150718016759</x:v>
      </x:c>
      <x:c r="V34" s="10" t="n">
        <x:v>100</x:v>
      </x:c>
      <x:c r="W34" s="7" t="n">
        <x:v>174</x:v>
      </x:c>
      <x:c r="X34" s="7" t="n">
        <x:v>195</x:v>
      </x:c>
      <x:c r="Y34" s="7" t="n">
        <x:v>178</x:v>
      </x:c>
    </x:row>
    <x:row r="35">
      <x:c r="A35" t="inlineStr">
        <x:is>
          <x:t xml:space="preserve">LKA</x:t>
        </x:is>
      </x:c>
      <x:c r="B35" t="inlineStr">
        <x:is>
          <x:t xml:space="preserve">Sri Lanka</x:t>
        </x:is>
      </x:c>
      <x:c r="C35" t="inlineStr">
        <x:is>
          <x:t xml:space="preserve">South Asia</x:t>
        </x:is>
      </x:c>
      <x:c r="D35" t="inlineStr">
        <x:is>
          <x:t xml:space="preserve">Asia</x:t>
        </x:is>
      </x:c>
      <x:c r="E35" s="11" t="n">
        <x:v>21916000</x:v>
      </x:c>
      <x:c r="F35" s="8" t="n">
        <x:v>98963185509.64999</x:v>
      </x:c>
      <x:c r="G35" s="8" t="n">
        <x:v>1333312353.41663</x:v>
      </x:c>
      <x:c r="H35" s="11" t="n">
        <x:v>270</x:v>
      </x:c>
      <x:c r="I35" s="10" t="n"/>
      <x:c r="J35" s="10" t="n">
        <x:v>3.997069330453465</x:v>
      </x:c>
      <x:c r="K35" s="10" t="n">
        <x:v>64.92486209862773</x:v>
      </x:c>
      <x:c r="L35" s="10" t="n">
        <x:v>50.59444392330025</x:v>
      </x:c>
      <x:c r="M35" s="10" t="n">
        <x:v>77.68519789090152</x:v>
      </x:c>
      <x:c r="N35" s="10" t="n">
        <x:v>63.01118045275719</x:v>
      </x:c>
      <x:c r="O35" s="10" t="n">
        <x:v>64.92486209862773</x:v>
      </x:c>
      <x:c r="P35" s="10" t="n">
        <x:v>23.74559666837558</x:v>
      </x:c>
      <x:c r="Q35" s="10" t="n">
        <x:v>64.82911194233637</x:v>
      </x:c>
      <x:c r="R35" s="10" t="n">
        <x:v>0</x:v>
      </x:c>
      <x:c r="S35" s="10" t="n">
        <x:v>52.71030926190281</x:v>
      </x:c>
      <x:c r="T35" s="10" t="n">
        <x:v>34.6585263195557</x:v>
      </x:c>
      <x:c r="U35" s="10" t="n">
        <x:v>43.68441779072926</x:v>
      </x:c>
      <x:c r="V35" s="10" t="n">
        <x:v>100</x:v>
      </x:c>
      <x:c r="W35" s="7" t="n">
        <x:v>55</x:v>
      </x:c>
      <x:c r="X35" s="7" t="n">
        <x:v>158</x:v>
      </x:c>
      <x:c r="Y35" s="7" t="n">
        <x:v>104</x:v>
      </x:c>
    </x:row>
    <x:row r="36">
      <x:c r="A36" t="inlineStr">
        <x:is>
          <x:t xml:space="preserve">DOM</x:t>
        </x:is>
      </x:c>
      <x:c r="B36" t="inlineStr">
        <x:is>
          <x:t xml:space="preserve">Dominican Republic</x:t>
        </x:is>
      </x:c>
      <x:c r="C36" t="inlineStr">
        <x:is>
          <x:t xml:space="preserve">Latin America &amp; Caribbean</x:t>
        </x:is>
      </x:c>
      <x:c r="D36" t="inlineStr">
        <x:is>
          <x:t xml:space="preserve">North America</x:t>
        </x:is>
      </x:c>
      <x:c r="E36" s="11" t="n">
        <x:v>11427557</x:v>
      </x:c>
      <x:c r="F36" s="8" t="n">
        <x:v>124282245638.568</x:v>
      </x:c>
      <x:c r="G36" s="8" t="n">
        <x:v>980991970.499619</x:v>
      </x:c>
      <x:c r="H36" s="11" t="n">
        <x:v>34</x:v>
      </x:c>
      <x:c r="I36" s="10" t="n"/>
      <x:c r="J36" s="10" t="n">
        <x:v>16.528603694431</x:v>
      </x:c>
      <x:c r="K36" s="10" t="n">
        <x:v>67.44964624134164</x:v>
      </x:c>
      <x:c r="L36" s="10" t="n">
        <x:v>27.60008882041813</x:v>
      </x:c>
      <x:c r="M36" s="10" t="n">
        <x:v>71.94098707731247</x:v>
      </x:c>
      <x:c r="N36" s="10" t="n">
        <x:v>59.30841905354634</x:v>
      </x:c>
      <x:c r="O36" s="10" t="n">
        <x:v>67.44964624134164</x:v>
      </x:c>
      <x:c r="P36" s="10" t="n">
        <x:v>37.86720368147119</x:v>
      </x:c>
      <x:c r="Q36" s="10" t="n">
        <x:v>59.36660666959459</x:v>
      </x:c>
      <x:c r="R36" s="10" t="n">
        <x:v>0</x:v>
      </x:c>
      <x:c r="S36" s="10" t="n">
        <x:v>52.17306105159595</x:v>
      </x:c>
      <x:c r="T36" s="10" t="n">
        <x:v>50.62383330700462</x:v>
      </x:c>
      <x:c r="U36" s="10" t="n">
        <x:v>51.39844717930029</x:v>
      </x:c>
      <x:c r="V36" s="10" t="n">
        <x:v>100</x:v>
      </x:c>
      <x:c r="W36" s="7" t="n">
        <x:v>58</x:v>
      </x:c>
      <x:c r="X36" s="7" t="n">
        <x:v>57</x:v>
      </x:c>
      <x:c r="Y36" s="7" t="n">
        <x:v>52</x:v>
      </x:c>
    </x:row>
    <x:row r="37">
      <x:c r="A37" t="inlineStr">
        <x:is>
          <x:t xml:space="preserve">URY</x:t>
        </x:is>
      </x:c>
      <x:c r="B37" t="inlineStr">
        <x:is>
          <x:t xml:space="preserve">Uruguay</x:t>
        </x:is>
      </x:c>
      <x:c r="C37" t="inlineStr">
        <x:is>
          <x:t xml:space="preserve">Latin America &amp; Caribbean</x:t>
        </x:is>
      </x:c>
      <x:c r="D37" t="inlineStr">
        <x:is>
          <x:t xml:space="preserve">South America</x:t>
        </x:is>
      </x:c>
      <x:c r="E37" s="11" t="n">
        <x:v>3386588</x:v>
      </x:c>
      <x:c r="F37" s="8" t="n">
        <x:v>80961511073.5797</x:v>
      </x:c>
      <x:c r="G37" s="8" t="n">
        <x:v>1736764487.451</x:v>
      </x:c>
      <x:c r="H37" s="11" t="n">
        <x:v>11</x:v>
      </x:c>
      <x:c r="I37" s="10" t="n"/>
      <x:c r="J37" s="10" t="n">
        <x:v>2.632844014770041</x:v>
      </x:c>
      <x:c r="K37" s="10" t="n">
        <x:v>57.68452698963915</x:v>
      </x:c>
      <x:c r="L37" s="10" t="n">
        <x:v>15.57426236937726</x:v>
      </x:c>
      <x:c r="M37" s="10" t="n">
        <x:v>67.62613607830664</x:v>
      </x:c>
      <x:c r="N37" s="10" t="n">
        <x:v>59.19945482647038</x:v>
      </x:c>
      <x:c r="O37" s="10" t="n">
        <x:v>57.68452698963915</x:v>
      </x:c>
      <x:c r="P37" s="10" t="n">
        <x:v>37.2428402653335</x:v>
      </x:c>
      <x:c r="Q37" s="10" t="n">
        <x:v>49.16446581715601</x:v>
      </x:c>
      <x:c r="R37" s="10" t="n">
        <x:v>0</x:v>
      </x:c>
      <x:c r="S37" s="10" t="n">
        <x:v>47.02897189059377</x:v>
      </x:c>
      <x:c r="T37" s="10" t="n">
        <x:v>44.88102294420733</x:v>
      </x:c>
      <x:c r="U37" s="10" t="n">
        <x:v>45.95499741740055</x:v>
      </x:c>
      <x:c r="V37" s="10" t="n">
        <x:v>100</x:v>
      </x:c>
      <x:c r="W37" s="7" t="n">
        <x:v>85</x:v>
      </x:c>
      <x:c r="X37" s="7" t="n">
        <x:v>87</x:v>
      </x:c>
      <x:c r="Y37" s="7" t="n">
        <x:v>88</x:v>
      </x:c>
    </x:row>
    <x:row r="38">
      <x:c r="A38" t="inlineStr">
        <x:is>
          <x:t xml:space="preserve">FLK</x:t>
        </x:is>
      </x:c>
      <x:c r="B38" t="inlineStr">
        <x:is>
          <x:t xml:space="preserve">Falkland Islands (Malvinas)</x:t>
        </x:is>
      </x:c>
      <x:c r="D38" t="inlineStr">
        <x:is>
          <x:t xml:space="preserve">South America</x:t>
        </x:is>
      </x:c>
      <x:c r="E38" s="11" t="n"/>
      <x:c r="F38" s="8" t="n"/>
      <x:c r="G38" s="8" t="n"/>
      <x:c r="H38" s="11" t="n"/>
      <x:c r="I38" s="10" t="n"/>
      <x:c r="J38" s="10" t="n">
        <x:v>14.19884024917466</x:v>
      </x:c>
      <x:c r="K38" s="10" t="n">
        <x:v>61.6485258827418</x:v>
      </x:c>
      <x:c r="L38" s="10" t="n">
        <x:v>0</x:v>
      </x:c>
      <x:c r="M38" s="10" t="n"/>
      <x:c r="N38" s="10" t="n"/>
      <x:c r="O38" s="10" t="n">
        <x:v>61.6485258827418</x:v>
      </x:c>
      <x:c r="P38" s="10" t="n">
        <x:v>47.92392814352511</x:v>
      </x:c>
      <x:c r="Q38" s="10" t="n"/>
      <x:c r="R38" s="10" t="n">
        <x:v>0</x:v>
      </x:c>
      <x:c r="S38" s="10" t="n">
        <x:v>33.91139958666325</x:v>
      </x:c>
      <x:c r="T38" s="10" t="n">
        <x:v>32.33899546827995</x:v>
      </x:c>
      <x:c r="U38" s="10" t="n">
        <x:v>33.1251975274716</x:v>
      </x:c>
      <x:c r="V38" s="10" t="n">
        <x:v>50</x:v>
      </x:c>
      <x:c r="W38" s="7" t="n">
        <x:v>160</x:v>
      </x:c>
      <x:c r="X38" s="7" t="n">
        <x:v>165</x:v>
      </x:c>
      <x:c r="Y38" s="7" t="n">
        <x:v>165</x:v>
      </x:c>
    </x:row>
    <x:row r="39">
      <x:c r="A39" t="inlineStr">
        <x:is>
          <x:t xml:space="preserve">FRO</x:t>
        </x:is>
      </x:c>
      <x:c r="B39" t="inlineStr">
        <x:is>
          <x:t xml:space="preserve">Faroe Islands</x:t>
        </x:is>
      </x:c>
      <x:c r="C39" t="inlineStr">
        <x:is>
          <x:t xml:space="preserve">Europe &amp; Central Asia</x:t>
        </x:is>
      </x:c>
      <x:c r="E39" s="11" t="n">
        <x:v>54681</x:v>
      </x:c>
      <x:c r="F39" s="8" t="n">
        <x:v>4052937169.76536</x:v>
      </x:c>
      <x:c r="G39" s="8" t="n"/>
      <x:c r="H39" s="11" t="n"/>
      <x:c r="I39" s="10" t="n"/>
      <x:c r="J39" s="10" t="n"/>
      <x:c r="K39" s="10" t="n"/>
      <x:c r="L39" s="10" t="n">
        <x:v>0</x:v>
      </x:c>
      <x:c r="M39" s="10" t="n">
        <x:v>32.01487570867049</x:v>
      </x:c>
      <x:c r="N39" s="10" t="n"/>
      <x:c r="O39" s="10" t="n"/>
      <x:c r="P39" s="10" t="n">
        <x:v>32.01487570867049</x:v>
      </x:c>
      <x:c r="Q39" s="10" t="n">
        <x:v>14.55311702404539</x:v>
      </x:c>
      <x:c r="R39" s="10" t="n">
        <x:v>0</x:v>
      </x:c>
      <x:c r="S39" s="10" t="n">
        <x:v>17.25112190214175</x:v>
      </x:c>
      <x:c r="T39" s="10" t="n">
        <x:v>22.22540769695197</x:v>
      </x:c>
      <x:c r="U39" s="10" t="n">
        <x:v>19.73826479954686</x:v>
      </x:c>
      <x:c r="V39" s="10" t="n">
        <x:v>50</x:v>
      </x:c>
      <x:c r="W39" s="7" t="n">
        <x:v>198</x:v>
      </x:c>
      <x:c r="X39" s="7" t="n">
        <x:v>199</x:v>
      </x:c>
      <x:c r="Y39" s="7" t="n">
        <x:v>199</x:v>
      </x:c>
    </x:row>
    <x:row r="40">
      <x:c r="A40" t="inlineStr">
        <x:is>
          <x:t xml:space="preserve">ETH</x:t>
        </x:is>
      </x:c>
      <x:c r="B40" t="inlineStr">
        <x:is>
          <x:t xml:space="preserve">Ethiopia</x:t>
        </x:is>
      </x:c>
      <x:c r="C40" t="inlineStr">
        <x:is>
          <x:t xml:space="preserve">Sub-Saharan Africa</x:t>
        </x:is>
      </x:c>
      <x:c r="D40" t="inlineStr">
        <x:is>
          <x:t xml:space="preserve">Africa</x:t>
        </x:is>
      </x:c>
      <x:c r="E40" s="11" t="n">
        <x:v>132059767</x:v>
      </x:c>
      <x:c r="F40" s="8" t="n">
        <x:v>149740297952.986</x:v>
      </x:c>
      <x:c r="G40" s="8" t="n">
        <x:v>921665263.86463</x:v>
      </x:c>
      <x:c r="H40" s="11" t="n"/>
      <x:c r="I40" s="10" t="n"/>
      <x:c r="J40" s="10" t="n">
        <x:v>9.812153769312761</x:v>
      </x:c>
      <x:c r="K40" s="10" t="n">
        <x:v>29.67543468400966</x:v>
      </x:c>
      <x:c r="L40" s="10" t="n">
        <x:v>0</x:v>
      </x:c>
      <x:c r="M40" s="10" t="n">
        <x:v>74.60732214098419</x:v>
      </x:c>
      <x:c r="N40" s="10" t="n">
        <x:v>60.52765333192725</x:v>
      </x:c>
      <x:c r="O40" s="10" t="n">
        <x:v>29.67543468400966</x:v>
      </x:c>
      <x:c r="P40" s="10" t="n">
        <x:v>36.0319331050195</x:v>
      </x:c>
      <x:c r="Q40" s="10" t="n">
        <x:v>79.89518615456305</x:v>
      </x:c>
      <x:c r="R40" s="10" t="n">
        <x:v>0</x:v>
      </x:c>
      <x:c r="S40" s="10" t="n">
        <x:v>43.23960645237116</x:v>
      </x:c>
      <x:c r="T40" s="10" t="n">
        <x:v>46.80911301649013</x:v>
      </x:c>
      <x:c r="U40" s="10" t="n">
        <x:v>45.02435973443065</x:v>
      </x:c>
      <x:c r="V40" s="10" t="n">
        <x:v>100</x:v>
      </x:c>
      <x:c r="W40" s="7" t="n">
        <x:v>106</x:v>
      </x:c>
      <x:c r="X40" s="7" t="n">
        <x:v>74</x:v>
      </x:c>
      <x:c r="Y40" s="7" t="n">
        <x:v>95</x:v>
      </x:c>
    </x:row>
    <x:row r="41">
      <x:c r="A41" t="inlineStr">
        <x:is>
          <x:t xml:space="preserve">NPL</x:t>
        </x:is>
      </x:c>
      <x:c r="B41" t="inlineStr">
        <x:is>
          <x:t xml:space="preserve">Nepal</x:t>
        </x:is>
      </x:c>
      <x:c r="C41" t="inlineStr">
        <x:is>
          <x:t xml:space="preserve">South Asia</x:t>
        </x:is>
      </x:c>
      <x:c r="D41" t="inlineStr">
        <x:is>
          <x:t xml:space="preserve">Asia</x:t>
        </x:is>
      </x:c>
      <x:c r="E41" s="11" t="n">
        <x:v>29651054</x:v>
      </x:c>
      <x:c r="F41" s="8" t="n">
        <x:v>42914268286.7109</x:v>
      </x:c>
      <x:c r="G41" s="8" t="n">
        <x:v>426517834.461529</x:v>
      </x:c>
      <x:c r="H41" s="11" t="n"/>
      <x:c r="I41" s="10" t="n"/>
      <x:c r="J41" s="10" t="n">
        <x:v>15.4065708707884</x:v>
      </x:c>
      <x:c r="K41" s="10" t="n">
        <x:v>39.90338046047668</x:v>
      </x:c>
      <x:c r="L41" s="10" t="n">
        <x:v>0</x:v>
      </x:c>
      <x:c r="M41" s="10" t="n">
        <x:v>71.54188919427263</x:v>
      </x:c>
      <x:c r="N41" s="10" t="n">
        <x:v>58.59743649522301</x:v>
      </x:c>
      <x:c r="O41" s="10" t="n">
        <x:v>39.90338046047668</x:v>
      </x:c>
      <x:c r="P41" s="10" t="n">
        <x:v>20.64307803275805</x:v>
      </x:c>
      <x:c r="Q41" s="10" t="n">
        <x:v>67.36479572851366</x:v>
      </x:c>
      <x:c r="R41" s="10" t="n">
        <x:v>0</x:v>
      </x:c>
      <x:c r="S41" s="10" t="n">
        <x:v>37.42803221689345</x:v>
      </x:c>
      <x:c r="T41" s="10" t="n">
        <x:v>30.69666003019289</x:v>
      </x:c>
      <x:c r="U41" s="10" t="n">
        <x:v>34.06234612354317</x:v>
      </x:c>
      <x:c r="V41" s="10" t="n">
        <x:v>100</x:v>
      </x:c>
      <x:c r="W41" s="7" t="n">
        <x:v>138</x:v>
      </x:c>
      <x:c r="X41" s="7" t="n">
        <x:v>170</x:v>
      </x:c>
      <x:c r="Y41" s="7" t="n">
        <x:v>161</x:v>
      </x:c>
    </x:row>
    <x:row r="42">
      <x:c r="A42" t="inlineStr">
        <x:is>
          <x:t xml:space="preserve">DEU</x:t>
        </x:is>
      </x:c>
      <x:c r="B42" t="inlineStr">
        <x:is>
          <x:t xml:space="preserve">Germany</x:t>
        </x:is>
      </x:c>
      <x:c r="C42" t="inlineStr">
        <x:is>
          <x:t xml:space="preserve">Europe &amp; Central Asia</x:t>
        </x:is>
      </x:c>
      <x:c r="D42" t="inlineStr">
        <x:is>
          <x:t xml:space="preserve">Europe</x:t>
        </x:is>
      </x:c>
      <x:c r="E42" s="11" t="n">
        <x:v>83516593</x:v>
      </x:c>
      <x:c r="F42" s="8" t="n">
        <x:v>4685592577804.69</x:v>
      </x:c>
      <x:c r="G42" s="8" t="n">
        <x:v>88458476389.51089</x:v>
      </x:c>
      <x:c r="H42" s="11" t="n">
        <x:v>64</x:v>
      </x:c>
      <x:c r="I42" s="10" t="n">
        <x:v>54.7</x:v>
      </x:c>
      <x:c r="J42" s="10" t="n">
        <x:v>14.57214742488231</x:v>
      </x:c>
      <x:c r="K42" s="10" t="n">
        <x:v>84.8864555027228</x:v>
      </x:c>
      <x:c r="L42" s="10" t="n">
        <x:v>50.76705342942058</x:v>
      </x:c>
      <x:c r="M42" s="10" t="n">
        <x:v>84.59345595785986</x:v>
      </x:c>
      <x:c r="N42" s="10" t="n">
        <x:v>80.3607684111885</x:v>
      </x:c>
      <x:c r="O42" s="10" t="n">
        <x:v>84.8864555027228</x:v>
      </x:c>
      <x:c r="P42" s="10" t="n">
        <x:v>61.4422621963045</x:v>
      </x:c>
      <x:c r="Q42" s="10" t="n">
        <x:v>76.05149446272506</x:v>
      </x:c>
      <x:c r="R42" s="10" t="n">
        <x:v>0</x:v>
      </x:c>
      <x:c r="S42" s="10" t="n">
        <x:v>70.38913570402143</x:v>
      </x:c>
      <x:c r="T42" s="10" t="n">
        <x:v>62.57122747824625</x:v>
      </x:c>
      <x:c r="U42" s="10" t="n">
        <x:v>66.48018159113384</x:v>
      </x:c>
      <x:c r="V42" s="10" t="n">
        <x:v>100</x:v>
      </x:c>
      <x:c r="W42" s="7" t="n">
        <x:v>6</x:v>
      </x:c>
      <x:c r="X42" s="7" t="n">
        <x:v>8</x:v>
      </x:c>
      <x:c r="Y42" s="7" t="n">
        <x:v>7</x:v>
      </x:c>
    </x:row>
    <x:row r="43">
      <x:c r="A43" t="inlineStr">
        <x:is>
          <x:t xml:space="preserve">NGA</x:t>
        </x:is>
      </x:c>
      <x:c r="B43" t="inlineStr">
        <x:is>
          <x:t xml:space="preserve">Nigeria</x:t>
        </x:is>
      </x:c>
      <x:c r="C43" t="inlineStr">
        <x:is>
          <x:t xml:space="preserve">Sub-Saharan Africa</x:t>
        </x:is>
      </x:c>
      <x:c r="D43" t="inlineStr">
        <x:is>
          <x:t xml:space="preserve">Africa</x:t>
        </x:is>
      </x:c>
      <x:c r="E43" s="11" t="n">
        <x:v>232679478</x:v>
      </x:c>
      <x:c r="F43" s="8" t="n">
        <x:v>252261880141.151</x:v>
      </x:c>
      <x:c r="G43" s="8" t="n">
        <x:v>1133303623.27648</x:v>
      </x:c>
      <x:c r="H43" s="11" t="n">
        <x:v>133</x:v>
      </x:c>
      <x:c r="I43" s="10" t="n"/>
      <x:c r="J43" s="10" t="n">
        <x:v>7.562467546638101</x:v>
      </x:c>
      <x:c r="K43" s="10" t="n">
        <x:v>52.87882111950027</x:v>
      </x:c>
      <x:c r="L43" s="10" t="n">
        <x:v>42.68225257287716</x:v>
      </x:c>
      <x:c r="M43" s="10" t="n">
        <x:v>77.25126084353769</x:v>
      </x:c>
      <x:c r="N43" s="10" t="n">
        <x:v>61.94539834849939</x:v>
      </x:c>
      <x:c r="O43" s="10" t="n">
        <x:v>52.87882111950027</x:v>
      </x:c>
      <x:c r="P43" s="10" t="n">
        <x:v>39.24448167057403</x:v>
      </x:c>
      <x:c r="Q43" s="10" t="n">
        <x:v>84.64649759672673</x:v>
      </x:c>
      <x:c r="R43" s="10" t="n">
        <x:v>0</x:v>
      </x:c>
      <x:c r="S43" s="10" t="n">
        <x:v>57.00596913608997</x:v>
      </x:c>
      <x:c r="T43" s="10" t="n">
        <x:v>51.67745429713553</x:v>
      </x:c>
      <x:c r="U43" s="10" t="n">
        <x:v>54.34171171661275</x:v>
      </x:c>
      <x:c r="V43" s="10" t="n">
        <x:v>100</x:v>
      </x:c>
      <x:c r="W43" s="7" t="n">
        <x:v>37</x:v>
      </x:c>
      <x:c r="X43" s="7" t="n">
        <x:v>49</x:v>
      </x:c>
      <x:c r="Y43" s="7" t="n">
        <x:v>40</x:v>
      </x:c>
    </x:row>
    <x:row r="44">
      <x:c r="A44" t="inlineStr">
        <x:is>
          <x:t xml:space="preserve">SOM</x:t>
        </x:is>
      </x:c>
      <x:c r="B44" t="inlineStr">
        <x:is>
          <x:t xml:space="preserve">Somalia, Fed. Rep.</x:t>
        </x:is>
      </x:c>
      <x:c r="C44" t="inlineStr">
        <x:is>
          <x:t xml:space="preserve">Sub-Saharan Africa</x:t>
        </x:is>
      </x:c>
      <x:c r="D44" t="inlineStr">
        <x:is>
          <x:t xml:space="preserve">Africa</x:t>
        </x:is>
      </x:c>
      <x:c r="E44" s="11" t="n">
        <x:v>19009151</x:v>
      </x:c>
      <x:c r="F44" s="8" t="n">
        <x:v>11967000000</x:v>
      </x:c>
      <x:c r="G44" s="8" t="n">
        <x:v>201854000</x:v>
      </x:c>
      <x:c r="H44" s="11" t="n">
        <x:v>11</x:v>
      </x:c>
      <x:c r="I44" s="10" t="n"/>
      <x:c r="J44" s="10" t="n">
        <x:v>22.56560117331973</x:v>
      </x:c>
      <x:c r="K44" s="10" t="n">
        <x:v>4.52049748874922</x:v>
      </x:c>
      <x:c r="L44" s="10" t="n">
        <x:v>15.57426236937726</x:v>
      </x:c>
      <x:c r="M44" s="10" t="n">
        <x:v>61.37680152138008</x:v>
      </x:c>
      <x:c r="N44" s="10" t="n">
        <x:v>52.8067737737693</x:v>
      </x:c>
      <x:c r="O44" s="10" t="n">
        <x:v>4.52049748874922</x:v>
      </x:c>
      <x:c r="P44" s="10" t="n">
        <x:v>24.20111506208886</x:v>
      </x:c>
      <x:c r="Q44" s="10" t="n">
        <x:v>63.63545705632308</x:v>
      </x:c>
      <x:c r="R44" s="10" t="n">
        <x:v>0</x:v>
      </x:c>
      <x:c r="S44" s="10" t="n">
        <x:v>35.39134522660155</x:v>
      </x:c>
      <x:c r="T44" s="10" t="n">
        <x:v>37.84529550433227</x:v>
      </x:c>
      <x:c r="U44" s="10" t="n">
        <x:v>36.61832036546691</x:v>
      </x:c>
      <x:c r="V44" s="10" t="n">
        <x:v>100</x:v>
      </x:c>
      <x:c r="W44" s="7" t="n">
        <x:v>152</x:v>
      </x:c>
      <x:c r="X44" s="7" t="n">
        <x:v>147</x:v>
      </x:c>
      <x:c r="Y44" s="7" t="n">
        <x:v>151</x:v>
      </x:c>
    </x:row>
    <x:row r="45">
      <x:c r="A45" t="inlineStr">
        <x:is>
          <x:t xml:space="preserve">FSM</x:t>
        </x:is>
      </x:c>
      <x:c r="B45" t="inlineStr">
        <x:is>
          <x:t xml:space="preserve">Micronesia, Fed. Sts.</x:t>
        </x:is>
      </x:c>
      <x:c r="C45" t="inlineStr">
        <x:is>
          <x:t xml:space="preserve">East Asia &amp; Pacific</x:t>
        </x:is>
      </x:c>
      <x:c r="E45" s="11" t="n">
        <x:v>113160</x:v>
      </x:c>
      <x:c r="F45" s="8" t="n">
        <x:v>471425099.488675</x:v>
      </x:c>
      <x:c r="G45" s="8" t="n"/>
      <x:c r="H45" s="11" t="n"/>
      <x:c r="I45" s="10" t="n"/>
      <x:c r="J45" s="10" t="n"/>
      <x:c r="K45" s="10" t="n"/>
      <x:c r="L45" s="10" t="n">
        <x:v>0</x:v>
      </x:c>
      <x:c r="M45" s="10" t="n">
        <x:v>15.519334862187</x:v>
      </x:c>
      <x:c r="N45" s="10" t="n"/>
      <x:c r="O45" s="10" t="n"/>
      <x:c r="P45" s="10" t="n">
        <x:v>15.519334862187</x:v>
      </x:c>
      <x:c r="Q45" s="10" t="n">
        <x:v>20.65388529288279</x:v>
      </x:c>
      <x:c r="R45" s="10" t="n">
        <x:v>0</x:v>
      </x:c>
      <x:c r="S45" s="10" t="n">
        <x:v>10.34061434108953</x:v>
      </x:c>
      <x:c r="T45" s="10" t="n">
        <x:v>13.86458089422023</x:v>
      </x:c>
      <x:c r="U45" s="10" t="n">
        <x:v>12.10259761765488</x:v>
      </x:c>
      <x:c r="V45" s="10" t="n">
        <x:v>50</x:v>
      </x:c>
      <x:c r="W45" s="7" t="n">
        <x:v>212</x:v>
      </x:c>
      <x:c r="X45" s="7" t="n">
        <x:v>213</x:v>
      </x:c>
      <x:c r="Y45" s="7" t="n">
        <x:v>213</x:v>
      </x:c>
    </x:row>
    <x:row r="46">
      <x:c r="A46" t="inlineStr">
        <x:is>
          <x:t xml:space="preserve">BRA</x:t>
        </x:is>
      </x:c>
      <x:c r="B46" t="inlineStr">
        <x:is>
          <x:t xml:space="preserve">Brazil</x:t>
        </x:is>
      </x:c>
      <x:c r="C46" t="inlineStr">
        <x:is>
          <x:t xml:space="preserve">Latin America &amp; Caribbean</x:t>
        </x:is>
      </x:c>
      <x:c r="D46" t="inlineStr">
        <x:is>
          <x:t xml:space="preserve">South America</x:t>
        </x:is>
      </x:c>
      <x:c r="E46" s="11" t="n">
        <x:v>211998573</x:v>
      </x:c>
      <x:c r="F46" s="8" t="n">
        <x:v>2185821648943.86</x:v>
      </x:c>
      <x:c r="G46" s="8" t="n">
        <x:v>20947723265.0291</x:v>
      </x:c>
      <x:c r="H46" s="11" t="n">
        <x:v>134</x:v>
      </x:c>
      <x:c r="I46" s="10" t="n">
        <x:v>39.9</x:v>
      </x:c>
      <x:c r="J46" s="10" t="n">
        <x:v>22.75305970140954</x:v>
      </x:c>
      <x:c r="K46" s="10" t="n">
        <x:v>53.56423067654104</x:v>
      </x:c>
      <x:c r="L46" s="10" t="n">
        <x:v>50.98163237244916</x:v>
      </x:c>
      <x:c r="M46" s="10" t="n">
        <x:v>87.56089920783997</x:v>
      </x:c>
      <x:c r="N46" s="10" t="n">
        <x:v>70.50437165081048</x:v>
      </x:c>
      <x:c r="O46" s="10" t="n">
        <x:v>53.56423067654104</x:v>
      </x:c>
      <x:c r="P46" s="10" t="n">
        <x:v>51.0123360270264</x:v>
      </x:c>
      <x:c r="Q46" s="10" t="n">
        <x:v>83.86567579324533</x:v>
      </x:c>
      <x:c r="R46" s="10" t="n">
        <x:v>0</x:v>
      </x:c>
      <x:c r="S46" s="10" t="n">
        <x:v>63.08126833740065</x:v>
      </x:c>
      <x:c r="T46" s="10" t="n">
        <x:v>58.95945818287682</x:v>
      </x:c>
      <x:c r="U46" s="10" t="n">
        <x:v>61.02036326013874</x:v>
      </x:c>
      <x:c r="V46" s="10" t="n">
        <x:v>100</x:v>
      </x:c>
      <x:c r="W46" s="7" t="n">
        <x:v>18</x:v>
      </x:c>
      <x:c r="X46" s="7" t="n">
        <x:v>15</x:v>
      </x:c>
      <x:c r="Y46" s="7" t="n">
        <x:v>18</x:v>
      </x:c>
    </x:row>
    <x:row r="47">
      <x:c r="A47" t="inlineStr">
        <x:is>
          <x:t xml:space="preserve">GUF</x:t>
        </x:is>
      </x:c>
      <x:c r="B47" t="inlineStr">
        <x:is>
          <x:t xml:space="preserve">French Guiana</x:t>
        </x:is>
      </x:c>
      <x:c r="E47" s="11" t="n"/>
      <x:c r="F47" s="8" t="n"/>
      <x:c r="G47" s="8" t="n"/>
      <x:c r="H47" s="11" t="n"/>
      <x:c r="I47" s="10" t="n"/>
      <x:c r="J47" s="10" t="n"/>
      <x:c r="K47" s="10" t="n"/>
      <x:c r="L47" s="10" t="n">
        <x:v>0</x:v>
      </x:c>
      <x:c r="M47" s="10" t="n"/>
      <x:c r="N47" s="10" t="n"/>
      <x:c r="O47" s="10" t="n"/>
      <x:c r="P47" s="10" t="n"/>
      <x:c r="Q47" s="10" t="n"/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12</x:v>
      </x:c>
      <x:c r="W47" s="7" t="n">
        <x:v>222</x:v>
      </x:c>
      <x:c r="X47" s="7" t="n">
        <x:v>222</x:v>
      </x:c>
      <x:c r="Y47" s="7" t="n">
        <x:v>222</x:v>
      </x:c>
    </x:row>
    <x:row r="48">
      <x:c r="A48" t="inlineStr">
        <x:is>
          <x:t xml:space="preserve">PYF</x:t>
        </x:is>
      </x:c>
      <x:c r="B48" t="inlineStr">
        <x:is>
          <x:t xml:space="preserve">French Polynesia</x:t>
        </x:is>
      </x:c>
      <x:c r="C48" t="inlineStr">
        <x:is>
          <x:t xml:space="preserve">East Asia &amp; Pacific</x:t>
        </x:is>
      </x:c>
      <x:c r="E48" s="11" t="n">
        <x:v>281807</x:v>
      </x:c>
      <x:c r="F48" s="8" t="n">
        <x:v>6323716355.05009</x:v>
      </x:c>
      <x:c r="G48" s="8" t="n"/>
      <x:c r="H48" s="11" t="n"/>
      <x:c r="I48" s="10" t="n"/>
      <x:c r="J48" s="10" t="n"/>
      <x:c r="K48" s="10" t="n"/>
      <x:c r="L48" s="10" t="n">
        <x:v>0</x:v>
      </x:c>
      <x:c r="M48" s="10" t="n">
        <x:v>35.42575541329577</x:v>
      </x:c>
      <x:c r="N48" s="10" t="n"/>
      <x:c r="O48" s="10" t="n"/>
      <x:c r="P48" s="10" t="n">
        <x:v>35.42575541329577</x:v>
      </x:c>
      <x:c r="Q48" s="10" t="n">
        <x:v>28.30768003601514</x:v>
      </x:c>
      <x:c r="R48" s="10" t="n">
        <x:v>0</x:v>
      </x:c>
      <x:c r="S48" s="10" t="n">
        <x:v>20.86420147334202</x:v>
      </x:c>
      <x:c r="T48" s="10" t="n">
        <x:v>27.3669645705873</x:v>
      </x:c>
      <x:c r="U48" s="10" t="n">
        <x:v>24.11558302196466</x:v>
      </x:c>
      <x:c r="V48" s="10" t="n">
        <x:v>50</x:v>
      </x:c>
      <x:c r="W48" s="7" t="n">
        <x:v>184</x:v>
      </x:c>
      <x:c r="X48" s="7" t="n">
        <x:v>180</x:v>
      </x:c>
      <x:c r="Y48" s="7" t="n">
        <x:v>182</x:v>
      </x:c>
    </x:row>
    <x:row r="49">
      <x:c r="A49" t="inlineStr">
        <x:is>
          <x:t xml:space="preserve">FRA</x:t>
        </x:is>
      </x:c>
      <x:c r="B49" t="inlineStr">
        <x:is>
          <x:t xml:space="preserve">France</x:t>
        </x:is>
      </x:c>
      <x:c r="C49" t="inlineStr">
        <x:is>
          <x:t xml:space="preserve">Europe &amp; Central Asia</x:t>
        </x:is>
      </x:c>
      <x:c r="D49" t="inlineStr">
        <x:is>
          <x:t xml:space="preserve">Europe</x:t>
        </x:is>
      </x:c>
      <x:c r="E49" s="11" t="n">
        <x:v>68551653</x:v>
      </x:c>
      <x:c r="F49" s="8" t="n">
        <x:v>3160442622465.08</x:v>
      </x:c>
      <x:c r="G49" s="8" t="n">
        <x:v>64675015306.1997</x:v>
      </x:c>
      <x:c r="H49" s="11" t="n">
        <x:v>128</x:v>
      </x:c>
      <x:c r="I49" s="10" t="n">
        <x:v>92.90000000000001</x:v>
      </x:c>
      <x:c r="J49" s="10" t="n">
        <x:v>36.96261858281957</x:v>
      </x:c>
      <x:c r="K49" s="10" t="n">
        <x:v>77.06411027726806</x:v>
      </x:c>
      <x:c r="L49" s="10" t="n">
        <x:v>63.0939625183471</x:v>
      </x:c>
      <x:c r="M49" s="10" t="n">
        <x:v>85.72491670686772</x:v>
      </x:c>
      <x:c r="N49" s="10" t="n">
        <x:v>74.72679475532247</x:v>
      </x:c>
      <x:c r="O49" s="10" t="n">
        <x:v>77.06411027726806</x:v>
      </x:c>
      <x:c r="P49" s="10" t="n">
        <x:v>57.7953001806942</x:v>
      </x:c>
      <x:c r="Q49" s="10" t="n">
        <x:v>74.39511822664753</x:v>
      </x:c>
      <x:c r="R49" s="10" t="n">
        <x:v>37.22346992238161</x:v>
      </x:c>
      <x:c r="S49" s="10" t="n">
        <x:v>70.54785678560165</x:v>
      </x:c>
      <x:c r="T49" s="10" t="n">
        <x:v>68.15965599065017</x:v>
      </x:c>
      <x:c r="U49" s="10" t="n">
        <x:v>69.3537563881259</x:v>
      </x:c>
      <x:c r="V49" s="10" t="n">
        <x:v>100</x:v>
      </x:c>
      <x:c r="W49" s="7" t="n">
        <x:v>5</x:v>
      </x:c>
      <x:c r="X49" s="7" t="n">
        <x:v>5</x:v>
      </x:c>
      <x:c r="Y49" s="7" t="n">
        <x:v>4</x:v>
      </x:c>
    </x:row>
    <x:row r="50">
      <x:c r="A50" t="inlineStr">
        <x:is>
          <x:t xml:space="preserve">ATF</x:t>
        </x:is>
      </x:c>
      <x:c r="B50" t="inlineStr">
        <x:is>
          <x:t xml:space="preserve">French Southern Territories</x:t>
        </x:is>
      </x:c>
      <x:c r="D50" t="inlineStr">
        <x:is>
          <x:t xml:space="preserve">Seven seas (open ocean)</x:t>
        </x:is>
      </x:c>
      <x:c r="E50" s="11" t="n"/>
      <x:c r="F50" s="8" t="n"/>
      <x:c r="G50" s="8" t="n"/>
      <x:c r="H50" s="11" t="n"/>
      <x:c r="I50" s="10" t="n"/>
      <x:c r="J50" s="10" t="n">
        <x:v>4.929910930385612</x:v>
      </x:c>
      <x:c r="K50" s="10" t="n">
        <x:v>63.22088602667771</x:v>
      </x:c>
      <x:c r="L50" s="10" t="n">
        <x:v>0</x:v>
      </x:c>
      <x:c r="M50" s="10" t="n"/>
      <x:c r="N50" s="10" t="n"/>
      <x:c r="O50" s="10" t="n">
        <x:v>63.22088602667771</x:v>
      </x:c>
      <x:c r="P50" s="10" t="n">
        <x:v>57.0203773386537</x:v>
      </x:c>
      <x:c r="Q50" s="10" t="n"/>
      <x:c r="R50" s="10" t="n">
        <x:v>0</x:v>
      </x:c>
      <x:c r="S50" s="10" t="n">
        <x:v>37.09094399292351</x:v>
      </x:c>
      <x:c r="T50" s="10" t="n">
        <x:v>31.84931455484974</x:v>
      </x:c>
      <x:c r="U50" s="10" t="n">
        <x:v>34.47012927388662</x:v>
      </x:c>
      <x:c r="V50" s="10" t="n">
        <x:v>50</x:v>
      </x:c>
      <x:c r="W50" s="7" t="n">
        <x:v>142</x:v>
      </x:c>
      <x:c r="X50" s="7" t="n">
        <x:v>167</x:v>
      </x:c>
      <x:c r="Y50" s="7" t="n">
        <x:v>159</x:v>
      </x:c>
    </x:row>
    <x:row r="51">
      <x:c r="A51" t="inlineStr">
        <x:is>
          <x:t xml:space="preserve">GAB</x:t>
        </x:is>
      </x:c>
      <x:c r="B51" t="inlineStr">
        <x:is>
          <x:t xml:space="preserve">Gabon</x:t>
        </x:is>
      </x:c>
      <x:c r="C51" t="inlineStr">
        <x:is>
          <x:t xml:space="preserve">Sub-Saharan Africa</x:t>
        </x:is>
      </x:c>
      <x:c r="D51" t="inlineStr">
        <x:is>
          <x:t xml:space="preserve">Africa</x:t>
        </x:is>
      </x:c>
      <x:c r="E51" s="11" t="n">
        <x:v>2538952</x:v>
      </x:c>
      <x:c r="F51" s="8" t="n">
        <x:v>20895684425.6752</x:v>
      </x:c>
      <x:c r="G51" s="8" t="n">
        <x:v>319095920.726509</x:v>
      </x:c>
      <x:c r="H51" s="11" t="n">
        <x:v>5</x:v>
      </x:c>
      <x:c r="I51" s="10" t="n"/>
      <x:c r="J51" s="10" t="n">
        <x:v>10.74666161051248</x:v>
      </x:c>
      <x:c r="K51" s="10" t="n">
        <x:v>50.55056974114196</x:v>
      </x:c>
      <x:c r="L51" s="10" t="n">
        <x:v>7.787131184688629</x:v>
      </x:c>
      <x:c r="M51" s="10" t="n">
        <x:v>59.88738485136717</x:v>
      </x:c>
      <x:c r="N51" s="10" t="n">
        <x:v>52.79116226327645</x:v>
      </x:c>
      <x:c r="O51" s="10" t="n">
        <x:v>50.55056974114196</x:v>
      </x:c>
      <x:c r="P51" s="10" t="n">
        <x:v>30.71158730591997</x:v>
      </x:c>
      <x:c r="Q51" s="10" t="n">
        <x:v>46.74797658094025</x:v>
      </x:c>
      <x:c r="R51" s="10" t="n">
        <x:v>0</x:v>
      </x:c>
      <x:c r="S51" s="10" t="n">
        <x:v>40.52026135383915</x:v>
      </x:c>
      <x:c r="T51" s="10" t="n">
        <x:v>41.48001780549694</x:v>
      </x:c>
      <x:c r="U51" s="10" t="n">
        <x:v>41.00013957966804</x:v>
      </x:c>
      <x:c r="V51" s="10" t="n">
        <x:v>100</x:v>
      </x:c>
      <x:c r="W51" s="7" t="n">
        <x:v>115</x:v>
      </x:c>
      <x:c r="X51" s="7" t="n">
        <x:v>124</x:v>
      </x:c>
      <x:c r="Y51" s="7" t="n">
        <x:v>118</x:v>
      </x:c>
    </x:row>
    <x:row r="52">
      <x:c r="A52" t="inlineStr">
        <x:is>
          <x:t xml:space="preserve">GEO</x:t>
        </x:is>
      </x:c>
      <x:c r="B52" t="inlineStr">
        <x:is>
          <x:t xml:space="preserve">Georgia</x:t>
        </x:is>
      </x:c>
      <x:c r="C52" t="inlineStr">
        <x:is>
          <x:t xml:space="preserve">Europe &amp; Central Asia</x:t>
        </x:is>
      </x:c>
      <x:c r="D52" t="inlineStr">
        <x:is>
          <x:t xml:space="preserve">Asia</x:t>
        </x:is>
      </x:c>
      <x:c r="E52" s="11" t="n">
        <x:v>3699557</x:v>
      </x:c>
      <x:c r="F52" s="8" t="n">
        <x:v>34189423544.9955</x:v>
      </x:c>
      <x:c r="G52" s="8" t="n">
        <x:v>615864045.59285</x:v>
      </x:c>
      <x:c r="H52" s="11" t="n">
        <x:v>19</x:v>
      </x:c>
      <x:c r="I52" s="10" t="n"/>
      <x:c r="J52" s="10" t="n">
        <x:v>19.09451052467422</x:v>
      </x:c>
      <x:c r="K52" s="10" t="n">
        <x:v>50.25635000173703</x:v>
      </x:c>
      <x:c r="L52" s="10" t="n">
        <x:v>21.31311012975151</x:v>
      </x:c>
      <x:c r="M52" s="10" t="n">
        <x:v>66.14230961698917</x:v>
      </x:c>
      <x:c r="N52" s="10" t="n">
        <x:v>56.43129786413752</x:v>
      </x:c>
      <x:c r="O52" s="10" t="n">
        <x:v>50.25635000173703</x:v>
      </x:c>
      <x:c r="P52" s="10" t="n">
        <x:v>30.42212028882978</x:v>
      </x:c>
      <x:c r="Q52" s="10" t="n">
        <x:v>49.90592707775227</x:v>
      </x:c>
      <x:c r="R52" s="10" t="n">
        <x:v>0</x:v>
      </x:c>
      <x:c r="S52" s="10" t="n">
        <x:v>44.84455452295691</x:v>
      </x:c>
      <x:c r="T52" s="10" t="n">
        <x:v>44.84277744813943</x:v>
      </x:c>
      <x:c r="U52" s="10" t="n">
        <x:v>44.84366598554817</x:v>
      </x:c>
      <x:c r="V52" s="10" t="n">
        <x:v>100</x:v>
      </x:c>
      <x:c r="W52" s="7" t="n">
        <x:v>96</x:v>
      </x:c>
      <x:c r="X52" s="7" t="n">
        <x:v>88</x:v>
      </x:c>
      <x:c r="Y52" s="7" t="n">
        <x:v>97</x:v>
      </x:c>
    </x:row>
    <x:row r="53">
      <x:c r="A53" t="inlineStr">
        <x:is>
          <x:t xml:space="preserve">GIB</x:t>
        </x:is>
      </x:c>
      <x:c r="B53" t="inlineStr">
        <x:is>
          <x:t xml:space="preserve">Gibraltar</x:t>
        </x:is>
      </x:c>
      <x:c r="C53" t="inlineStr">
        <x:is>
          <x:t xml:space="preserve">Europe &amp; Central Asia</x:t>
        </x:is>
      </x:c>
      <x:c r="E53" s="11" t="n">
        <x:v>39329</x:v>
      </x:c>
      <x:c r="F53" s="8" t="n"/>
      <x:c r="G53" s="8" t="n"/>
      <x:c r="H53" s="11" t="n"/>
      <x:c r="I53" s="10" t="n"/>
      <x:c r="J53" s="10" t="n"/>
      <x:c r="K53" s="10" t="n"/>
      <x:c r="L53" s="10" t="n">
        <x:v>0</x:v>
      </x:c>
      <x:c r="M53" s="10" t="n"/>
      <x:c r="N53" s="10" t="n"/>
      <x:c r="O53" s="10" t="n"/>
      <x:c r="P53" s="10" t="n"/>
      <x:c r="Q53" s="10" t="n">
        <x:v>11.78870965308885</x:v>
      </x:c>
      <x:c r="R53" s="10" t="n">
        <x:v>0</x:v>
      </x:c>
      <x:c r="S53" s="10" t="n">
        <x:v>3.252057835334855</x:v>
      </x:c>
      <x:c r="T53" s="10" t="n">
        <x:v>6.549283140604916</x:v>
      </x:c>
      <x:c r="U53" s="10" t="n">
        <x:v>4.900670487969886</x:v>
      </x:c>
      <x:c r="V53" s="10" t="n">
        <x:v>25</x:v>
      </x:c>
      <x:c r="W53" s="7" t="n">
        <x:v>221</x:v>
      </x:c>
      <x:c r="X53" s="7" t="n">
        <x:v>220</x:v>
      </x:c>
      <x:c r="Y53" s="7" t="n">
        <x:v>220</x:v>
      </x:c>
    </x:row>
    <x:row r="54">
      <x:c r="A54" t="inlineStr">
        <x:is>
          <x:t xml:space="preserve">LUX</x:t>
        </x:is>
      </x:c>
      <x:c r="B54" t="inlineStr">
        <x:is>
          <x:t xml:space="preserve">Luxembourg</x:t>
        </x:is>
      </x:c>
      <x:c r="C54" t="inlineStr">
        <x:is>
          <x:t xml:space="preserve">Europe &amp; Central Asia</x:t>
        </x:is>
      </x:c>
      <x:c r="D54" t="inlineStr">
        <x:is>
          <x:t xml:space="preserve">Europe</x:t>
        </x:is>
      </x:c>
      <x:c r="E54" s="11" t="n">
        <x:v>677012</x:v>
      </x:c>
      <x:c r="F54" s="8" t="n">
        <x:v>93279851863.4062</x:v>
      </x:c>
      <x:c r="G54" s="8" t="n">
        <x:v>871643141.196422</x:v>
      </x:c>
      <x:c r="H54" s="11" t="n"/>
      <x:c r="I54" s="10" t="n"/>
      <x:c r="J54" s="10" t="n">
        <x:v>4.004625863070256</x:v>
      </x:c>
      <x:c r="K54" s="10" t="n">
        <x:v>95.59510741909959</x:v>
      </x:c>
      <x:c r="L54" s="10" t="n">
        <x:v>0</x:v>
      </x:c>
      <x:c r="M54" s="10" t="n">
        <x:v>55.32601477049148</x:v>
      </x:c>
      <x:c r="N54" s="10" t="n">
        <x:v>69.19306142676683</x:v>
      </x:c>
      <x:c r="O54" s="10" t="n">
        <x:v>95.59510741909959</x:v>
      </x:c>
      <x:c r="P54" s="10" t="n">
        <x:v>53.35195951558785</x:v>
      </x:c>
      <x:c r="Q54" s="10" t="n">
        <x:v>35.65990864010165</x:v>
      </x:c>
      <x:c r="R54" s="10" t="n">
        <x:v>0</x:v>
      </x:c>
      <x:c r="S54" s="10" t="n">
        <x:v>50.79844135616371</x:v>
      </x:c>
      <x:c r="T54" s="10" t="n">
        <x:v>47.6869322799739</x:v>
      </x:c>
      <x:c r="U54" s="10" t="n">
        <x:v>49.2426868180688</x:v>
      </x:c>
      <x:c r="V54" s="10" t="n">
        <x:v>100</x:v>
      </x:c>
      <x:c r="W54" s="7" t="n">
        <x:v>63</x:v>
      </x:c>
      <x:c r="X54" s="7" t="n">
        <x:v>70</x:v>
      </x:c>
      <x:c r="Y54" s="7" t="n">
        <x:v>67</x:v>
      </x:c>
    </x:row>
    <x:row r="55">
      <x:c r="A55" t="inlineStr">
        <x:is>
          <x:t xml:space="preserve">GRL</x:t>
        </x:is>
      </x:c>
      <x:c r="B55" t="inlineStr">
        <x:is>
          <x:t xml:space="preserve">Greenland</x:t>
        </x:is>
      </x:c>
      <x:c r="C55" t="inlineStr">
        <x:is>
          <x:t xml:space="preserve">Europe &amp; Central Asia</x:t>
        </x:is>
      </x:c>
      <x:c r="D55" t="inlineStr">
        <x:is>
          <x:t xml:space="preserve">North America</x:t>
        </x:is>
      </x:c>
      <x:c r="E55" s="11" t="n">
        <x:v>56836</x:v>
      </x:c>
      <x:c r="F55" s="8" t="n">
        <x:v>3326543974.39193</x:v>
      </x:c>
      <x:c r="G55" s="8" t="n"/>
      <x:c r="H55" s="11" t="n"/>
      <x:c r="I55" s="10" t="n"/>
      <x:c r="J55" s="10" t="n">
        <x:v>25.96074438015703</x:v>
      </x:c>
      <x:c r="K55" s="10" t="n">
        <x:v>47.04849115366684</x:v>
      </x:c>
      <x:c r="L55" s="10" t="n">
        <x:v>0</x:v>
      </x:c>
      <x:c r="M55" s="10" t="n">
        <x:v>30.50053890695146</x:v>
      </x:c>
      <x:c r="N55" s="10" t="n"/>
      <x:c r="O55" s="10" t="n">
        <x:v>47.04849115366684</x:v>
      </x:c>
      <x:c r="P55" s="10" t="n">
        <x:v>25.73789538265725</x:v>
      </x:c>
      <x:c r="Q55" s="10" t="n">
        <x:v>14.8773574406712</x:v>
      </x:c>
      <x:c r="R55" s="10" t="n">
        <x:v>0</x:v>
      </x:c>
      <x:c r="S55" s="10" t="n">
        <x:v>24.10663599757558</x:v>
      </x:c>
      <x:c r="T55" s="10" t="n">
        <x:v>26.17348917939681</x:v>
      </x:c>
      <x:c r="U55" s="10" t="n">
        <x:v>25.1400625884862</x:v>
      </x:c>
      <x:c r="V55" s="10" t="n">
        <x:v>75</x:v>
      </x:c>
      <x:c r="W55" s="7" t="n">
        <x:v>179</x:v>
      </x:c>
      <x:c r="X55" s="7" t="n">
        <x:v>184</x:v>
      </x:c>
      <x:c r="Y55" s="7" t="n">
        <x:v>180</x:v>
      </x:c>
    </x:row>
    <x:row r="56">
      <x:c r="A56" t="inlineStr">
        <x:is>
          <x:t xml:space="preserve">GRD</x:t>
        </x:is>
      </x:c>
      <x:c r="B56" t="inlineStr">
        <x:is>
          <x:t xml:space="preserve">Grenada</x:t>
        </x:is>
      </x:c>
      <x:c r="C56" t="inlineStr">
        <x:is>
          <x:t xml:space="preserve">Latin America &amp; Caribbean</x:t>
        </x:is>
      </x:c>
      <x:c r="E56" s="11" t="n">
        <x:v>117207</x:v>
      </x:c>
      <x:c r="F56" s="8" t="n">
        <x:v>1371918518.51852</x:v>
      </x:c>
      <x:c r="G56" s="8" t="n"/>
      <x:c r="H56" s="11" t="n"/>
      <x:c r="I56" s="10" t="n"/>
      <x:c r="J56" s="10" t="n"/>
      <x:c r="K56" s="10" t="n"/>
      <x:c r="L56" s="10" t="n">
        <x:v>0</x:v>
      </x:c>
      <x:c r="M56" s="10" t="n">
        <x:v>23.70949945136589</x:v>
      </x:c>
      <x:c r="N56" s="10" t="n"/>
      <x:c r="O56" s="10" t="n"/>
      <x:c r="P56" s="10" t="n">
        <x:v>23.70949945136589</x:v>
      </x:c>
      <x:c r="Q56" s="10" t="n">
        <x:v>20.94864527666349</x:v>
      </x:c>
      <x:c r="R56" s="10" t="n">
        <x:v>0</x:v>
      </x:c>
      <x:c r="S56" s="10" t="n">
        <x:v>14.25520268997857</x:v>
      </x:c>
      <x:c r="T56" s="10" t="n">
        <x:v>18.77121451141245</x:v>
      </x:c>
      <x:c r="U56" s="10" t="n">
        <x:v>16.51320860069551</x:v>
      </x:c>
      <x:c r="V56" s="10" t="n">
        <x:v>50</x:v>
      </x:c>
      <x:c r="W56" s="7" t="n">
        <x:v>202</x:v>
      </x:c>
      <x:c r="X56" s="7" t="n">
        <x:v>202</x:v>
      </x:c>
      <x:c r="Y56" s="7" t="n">
        <x:v>202</x:v>
      </x:c>
    </x:row>
    <x:row r="57">
      <x:c r="A57" t="inlineStr">
        <x:is>
          <x:t xml:space="preserve">GLP</x:t>
        </x:is>
      </x:c>
      <x:c r="B57" t="inlineStr">
        <x:is>
          <x:t xml:space="preserve">Guadeloupe</x:t>
        </x:is>
      </x:c>
      <x:c r="E57" s="11" t="n"/>
      <x:c r="F57" s="8" t="n"/>
      <x:c r="G57" s="8" t="n"/>
      <x:c r="H57" s="11" t="n"/>
      <x:c r="I57" s="10" t="n"/>
      <x:c r="J57" s="10" t="n"/>
      <x:c r="K57" s="10" t="n"/>
      <x:c r="L57" s="10" t="n">
        <x:v>0</x:v>
      </x:c>
      <x:c r="M57" s="10" t="n"/>
      <x:c r="N57" s="10" t="n"/>
      <x:c r="O57" s="10" t="n"/>
      <x:c r="P57" s="10" t="n"/>
      <x:c r="Q57" s="10" t="n"/>
      <x:c r="R57" s="10" t="n">
        <x:v>0</x:v>
      </x:c>
      <x:c r="S57" s="10" t="n">
        <x:v>0</x:v>
      </x:c>
      <x:c r="T57" s="10" t="n">
        <x:v>0</x:v>
      </x:c>
      <x:c r="U57" s="10" t="n">
        <x:v>0</x:v>
      </x:c>
      <x:c r="V57" s="10" t="n">
        <x:v>12</x:v>
      </x:c>
      <x:c r="W57" s="7" t="n">
        <x:v>222</x:v>
      </x:c>
      <x:c r="X57" s="7" t="n">
        <x:v>222</x:v>
      </x:c>
      <x:c r="Y57" s="7" t="n">
        <x:v>222</x:v>
      </x:c>
    </x:row>
    <x:row r="58">
      <x:c r="A58" t="inlineStr">
        <x:is>
          <x:t xml:space="preserve">GUM</x:t>
        </x:is>
      </x:c>
      <x:c r="B58" t="inlineStr">
        <x:is>
          <x:t xml:space="preserve">Guam</x:t>
        </x:is>
      </x:c>
      <x:c r="C58" t="inlineStr">
        <x:is>
          <x:t xml:space="preserve">East Asia &amp; Pacific</x:t>
        </x:is>
      </x:c>
      <x:c r="E58" s="11" t="n">
        <x:v>167777</x:v>
      </x:c>
      <x:c r="F58" s="8" t="n">
        <x:v>6910000000</x:v>
      </x:c>
      <x:c r="G58" s="8" t="n"/>
      <x:c r="H58" s="11" t="n"/>
      <x:c r="I58" s="10" t="n"/>
      <x:c r="J58" s="10" t="n"/>
      <x:c r="K58" s="10" t="n"/>
      <x:c r="L58" s="10" t="n">
        <x:v>0</x:v>
      </x:c>
      <x:c r="M58" s="10" t="n">
        <x:v>36.1055508925125</x:v>
      </x:c>
      <x:c r="N58" s="10" t="n"/>
      <x:c r="O58" s="10" t="n"/>
      <x:c r="P58" s="10" t="n">
        <x:v>36.1055508925125</x:v>
      </x:c>
      <x:c r="Q58" s="10" t="n">
        <x:v>23.95753184269498</x:v>
      </x:c>
      <x:c r="R58" s="10" t="n">
        <x:v>0</x:v>
      </x:c>
      <x:c r="S58" s="10" t="n">
        <x:v>20.55281050812518</x:v>
      </x:c>
      <x:c r="T58" s="10" t="n">
        <x:v>26.77999185527897</x:v>
      </x:c>
      <x:c r="U58" s="10" t="n">
        <x:v>23.66640118170207</x:v>
      </x:c>
      <x:c r="V58" s="10" t="n">
        <x:v>50</x:v>
      </x:c>
      <x:c r="W58" s="7" t="n">
        <x:v>186</x:v>
      </x:c>
      <x:c r="X58" s="7" t="n">
        <x:v>182</x:v>
      </x:c>
      <x:c r="Y58" s="7" t="n">
        <x:v>186</x:v>
      </x:c>
    </x:row>
    <x:row r="59">
      <x:c r="A59" t="inlineStr">
        <x:is>
          <x:t xml:space="preserve">GGY</x:t>
        </x:is>
      </x:c>
      <x:c r="B59" t="inlineStr">
        <x:is>
          <x:t xml:space="preserve">Guernsey</x:t>
        </x:is>
      </x:c>
      <x:c r="E59" s="11" t="n"/>
      <x:c r="F59" s="8" t="n"/>
      <x:c r="G59" s="8" t="n"/>
      <x:c r="H59" s="11" t="n"/>
      <x:c r="I59" s="10" t="n"/>
      <x:c r="J59" s="10" t="n"/>
      <x:c r="K59" s="10" t="n"/>
      <x:c r="L59" s="10" t="n">
        <x:v>0</x:v>
      </x:c>
      <x:c r="M59" s="10" t="n"/>
      <x:c r="N59" s="10" t="n"/>
      <x:c r="O59" s="10" t="n"/>
      <x:c r="P59" s="10" t="n"/>
      <x:c r="Q59" s="10" t="n"/>
      <x:c r="R59" s="10" t="n">
        <x:v>0</x:v>
      </x:c>
      <x:c r="S59" s="10" t="n">
        <x:v>0</x:v>
      </x:c>
      <x:c r="T59" s="10" t="n">
        <x:v>0</x:v>
      </x:c>
      <x:c r="U59" s="10" t="n">
        <x:v>0</x:v>
      </x:c>
      <x:c r="V59" s="10" t="n">
        <x:v>12</x:v>
      </x:c>
      <x:c r="W59" s="7" t="n">
        <x:v>222</x:v>
      </x:c>
      <x:c r="X59" s="7" t="n">
        <x:v>222</x:v>
      </x:c>
      <x:c r="Y59" s="7" t="n">
        <x:v>222</x:v>
      </x:c>
    </x:row>
    <x:row r="60">
      <x:c r="A60" t="inlineStr">
        <x:is>
          <x:t xml:space="preserve">JOR</x:t>
        </x:is>
      </x:c>
      <x:c r="B60" t="inlineStr">
        <x:is>
          <x:t xml:space="preserve">Jordan</x:t>
        </x:is>
      </x:c>
      <x:c r="C60" t="inlineStr">
        <x:is>
          <x:t xml:space="preserve">Middle East &amp; North Africa</x:t>
        </x:is>
      </x:c>
      <x:c r="D60" t="inlineStr">
        <x:is>
          <x:t xml:space="preserve">Asia</x:t>
        </x:is>
      </x:c>
      <x:c r="E60" s="11" t="n">
        <x:v>11552876</x:v>
      </x:c>
      <x:c r="F60" s="8" t="n">
        <x:v>53352289577.4648</x:v>
      </x:c>
      <x:c r="G60" s="8" t="n">
        <x:v>2560281690.14085</x:v>
      </x:c>
      <x:c r="H60" s="11" t="n">
        <x:v>27</x:v>
      </x:c>
      <x:c r="I60" s="10" t="n"/>
      <x:c r="J60" s="10" t="n">
        <x:v>17.3773728631099</x:v>
      </x:c>
      <x:c r="K60" s="10" t="n">
        <x:v>54.76315156648096</x:v>
      </x:c>
      <x:c r="L60" s="10" t="n">
        <x:v>25.09319251349336</x:v>
      </x:c>
      <x:c r="M60" s="10" t="n">
        <x:v>73.87139326575391</x:v>
      </x:c>
      <x:c r="N60" s="10" t="n">
        <x:v>62.33892124556094</x:v>
      </x:c>
      <x:c r="O60" s="10" t="n">
        <x:v>54.76315156648096</x:v>
      </x:c>
      <x:c r="P60" s="10" t="n">
        <x:v>32.63873264694824</x:v>
      </x:c>
      <x:c r="Q60" s="10" t="n">
        <x:v>59.45809751792905</x:v>
      </x:c>
      <x:c r="R60" s="10" t="n">
        <x:v>0</x:v>
      </x:c>
      <x:c r="S60" s="10" t="n">
        <x:v>49.88732365146385</x:v>
      </x:c>
      <x:c r="T60" s="10" t="n">
        <x:v>49.16875197950439</x:v>
      </x:c>
      <x:c r="U60" s="10" t="n">
        <x:v>49.52803781548413</x:v>
      </x:c>
      <x:c r="V60" s="10" t="n">
        <x:v>100</x:v>
      </x:c>
      <x:c r="W60" s="7" t="n">
        <x:v>70</x:v>
      </x:c>
      <x:c r="X60" s="7" t="n">
        <x:v>59</x:v>
      </x:c>
      <x:c r="Y60" s="7" t="n">
        <x:v>64</x:v>
      </x:c>
    </x:row>
    <x:row r="61">
      <x:c r="A61" t="inlineStr">
        <x:is>
          <x:t xml:space="preserve">HMD</x:t>
        </x:is>
      </x:c>
      <x:c r="B61" t="inlineStr">
        <x:is>
          <x:t xml:space="preserve">Heard Island and McDonald Islands</x:t>
        </x:is>
      </x:c>
      <x:c r="E61" s="11" t="n"/>
      <x:c r="F61" s="8" t="n"/>
      <x:c r="G61" s="8" t="n"/>
      <x:c r="H61" s="11" t="n"/>
      <x:c r="I61" s="10" t="n"/>
      <x:c r="J61" s="10" t="n"/>
      <x:c r="K61" s="10" t="n"/>
      <x:c r="L61" s="10" t="n">
        <x:v>0</x:v>
      </x:c>
      <x:c r="M61" s="10" t="n"/>
      <x:c r="N61" s="10" t="n"/>
      <x:c r="O61" s="10" t="n"/>
      <x:c r="P61" s="10" t="n"/>
      <x:c r="Q61" s="10" t="n"/>
      <x:c r="R61" s="10" t="n">
        <x:v>0</x:v>
      </x:c>
      <x:c r="S61" s="10" t="n">
        <x:v>0</x:v>
      </x:c>
      <x:c r="T61" s="10" t="n">
        <x:v>0</x:v>
      </x:c>
      <x:c r="U61" s="10" t="n">
        <x:v>0</x:v>
      </x:c>
      <x:c r="V61" s="10" t="n">
        <x:v>12</x:v>
      </x:c>
      <x:c r="W61" s="7" t="n">
        <x:v>222</x:v>
      </x:c>
      <x:c r="X61" s="7" t="n">
        <x:v>222</x:v>
      </x:c>
      <x:c r="Y61" s="7" t="n">
        <x:v>222</x:v>
      </x:c>
    </x:row>
    <x:row r="62">
      <x:c r="A62" t="inlineStr">
        <x:is>
          <x:t xml:space="preserve">GRC</x:t>
        </x:is>
      </x:c>
      <x:c r="B62" t="inlineStr">
        <x:is>
          <x:t xml:space="preserve">Greece</x:t>
        </x:is>
      </x:c>
      <x:c r="C62" t="inlineStr">
        <x:is>
          <x:t xml:space="preserve">Europe &amp; Central Asia</x:t>
        </x:is>
      </x:c>
      <x:c r="D62" t="inlineStr">
        <x:is>
          <x:t xml:space="preserve">Europe</x:t>
        </x:is>
      </x:c>
      <x:c r="E62" s="11" t="n">
        <x:v>10405134</x:v>
      </x:c>
      <x:c r="F62" s="8" t="n">
        <x:v>256238371778.118</x:v>
      </x:c>
      <x:c r="G62" s="8" t="n">
        <x:v>8021963044.4518</x:v>
      </x:c>
      <x:c r="H62" s="11" t="n">
        <x:v>187</x:v>
      </x:c>
      <x:c r="I62" s="10" t="n">
        <x:v>47.2</x:v>
      </x:c>
      <x:c r="J62" s="10" t="n">
        <x:v>46.11610469468762</x:v>
      </x:c>
      <x:c r="K62" s="10" t="n">
        <x:v>69.70602826233556</x:v>
      </x:c>
      <x:c r="L62" s="10" t="n">
        <x:v>53.64905685677881</x:v>
      </x:c>
      <x:c r="M62" s="10" t="n">
        <x:v>77.81419750333413</x:v>
      </x:c>
      <x:c r="N62" s="10" t="n">
        <x:v>65.68459713636759</x:v>
      </x:c>
      <x:c r="O62" s="10" t="n">
        <x:v>69.70602826233556</x:v>
      </x:c>
      <x:c r="P62" s="10" t="n">
        <x:v>43.58145056750801</x:v>
      </x:c>
      <x:c r="Q62" s="10" t="n">
        <x:v>58.58036554896774</x:v>
      </x:c>
      <x:c r="R62" s="10" t="n">
        <x:v>0</x:v>
      </x:c>
      <x:c r="S62" s="10" t="n">
        <x:v>59.62845499681983</x:v>
      </x:c>
      <x:c r="T62" s="10" t="n">
        <x:v>58.33863628364033</x:v>
      </x:c>
      <x:c r="U62" s="10" t="n">
        <x:v>58.98354564023008</x:v>
      </x:c>
      <x:c r="V62" s="10" t="n">
        <x:v>100</x:v>
      </x:c>
      <x:c r="W62" s="7" t="n">
        <x:v>30</x:v>
      </x:c>
      <x:c r="X62" s="7" t="n">
        <x:v>18</x:v>
      </x:c>
      <x:c r="Y62" s="7" t="n">
        <x:v>22</x:v>
      </x:c>
    </x:row>
    <x:row r="63">
      <x:c r="A63" t="inlineStr">
        <x:is>
          <x:t xml:space="preserve">VAT</x:t>
        </x:is>
      </x:c>
      <x:c r="B63" t="inlineStr">
        <x:is>
          <x:t xml:space="preserve">Holy See (Vatican City State)</x:t>
        </x:is>
      </x:c>
      <x:c r="E63" s="11" t="n"/>
      <x:c r="F63" s="8" t="n"/>
      <x:c r="G63" s="8" t="n"/>
      <x:c r="H63" s="11" t="n"/>
      <x:c r="I63" s="10" t="n"/>
      <x:c r="J63" s="10" t="n"/>
      <x:c r="K63" s="10" t="n"/>
      <x:c r="L63" s="10" t="n">
        <x:v>0</x:v>
      </x:c>
      <x:c r="M63" s="10" t="n"/>
      <x:c r="N63" s="10" t="n"/>
      <x:c r="O63" s="10" t="n"/>
      <x:c r="P63" s="10" t="n"/>
      <x:c r="Q63" s="10" t="n"/>
      <x:c r="R63" s="10" t="n">
        <x:v>0</x:v>
      </x:c>
      <x:c r="S63" s="10" t="n">
        <x:v>0</x:v>
      </x:c>
      <x:c r="T63" s="10" t="n">
        <x:v>0</x:v>
      </x:c>
      <x:c r="U63" s="10" t="n">
        <x:v>0</x:v>
      </x:c>
      <x:c r="V63" s="10" t="n">
        <x:v>12</x:v>
      </x:c>
      <x:c r="W63" s="7" t="n">
        <x:v>222</x:v>
      </x:c>
      <x:c r="X63" s="7" t="n">
        <x:v>222</x:v>
      </x:c>
      <x:c r="Y63" s="7" t="n">
        <x:v>222</x:v>
      </x:c>
    </x:row>
    <x:row r="64">
      <x:c r="A64" t="inlineStr">
        <x:is>
          <x:t xml:space="preserve">HKG</x:t>
        </x:is>
      </x:c>
      <x:c r="B64" t="inlineStr">
        <x:is>
          <x:t xml:space="preserve">Hong Kong SAR, China</x:t>
        </x:is>
      </x:c>
      <x:c r="C64" t="inlineStr">
        <x:is>
          <x:t xml:space="preserve">East Asia &amp; Pacific</x:t>
        </x:is>
      </x:c>
      <x:c r="E64" s="11" t="n">
        <x:v>7524100</x:v>
      </x:c>
      <x:c r="F64" s="8" t="n">
        <x:v>406863396487.342</x:v>
      </x:c>
      <x:c r="G64" s="8" t="n"/>
      <x:c r="H64" s="11" t="n"/>
      <x:c r="I64" s="10" t="n"/>
      <x:c r="J64" s="10" t="n"/>
      <x:c r="K64" s="10" t="n"/>
      <x:c r="L64" s="10" t="n">
        <x:v>0</x:v>
      </x:c>
      <x:c r="M64" s="10" t="n">
        <x:v>67.3533679482684</x:v>
      </x:c>
      <x:c r="N64" s="10" t="n"/>
      <x:c r="O64" s="10" t="n"/>
      <x:c r="P64" s="10" t="n">
        <x:v>67.3533679482684</x:v>
      </x:c>
      <x:c r="Q64" s="10" t="n">
        <x:v>55.86091136529488</x:v>
      </x:c>
      <x:c r="R64" s="10" t="n">
        <x:v>0</x:v>
      </x:c>
      <x:c r="S64" s="10" t="n">
        <x:v>39.96499741049704</x:v>
      </x:c>
      <x:c r="T64" s="10" t="n">
        <x:v>52.49537909790743</x:v>
      </x:c>
      <x:c r="U64" s="10" t="n">
        <x:v>46.23018825420223</x:v>
      </x:c>
      <x:c r="V64" s="10" t="n">
        <x:v>50</x:v>
      </x:c>
      <x:c r="W64" s="7" t="n">
        <x:v>119</x:v>
      </x:c>
      <x:c r="X64" s="7" t="n">
        <x:v>45</x:v>
      </x:c>
      <x:c r="Y64" s="7" t="n">
        <x:v>86</x:v>
      </x:c>
    </x:row>
    <x:row r="65">
      <x:c r="A65" t="inlineStr">
        <x:is>
          <x:t xml:space="preserve">HUN</x:t>
        </x:is>
      </x:c>
      <x:c r="B65" t="inlineStr">
        <x:is>
          <x:t xml:space="preserve">Hungary</x:t>
        </x:is>
      </x:c>
      <x:c r="C65" t="inlineStr">
        <x:is>
          <x:t xml:space="preserve">Europe &amp; Central Asia</x:t>
        </x:is>
      </x:c>
      <x:c r="D65" t="inlineStr">
        <x:is>
          <x:t xml:space="preserve">Europe</x:t>
        </x:is>
      </x:c>
      <x:c r="E65" s="11" t="n">
        <x:v>9562065</x:v>
      </x:c>
      <x:c r="F65" s="8" t="n">
        <x:v>222722738925.641</x:v>
      </x:c>
      <x:c r="G65" s="8" t="n">
        <x:v>4734698455.68824</x:v>
      </x:c>
      <x:c r="H65" s="11" t="n"/>
      <x:c r="I65" s="10" t="n"/>
      <x:c r="J65" s="10" t="n">
        <x:v>9.473735422891277</x:v>
      </x:c>
      <x:c r="K65" s="10" t="n">
        <x:v>71.46268681238494</x:v>
      </x:c>
      <x:c r="L65" s="10" t="n">
        <x:v>0</x:v>
      </x:c>
      <x:c r="M65" s="10" t="n">
        <x:v>72.6754926551445</x:v>
      </x:c>
      <x:c r="N65" s="10" t="n">
        <x:v>63.22486208583121</x:v>
      </x:c>
      <x:c r="O65" s="10" t="n">
        <x:v>71.46268681238494</x:v>
      </x:c>
      <x:c r="P65" s="10" t="n">
        <x:v>42.97434024230895</x:v>
      </x:c>
      <x:c r="Q65" s="10" t="n">
        <x:v>57.87157342265201</x:v>
      </x:c>
      <x:c r="R65" s="10" t="n">
        <x:v>0</x:v>
      </x:c>
      <x:c r="S65" s="10" t="n">
        <x:v>48.95806104567359</x:v>
      </x:c>
      <x:c r="T65" s="10" t="n">
        <x:v>51.38794087427839</x:v>
      </x:c>
      <x:c r="U65" s="10" t="n">
        <x:v>50.17300095997599</x:v>
      </x:c>
      <x:c r="V65" s="10" t="n">
        <x:v>100</x:v>
      </x:c>
      <x:c r="W65" s="7" t="n">
        <x:v>76</x:v>
      </x:c>
      <x:c r="X65" s="7" t="n">
        <x:v>54</x:v>
      </x:c>
      <x:c r="Y65" s="7" t="n">
        <x:v>60</x:v>
      </x:c>
    </x:row>
    <x:row r="66">
      <x:c r="A66" t="inlineStr">
        <x:is>
          <x:t xml:space="preserve">PNG</x:t>
        </x:is>
      </x:c>
      <x:c r="B66" t="inlineStr">
        <x:is>
          <x:t xml:space="preserve">Papua New Guinea</x:t>
        </x:is>
      </x:c>
      <x:c r="C66" t="inlineStr">
        <x:is>
          <x:t xml:space="preserve">East Asia &amp; Pacific</x:t>
        </x:is>
      </x:c>
      <x:c r="D66" t="inlineStr">
        <x:is>
          <x:t xml:space="preserve">Oceania</x:t>
        </x:is>
      </x:c>
      <x:c r="E66" s="11" t="n">
        <x:v>10576502</x:v>
      </x:c>
      <x:c r="F66" s="8" t="n">
        <x:v>31800428265.5246</x:v>
      </x:c>
      <x:c r="G66" s="8" t="n">
        <x:v>91005056.1232259</x:v>
      </x:c>
      <x:c r="H66" s="11" t="n"/>
      <x:c r="I66" s="10" t="n"/>
      <x:c r="J66" s="10" t="n">
        <x:v>55.97981911317517</x:v>
      </x:c>
      <x:c r="K66" s="10" t="n">
        <x:v>31.60579277712264</x:v>
      </x:c>
      <x:c r="L66" s="10" t="n">
        <x:v>0</x:v>
      </x:c>
      <x:c r="M66" s="10" t="n">
        <x:v>56.88686146911245</x:v>
      </x:c>
      <x:c r="N66" s="10" t="n">
        <x:v>48.73826198706895</x:v>
      </x:c>
      <x:c r="O66" s="10" t="n">
        <x:v>31.60579277712264</x:v>
      </x:c>
      <x:c r="P66" s="10" t="n">
        <x:v>19.54385618016774</x:v>
      </x:c>
      <x:c r="Q66" s="10" t="n">
        <x:v>58.7173952372138</x:v>
      </x:c>
      <x:c r="R66" s="10" t="n">
        <x:v>0</x:v>
      </x:c>
      <x:c r="S66" s="10" t="n">
        <x:v>30.45911853934729</x:v>
      </x:c>
      <x:c r="T66" s="10" t="n">
        <x:v>30.89115650941078</x:v>
      </x:c>
      <x:c r="U66" s="10" t="n">
        <x:v>30.67513752437904</x:v>
      </x:c>
      <x:c r="V66" s="10" t="n">
        <x:v>100</x:v>
      </x:c>
      <x:c r="W66" s="7" t="n">
        <x:v>173</x:v>
      </x:c>
      <x:c r="X66" s="7" t="n">
        <x:v>169</x:v>
      </x:c>
      <x:c r="Y66" s="7" t="n">
        <x:v>175</x:v>
      </x:c>
    </x:row>
    <x:row r="67">
      <x:c r="A67" t="inlineStr">
        <x:is>
          <x:t xml:space="preserve">WSM</x:t>
        </x:is>
      </x:c>
      <x:c r="B67" t="inlineStr">
        <x:is>
          <x:t xml:space="preserve">Samoa</x:t>
        </x:is>
      </x:c>
      <x:c r="C67" t="inlineStr">
        <x:is>
          <x:t xml:space="preserve">East Asia &amp; Pacific</x:t>
        </x:is>
      </x:c>
      <x:c r="E67" s="11" t="n">
        <x:v>218019</x:v>
      </x:c>
      <x:c r="F67" s="8" t="n">
        <x:v>1175749785.65113</x:v>
      </x:c>
      <x:c r="G67" s="8" t="n"/>
      <x:c r="H67" s="11" t="n"/>
      <x:c r="I67" s="10" t="n"/>
      <x:c r="J67" s="10" t="n"/>
      <x:c r="K67" s="10" t="n"/>
      <x:c r="L67" s="10" t="n">
        <x:v>0</x:v>
      </x:c>
      <x:c r="M67" s="10" t="n">
        <x:v>22.52641606558476</x:v>
      </x:c>
      <x:c r="N67" s="10" t="n"/>
      <x:c r="O67" s="10" t="n"/>
      <x:c r="P67" s="10" t="n">
        <x:v>22.52641606558476</x:v>
      </x:c>
      <x:c r="Q67" s="10" t="n">
        <x:v>26.15486039056765</x:v>
      </x:c>
      <x:c r="R67" s="10" t="n">
        <x:v>0</x:v>
      </x:c>
      <x:c r="S67" s="10" t="n">
        <x:v>14.45319456054082</x:v>
      </x:c>
      <x:c r="T67" s="10" t="n">
        <x:v>19.25535049115637</x:v>
      </x:c>
      <x:c r="U67" s="10" t="n">
        <x:v>16.85427252584859</x:v>
      </x:c>
      <x:c r="V67" s="10" t="n">
        <x:v>50</x:v>
      </x:c>
      <x:c r="W67" s="7" t="n">
        <x:v>201</x:v>
      </x:c>
      <x:c r="X67" s="7" t="n">
        <x:v>201</x:v>
      </x:c>
      <x:c r="Y67" s="7" t="n">
        <x:v>201</x:v>
      </x:c>
    </x:row>
    <x:row r="68">
      <x:c r="A68" t="inlineStr">
        <x:is>
          <x:t xml:space="preserve">IRL</x:t>
        </x:is>
      </x:c>
      <x:c r="B68" t="inlineStr">
        <x:is>
          <x:t xml:space="preserve">Ireland</x:t>
        </x:is>
      </x:c>
      <x:c r="C68" t="inlineStr">
        <x:is>
          <x:t xml:space="preserve">Europe &amp; Central Asia</x:t>
        </x:is>
      </x:c>
      <x:c r="D68" t="inlineStr">
        <x:is>
          <x:t xml:space="preserve">Europe</x:t>
        </x:is>
      </x:c>
      <x:c r="E68" s="11" t="n">
        <x:v>5395790</x:v>
      </x:c>
      <x:c r="F68" s="8" t="n">
        <x:v>609157459747.205</x:v>
      </x:c>
      <x:c r="G68" s="8" t="n">
        <x:v>1330503579.37914</x:v>
      </x:c>
      <x:c r="H68" s="11" t="n">
        <x:v>6</x:v>
      </x:c>
      <x:c r="I68" s="10" t="n"/>
      <x:c r="J68" s="10" t="n">
        <x:v>9.156419347933129</x:v>
      </x:c>
      <x:c r="K68" s="10" t="n">
        <x:v>82.72102189574511</x:v>
      </x:c>
      <x:c r="L68" s="10" t="n">
        <x:v>9.518930144116094</x:v>
      </x:c>
      <x:c r="M68" s="10" t="n">
        <x:v>66.26916577099855</x:v>
      </x:c>
      <x:c r="N68" s="10" t="n">
        <x:v>58.28661890618344</x:v>
      </x:c>
      <x:c r="O68" s="10" t="n">
        <x:v>82.72102189574511</x:v>
      </x:c>
      <x:c r="P68" s="10" t="n">
        <x:v>55.04258946006165</x:v>
      </x:c>
      <x:c r="Q68" s="10" t="n">
        <x:v>53.07179876147033</x:v>
      </x:c>
      <x:c r="R68" s="10" t="n">
        <x:v>0</x:v>
      </x:c>
      <x:c r="S68" s="10" t="n">
        <x:v>51.82198573120562</x:v>
      </x:c>
      <x:c r="T68" s="10" t="n">
        <x:v>51.62617704070711</x:v>
      </x:c>
      <x:c r="U68" s="10" t="n">
        <x:v>51.72408138595637</x:v>
      </x:c>
      <x:c r="V68" s="10" t="n">
        <x:v>100</x:v>
      </x:c>
      <x:c r="W68" s="7" t="n">
        <x:v>59</x:v>
      </x:c>
      <x:c r="X68" s="7" t="n">
        <x:v>51</x:v>
      </x:c>
      <x:c r="Y68" s="7" t="n">
        <x:v>50</x:v>
      </x:c>
    </x:row>
    <x:row r="69">
      <x:c r="A69" t="inlineStr">
        <x:is>
          <x:t xml:space="preserve">AFG</x:t>
        </x:is>
      </x:c>
      <x:c r="B69" t="inlineStr">
        <x:is>
          <x:t xml:space="preserve">Afghanistan</x:t>
        </x:is>
      </x:c>
      <x:c r="C69" t="inlineStr">
        <x:is>
          <x:t xml:space="preserve">Middle East &amp; North Africa</x:t>
        </x:is>
      </x:c>
      <x:c r="D69" t="inlineStr">
        <x:is>
          <x:t xml:space="preserve">Asia</x:t>
        </x:is>
      </x:c>
      <x:c r="E69" s="11" t="n">
        <x:v>42647492</x:v>
      </x:c>
      <x:c r="F69" s="8" t="n">
        <x:v>17152234636.8715</x:v>
      </x:c>
      <x:c r="G69" s="8" t="n">
        <x:v>278250788.014927</x:v>
      </x:c>
      <x:c r="H69" s="11" t="n"/>
      <x:c r="I69" s="10" t="n"/>
      <x:c r="J69" s="10" t="n">
        <x:v>20.3101226688803</x:v>
      </x:c>
      <x:c r="K69" s="10" t="n">
        <x:v>27.93515173823006</x:v>
      </x:c>
      <x:c r="L69" s="10" t="n">
        <x:v>0</x:v>
      </x:c>
      <x:c r="M69" s="10" t="n">
        <x:v>71.49240387962726</x:v>
      </x:c>
      <x:c r="N69" s="10" t="n">
        <x:v>58.64788577700909</x:v>
      </x:c>
      <x:c r="O69" s="10" t="n">
        <x:v>27.93515173823006</x:v>
      </x:c>
      <x:c r="P69" s="10" t="n">
        <x:v>26.10808455014886</x:v>
      </x:c>
      <x:c r="Q69" s="10" t="n">
        <x:v>70.41377300068363</x:v>
      </x:c>
      <x:c r="R69" s="10" t="n">
        <x:v>0</x:v>
      </x:c>
      <x:c r="S69" s="10" t="n">
        <x:v>39.59249503596423</x:v>
      </x:c>
      <x:c r="T69" s="10" t="n">
        <x:v>44.64846969132821</x:v>
      </x:c>
      <x:c r="U69" s="10" t="n">
        <x:v>42.12048236364622</x:v>
      </x:c>
      <x:c r="V69" s="10" t="n">
        <x:v>100</x:v>
      </x:c>
      <x:c r="W69" s="7" t="n">
        <x:v>122</x:v>
      </x:c>
      <x:c r="X69" s="7" t="n">
        <x:v>92</x:v>
      </x:c>
      <x:c r="Y69" s="7" t="n">
        <x:v>111</x:v>
      </x:c>
    </x:row>
    <x:row r="70">
      <x:c r="A70" t="inlineStr">
        <x:is>
          <x:t xml:space="preserve">IRN</x:t>
        </x:is>
      </x:c>
      <x:c r="B70" t="inlineStr">
        <x:is>
          <x:t xml:space="preserve">Iran, Islamic Rep.</x:t>
        </x:is>
      </x:c>
      <x:c r="C70" t="inlineStr">
        <x:is>
          <x:t xml:space="preserve">Middle East &amp; North Africa</x:t>
        </x:is>
      </x:c>
      <x:c r="D70" t="inlineStr">
        <x:is>
          <x:t xml:space="preserve">Asia</x:t>
        </x:is>
      </x:c>
      <x:c r="E70" s="11" t="n">
        <x:v>91567738</x:v>
      </x:c>
      <x:c r="F70" s="8" t="n">
        <x:v>475252089215.416</x:v>
      </x:c>
      <x:c r="G70" s="8" t="n">
        <x:v>7891903306.81818</x:v>
      </x:c>
      <x:c r="H70" s="11" t="n">
        <x:v>101</x:v>
      </x:c>
      <x:c r="I70" s="10" t="n">
        <x:v>50.9</x:v>
      </x:c>
      <x:c r="J70" s="10" t="n">
        <x:v>15.3096972007243</x:v>
      </x:c>
      <x:c r="K70" s="10" t="n">
        <x:v>60.66777745864687</x:v>
      </x:c>
      <x:c r="L70" s="10" t="n">
        <x:v>51.86812735207574</x:v>
      </x:c>
      <x:c r="M70" s="10" t="n">
        <x:v>84.14322940918997</x:v>
      </x:c>
      <x:c r="N70" s="10" t="n">
        <x:v>68.02767640414845</x:v>
      </x:c>
      <x:c r="O70" s="10" t="n">
        <x:v>60.66777745864687</x:v>
      </x:c>
      <x:c r="P70" s="10" t="n">
        <x:v>44.58021832641674</x:v>
      </x:c>
      <x:c r="Q70" s="10" t="n">
        <x:v>76.82351958263057</x:v>
      </x:c>
      <x:c r="R70" s="10" t="n">
        <x:v>0</x:v>
      </x:c>
      <x:c r="S70" s="10" t="n">
        <x:v>62.10111387486249</x:v>
      </x:c>
      <x:c r="T70" s="10" t="n">
        <x:v>56.10295326220759</x:v>
      </x:c>
      <x:c r="U70" s="10" t="n">
        <x:v>59.10203356853504</x:v>
      </x:c>
      <x:c r="V70" s="10" t="n">
        <x:v>100</x:v>
      </x:c>
      <x:c r="W70" s="7" t="n">
        <x:v>22</x:v>
      </x:c>
      <x:c r="X70" s="7" t="n">
        <x:v>25</x:v>
      </x:c>
      <x:c r="Y70" s="7" t="n">
        <x:v>20</x:v>
      </x:c>
    </x:row>
    <x:row r="71">
      <x:c r="A71" t="inlineStr">
        <x:is>
          <x:t xml:space="preserve">MRT</x:t>
        </x:is>
      </x:c>
      <x:c r="B71" t="inlineStr">
        <x:is>
          <x:t xml:space="preserve">Mauritania</x:t>
        </x:is>
      </x:c>
      <x:c r="C71" t="inlineStr">
        <x:is>
          <x:t xml:space="preserve">Sub-Saharan Africa</x:t>
        </x:is>
      </x:c>
      <x:c r="D71" t="inlineStr">
        <x:is>
          <x:t xml:space="preserve">Africa</x:t>
        </x:is>
      </x:c>
      <x:c r="E71" s="11" t="n">
        <x:v>5169395</x:v>
      </x:c>
      <x:c r="F71" s="8" t="n">
        <x:v>10908045686.8808</x:v>
      </x:c>
      <x:c r="G71" s="8" t="n">
        <x:v>260059017.269229</x:v>
      </x:c>
      <x:c r="H71" s="11" t="n">
        <x:v>5</x:v>
      </x:c>
      <x:c r="I71" s="10" t="n"/>
      <x:c r="J71" s="10" t="n">
        <x:v>14.69400455530635</x:v>
      </x:c>
      <x:c r="K71" s="10" t="n">
        <x:v>25.13181023035025</x:v>
      </x:c>
      <x:c r="L71" s="10" t="n">
        <x:v>7.787131184688629</x:v>
      </x:c>
      <x:c r="M71" s="10" t="n">
        <x:v>63.08257916302689</x:v>
      </x:c>
      <x:c r="N71" s="10" t="n">
        <x:v>54.13107188899908</x:v>
      </x:c>
      <x:c r="O71" s="10" t="n">
        <x:v>25.13181023035025</x:v>
      </x:c>
      <x:c r="P71" s="10" t="n">
        <x:v>24.54091924334148</x:v>
      </x:c>
      <x:c r="Q71" s="10" t="n">
        <x:v>52.71223923274615</x:v>
      </x:c>
      <x:c r="R71" s="10" t="n">
        <x:v>0</x:v>
      </x:c>
      <x:c r="S71" s="10" t="n">
        <x:v>36.90706708833119</x:v>
      </x:c>
      <x:c r="T71" s="10" t="n">
        <x:v>38.95090174730806</x:v>
      </x:c>
      <x:c r="U71" s="10" t="n">
        <x:v>37.92898441781962</x:v>
      </x:c>
      <x:c r="V71" s="10" t="n">
        <x:v>100</x:v>
      </x:c>
      <x:c r="W71" s="7" t="n">
        <x:v>144</x:v>
      </x:c>
      <x:c r="X71" s="7" t="n">
        <x:v>143</x:v>
      </x:c>
      <x:c r="Y71" s="7" t="n">
        <x:v>142</x:v>
      </x:c>
    </x:row>
    <x:row r="72">
      <x:c r="A72" t="inlineStr">
        <x:is>
          <x:t xml:space="preserve">PAK</x:t>
        </x:is>
      </x:c>
      <x:c r="B72" t="inlineStr">
        <x:is>
          <x:t xml:space="preserve">Pakistan</x:t>
        </x:is>
      </x:c>
      <x:c r="C72" t="inlineStr">
        <x:is>
          <x:t xml:space="preserve">Middle East &amp; North Africa</x:t>
        </x:is>
      </x:c>
      <x:c r="D72" t="inlineStr">
        <x:is>
          <x:t xml:space="preserve">Asia</x:t>
        </x:is>
      </x:c>
      <x:c r="E72" s="11" t="n">
        <x:v>251269164</x:v>
      </x:c>
      <x:c r="F72" s="8" t="n">
        <x:v>371570000121.266</x:v>
      </x:c>
      <x:c r="G72" s="8" t="n">
        <x:v>10165952756.2448</x:v>
      </x:c>
      <x:c r="H72" s="11" t="n">
        <x:v>114</x:v>
      </x:c>
      <x:c r="I72" s="10" t="n">
        <x:v>36.6</x:v>
      </x:c>
      <x:c r="J72" s="10" t="n">
        <x:v>27.90538062340718</x:v>
      </x:c>
      <x:c r="K72" s="10" t="n">
        <x:v>51.0668790208929</x:v>
      </x:c>
      <x:c r="L72" s="10" t="n">
        <x:v>48.19356200159721</x:v>
      </x:c>
      <x:c r="M72" s="10" t="n">
        <x:v>85.54595536975934</x:v>
      </x:c>
      <x:c r="N72" s="10" t="n">
        <x:v>69.29228437415948</x:v>
      </x:c>
      <x:c r="O72" s="10" t="n">
        <x:v>51.0668790208929</x:v>
      </x:c>
      <x:c r="P72" s="10" t="n">
        <x:v>28.34305706639585</x:v>
      </x:c>
      <x:c r="Q72" s="10" t="n">
        <x:v>85.29126220567524</x:v>
      </x:c>
      <x:c r="R72" s="10" t="n">
        <x:v>25.85956172200916</x:v>
      </x:c>
      <x:c r="S72" s="10" t="n">
        <x:v>55.89234241970709</x:v>
      </x:c>
      <x:c r="T72" s="10" t="n">
        <x:v>44.97227884751263</x:v>
      </x:c>
      <x:c r="U72" s="10" t="n">
        <x:v>50.43231063360986</x:v>
      </x:c>
      <x:c r="V72" s="10" t="n">
        <x:v>100</x:v>
      </x:c>
      <x:c r="W72" s="7" t="n">
        <x:v>39</x:v>
      </x:c>
      <x:c r="X72" s="7" t="n">
        <x:v>85</x:v>
      </x:c>
      <x:c r="Y72" s="7" t="n">
        <x:v>57</x:v>
      </x:c>
    </x:row>
    <x:row r="73">
      <x:c r="A73" t="inlineStr">
        <x:is>
          <x:t xml:space="preserve">IMN</x:t>
        </x:is>
      </x:c>
      <x:c r="B73" t="inlineStr">
        <x:is>
          <x:t xml:space="preserve">Isle of Man</x:t>
        </x:is>
      </x:c>
      <x:c r="C73" t="inlineStr">
        <x:is>
          <x:t xml:space="preserve">Europe &amp; Central Asia</x:t>
        </x:is>
      </x:c>
      <x:c r="E73" s="11" t="n">
        <x:v>84160</x:v>
      </x:c>
      <x:c r="F73" s="8" t="n">
        <x:v>7431257410.92713</x:v>
      </x:c>
      <x:c r="G73" s="8" t="n"/>
      <x:c r="H73" s="11" t="n"/>
      <x:c r="I73" s="10" t="n"/>
      <x:c r="J73" s="10" t="n"/>
      <x:c r="K73" s="10" t="n"/>
      <x:c r="L73" s="10" t="n">
        <x:v>0</x:v>
      </x:c>
      <x:c r="M73" s="10" t="n">
        <x:v>36.66315287828363</x:v>
      </x:c>
      <x:c r="N73" s="10" t="n"/>
      <x:c r="O73" s="10" t="n"/>
      <x:c r="P73" s="10" t="n">
        <x:v>36.66315287828363</x:v>
      </x:c>
      <x:c r="Q73" s="10" t="n">
        <x:v>18.17021649956303</x:v>
      </x:c>
      <x:c r="R73" s="10" t="n">
        <x:v>0</x:v>
      </x:c>
      <x:c r="S73" s="10" t="n">
        <x:v>19.9746128514887</x:v>
      </x:c>
      <x:c r="T73" s="10" t="n">
        <x:v>25.7941849961592</x:v>
      </x:c>
      <x:c r="U73" s="10" t="n">
        <x:v>22.88439892382394</x:v>
      </x:c>
      <x:c r="V73" s="10" t="n">
        <x:v>50</x:v>
      </x:c>
      <x:c r="W73" s="7" t="n">
        <x:v>189</x:v>
      </x:c>
      <x:c r="X73" s="7" t="n">
        <x:v>187</x:v>
      </x:c>
      <x:c r="Y73" s="7" t="n">
        <x:v>189</x:v>
      </x:c>
    </x:row>
    <x:row r="74">
      <x:c r="A74" t="inlineStr">
        <x:is>
          <x:t xml:space="preserve">ITA</x:t>
        </x:is>
      </x:c>
      <x:c r="B74" t="inlineStr">
        <x:is>
          <x:t xml:space="preserve">Italy</x:t>
        </x:is>
      </x:c>
      <x:c r="C74" t="inlineStr">
        <x:is>
          <x:t xml:space="preserve">Europe &amp; Central Asia</x:t>
        </x:is>
      </x:c>
      <x:c r="D74" t="inlineStr">
        <x:is>
          <x:t xml:space="preserve">Europe</x:t>
        </x:is>
      </x:c>
      <x:c r="E74" s="11" t="n">
        <x:v>58952704</x:v>
      </x:c>
      <x:c r="F74" s="8" t="n">
        <x:v>2380825077243.59</x:v>
      </x:c>
      <x:c r="G74" s="8" t="n">
        <x:v>37964578316.9022</x:v>
      </x:c>
      <x:c r="H74" s="11" t="n">
        <x:v>309</x:v>
      </x:c>
      <x:c r="I74" s="10" t="n">
        <x:v>80.7</x:v>
      </x:c>
      <x:c r="J74" s="10" t="n">
        <x:v>54.38279481106275</x:v>
      </x:c>
      <x:c r="K74" s="10" t="n">
        <x:v>79.31929717901893</x:v>
      </x:c>
      <x:c r="L74" s="10" t="n">
        <x:v>64.73059987442208</x:v>
      </x:c>
      <x:c r="M74" s="10" t="n">
        <x:v>85.22266365960377</x:v>
      </x:c>
      <x:c r="N74" s="10" t="n">
        <x:v>71.69707731950221</x:v>
      </x:c>
      <x:c r="O74" s="10" t="n">
        <x:v>79.31929717901893</x:v>
      </x:c>
      <x:c r="P74" s="10" t="n">
        <x:v>55.59428503716291</x:v>
      </x:c>
      <x:c r="Q74" s="10" t="n">
        <x:v>73.12969496523773</x:v>
      </x:c>
      <x:c r="R74" s="10" t="n">
        <x:v>0</x:v>
      </x:c>
      <x:c r="S74" s="10" t="n">
        <x:v>68.31451374406693</x:v>
      </x:c>
      <x:c r="T74" s="10" t="n">
        <x:v>66.61775828809822</x:v>
      </x:c>
      <x:c r="U74" s="10" t="n">
        <x:v>67.46613601608257</x:v>
      </x:c>
      <x:c r="V74" s="10" t="n">
        <x:v>100</x:v>
      </x:c>
      <x:c r="W74" s="7" t="n">
        <x:v>9</x:v>
      </x:c>
      <x:c r="X74" s="7" t="n">
        <x:v>7</x:v>
      </x:c>
      <x:c r="Y74" s="7" t="n">
        <x:v>6</x:v>
      </x:c>
    </x:row>
    <x:row r="75">
      <x:c r="A75" t="inlineStr">
        <x:is>
          <x:t xml:space="preserve">JAM</x:t>
        </x:is>
      </x:c>
      <x:c r="B75" t="inlineStr">
        <x:is>
          <x:t xml:space="preserve">Jamaica</x:t>
        </x:is>
      </x:c>
      <x:c r="C75" t="inlineStr">
        <x:is>
          <x:t xml:space="preserve">Latin America &amp; Caribbean</x:t>
        </x:is>
      </x:c>
      <x:c r="D75" t="inlineStr">
        <x:is>
          <x:t xml:space="preserve">North America</x:t>
        </x:is>
      </x:c>
      <x:c r="E75" s="11" t="n">
        <x:v>2839175</x:v>
      </x:c>
      <x:c r="F75" s="8" t="n">
        <x:v>22014397089.7689</x:v>
      </x:c>
      <x:c r="G75" s="8" t="n">
        <x:v>262511269.974231</x:v>
      </x:c>
      <x:c r="H75" s="11" t="n"/>
      <x:c r="I75" s="10" t="n"/>
      <x:c r="J75" s="10" t="n">
        <x:v>10.13475174091277</x:v>
      </x:c>
      <x:c r="K75" s="10" t="n">
        <x:v>59.49674843568278</x:v>
      </x:c>
      <x:c r="L75" s="10" t="n">
        <x:v>0</x:v>
      </x:c>
      <x:c r="M75" s="10" t="n">
        <x:v>59.1510736838034</x:v>
      </x:c>
      <x:c r="N75" s="10" t="n">
        <x:v>52.04910795436958</x:v>
      </x:c>
      <x:c r="O75" s="10" t="n">
        <x:v>59.49674843568278</x:v>
      </x:c>
      <x:c r="P75" s="10" t="n">
        <x:v>28.58240715379026</x:v>
      </x:c>
      <x:c r="Q75" s="10" t="n">
        <x:v>47.68549356890875</x:v>
      </x:c>
      <x:c r="R75" s="10" t="n">
        <x:v>0</x:v>
      </x:c>
      <x:c r="S75" s="10" t="n">
        <x:v>39.91135591139415</x:v>
      </x:c>
      <x:c r="T75" s="10" t="n">
        <x:v>42.40353348447663</x:v>
      </x:c>
      <x:c r="U75" s="10" t="n">
        <x:v>41.15744469793539</x:v>
      </x:c>
      <x:c r="V75" s="10" t="n">
        <x:v>100</x:v>
      </x:c>
      <x:c r="W75" s="7" t="n">
        <x:v>120</x:v>
      </x:c>
      <x:c r="X75" s="7" t="n">
        <x:v>113</x:v>
      </x:c>
      <x:c r="Y75" s="7" t="n">
        <x:v>117</x:v>
      </x:c>
    </x:row>
    <x:row r="76">
      <x:c r="A76" t="inlineStr">
        <x:is>
          <x:t xml:space="preserve">JPN</x:t>
        </x:is>
      </x:c>
      <x:c r="B76" t="inlineStr">
        <x:is>
          <x:t xml:space="preserve">Japan</x:t>
        </x:is>
      </x:c>
      <x:c r="C76" t="inlineStr">
        <x:is>
          <x:t xml:space="preserve">East Asia &amp; Pacific</x:t>
        </x:is>
      </x:c>
      <x:c r="D76" t="inlineStr">
        <x:is>
          <x:t xml:space="preserve">Asia</x:t>
        </x:is>
      </x:c>
      <x:c r="E76" s="11" t="n">
        <x:v>123975371</x:v>
      </x:c>
      <x:c r="F76" s="8" t="n">
        <x:v>4027597523550.58</x:v>
      </x:c>
      <x:c r="G76" s="8" t="n">
        <x:v>55273904316.7083</x:v>
      </x:c>
      <x:c r="H76" s="11" t="n">
        <x:v>155</x:v>
      </x:c>
      <x:c r="I76" s="10" t="n">
        <x:v>121.3</x:v>
      </x:c>
      <x:c r="J76" s="10" t="n">
        <x:v>57.90828820477505</x:v>
      </x:c>
      <x:c r="K76" s="10" t="n">
        <x:v>83.47553758636718</x:v>
      </x:c>
      <x:c r="L76" s="10" t="n">
        <x:v>68.85409947364691</x:v>
      </x:c>
      <x:c r="M76" s="10" t="n">
        <x:v>85.25496255837109</x:v>
      </x:c>
      <x:c r="N76" s="10" t="n">
        <x:v>74.07699434759151</x:v>
      </x:c>
      <x:c r="O76" s="10" t="n">
        <x:v>83.47553758636718</x:v>
      </x:c>
      <x:c r="P76" s="10" t="n">
        <x:v>49.21202832098781</x:v>
      </x:c>
      <x:c r="Q76" s="10" t="n">
        <x:v>79.36527010796161</x:v>
      </x:c>
      <x:c r="R76" s="10" t="n">
        <x:v>0</x:v>
      </x:c>
      <x:c r="S76" s="10" t="n">
        <x:v>68.44328326909847</x:v>
      </x:c>
      <x:c r="T76" s="10" t="n">
        <x:v>56.96144163191906</x:v>
      </x:c>
      <x:c r="U76" s="10" t="n">
        <x:v>62.70236245050877</x:v>
      </x:c>
      <x:c r="V76" s="10" t="n">
        <x:v>100</x:v>
      </x:c>
      <x:c r="W76" s="7" t="n">
        <x:v>8</x:v>
      </x:c>
      <x:c r="X76" s="7" t="n">
        <x:v>22</x:v>
      </x:c>
      <x:c r="Y76" s="7" t="n">
        <x:v>11</x:v>
      </x:c>
    </x:row>
    <x:row r="77">
      <x:c r="A77" t="inlineStr">
        <x:is>
          <x:t xml:space="preserve">JEY</x:t>
        </x:is>
      </x:c>
      <x:c r="B77" t="inlineStr">
        <x:is>
          <x:t xml:space="preserve">Jersey</x:t>
        </x:is>
      </x:c>
      <x:c r="E77" s="11" t="n"/>
      <x:c r="F77" s="8" t="n"/>
      <x:c r="G77" s="8" t="n"/>
      <x:c r="H77" s="11" t="n"/>
      <x:c r="I77" s="10" t="n"/>
      <x:c r="J77" s="10" t="n"/>
      <x:c r="K77" s="10" t="n"/>
      <x:c r="L77" s="10" t="n">
        <x:v>0</x:v>
      </x:c>
      <x:c r="M77" s="10" t="n"/>
      <x:c r="N77" s="10" t="n"/>
      <x:c r="O77" s="10" t="n"/>
      <x:c r="P77" s="10" t="n"/>
      <x:c r="Q77" s="10" t="n"/>
      <x:c r="R77" s="10" t="n">
        <x:v>0</x:v>
      </x:c>
      <x:c r="S77" s="10" t="n">
        <x:v>0</x:v>
      </x:c>
      <x:c r="T77" s="10" t="n">
        <x:v>0</x:v>
      </x:c>
      <x:c r="U77" s="10" t="n">
        <x:v>0</x:v>
      </x:c>
      <x:c r="V77" s="10" t="n">
        <x:v>12</x:v>
      </x:c>
      <x:c r="W77" s="7" t="n">
        <x:v>222</x:v>
      </x:c>
      <x:c r="X77" s="7" t="n">
        <x:v>222</x:v>
      </x:c>
      <x:c r="Y77" s="7" t="n">
        <x:v>222</x:v>
      </x:c>
    </x:row>
    <x:row r="78">
      <x:c r="A78" t="inlineStr">
        <x:is>
          <x:t xml:space="preserve">BHR</x:t>
        </x:is>
      </x:c>
      <x:c r="B78" t="inlineStr">
        <x:is>
          <x:t xml:space="preserve">Bahrain</x:t>
        </x:is>
      </x:c>
      <x:c r="C78" t="inlineStr">
        <x:is>
          <x:t xml:space="preserve">Middle East &amp; North Africa</x:t>
        </x:is>
      </x:c>
      <x:c r="E78" s="11" t="n">
        <x:v>1588670</x:v>
      </x:c>
      <x:c r="F78" s="8" t="n">
        <x:v>47109734308.5106</x:v>
      </x:c>
      <x:c r="G78" s="8" t="n">
        <x:v>1383973404.25532</x:v>
      </x:c>
      <x:c r="H78" s="11" t="n">
        <x:v>58</x:v>
      </x:c>
      <x:c r="I78" s="10" t="n"/>
      <x:c r="J78" s="10" t="n"/>
      <x:c r="K78" s="10" t="n"/>
      <x:c r="L78" s="10" t="n">
        <x:v>33.46660222214961</x:v>
      </x:c>
      <x:c r="M78" s="10" t="n">
        <x:v>66.20099604230109</x:v>
      </x:c>
      <x:c r="N78" s="10" t="n">
        <x:v>58.31855767728324</x:v>
      </x:c>
      <x:c r="O78" s="10" t="n"/>
      <x:c r="P78" s="10" t="n">
        <x:v>50.82285727588923</x:v>
      </x:c>
      <x:c r="Q78" s="10" t="n">
        <x:v>42.81499167731079</x:v>
      </x:c>
      <x:c r="R78" s="10" t="n">
        <x:v>0</x:v>
      </x:c>
      <x:c r="S78" s="10" t="n">
        <x:v>48.37453484261868</x:v>
      </x:c>
      <x:c r="T78" s="10" t="n">
        <x:v>51.63306749365303</x:v>
      </x:c>
      <x:c r="U78" s="10" t="n">
        <x:v>50.00380116813585</x:v>
      </x:c>
      <x:c r="V78" s="10" t="n">
        <x:v>75</x:v>
      </x:c>
      <x:c r="W78" s="7" t="n">
        <x:v>78</x:v>
      </x:c>
      <x:c r="X78" s="7" t="n">
        <x:v>50</x:v>
      </x:c>
      <x:c r="Y78" s="7" t="n">
        <x:v>61</x:v>
      </x:c>
    </x:row>
    <x:row r="79">
      <x:c r="A79" t="inlineStr">
        <x:is>
          <x:t xml:space="preserve">BEL</x:t>
        </x:is>
      </x:c>
      <x:c r="B79" t="inlineStr">
        <x:is>
          <x:t xml:space="preserve">Belgium</x:t>
        </x:is>
      </x:c>
      <x:c r="C79" t="inlineStr">
        <x:is>
          <x:t xml:space="preserve">Europe &amp; Central Asia</x:t>
        </x:is>
      </x:c>
      <x:c r="D79" t="inlineStr">
        <x:is>
          <x:t xml:space="preserve">Europe</x:t>
        </x:is>
      </x:c>
      <x:c r="E79" s="11" t="n">
        <x:v>11858610</x:v>
      </x:c>
      <x:c r="F79" s="8" t="n">
        <x:v>671370081636.406</x:v>
      </x:c>
      <x:c r="G79" s="8" t="n">
        <x:v>8561520105.74799</x:v>
      </x:c>
      <x:c r="H79" s="11" t="n">
        <x:v>9</x:v>
      </x:c>
      <x:c r="I79" s="10" t="n">
        <x:v>7.6</x:v>
      </x:c>
      <x:c r="J79" s="10" t="n">
        <x:v>8.393446052880662</x:v>
      </x:c>
      <x:c r="K79" s="10" t="n">
        <x:v>86.57399984334322</x:v>
      </x:c>
      <x:c r="L79" s="10" t="n">
        <x:v>17.93227736756725</x:v>
      </x:c>
      <x:c r="M79" s="10" t="n">
        <x:v>72.12104437967929</x:v>
      </x:c>
      <x:c r="N79" s="10" t="n">
        <x:v>68.6561197781394</x:v>
      </x:c>
      <x:c r="O79" s="10" t="n">
        <x:v>86.57399984334322</x:v>
      </x:c>
      <x:c r="P79" s="10" t="n">
        <x:v>51.47892669284703</x:v>
      </x:c>
      <x:c r="Q79" s="10" t="n">
        <x:v>59.67720342426617</x:v>
      </x:c>
      <x:c r="R79" s="10" t="n">
        <x:v>0</x:v>
      </x:c>
      <x:c r="S79" s="10" t="n">
        <x:v>57.22562419216318</x:v>
      </x:c>
      <x:c r="T79" s="10" t="n">
        <x:v>54.79724229090064</x:v>
      </x:c>
      <x:c r="U79" s="10" t="n">
        <x:v>56.01143324153191</x:v>
      </x:c>
      <x:c r="V79" s="10" t="n">
        <x:v>100</x:v>
      </x:c>
      <x:c r="W79" s="7" t="n">
        <x:v>36</x:v>
      </x:c>
      <x:c r="X79" s="7" t="n">
        <x:v>33</x:v>
      </x:c>
      <x:c r="Y79" s="7" t="n">
        <x:v>34</x:v>
      </x:c>
    </x:row>
    <x:row r="80">
      <x:c r="A80" t="inlineStr">
        <x:is>
          <x:t xml:space="preserve">BTN</x:t>
        </x:is>
      </x:c>
      <x:c r="B80" t="inlineStr">
        <x:is>
          <x:t xml:space="preserve">Bhutan</x:t>
        </x:is>
      </x:c>
      <x:c r="C80" t="inlineStr">
        <x:is>
          <x:t xml:space="preserve">South Asia</x:t>
        </x:is>
      </x:c>
      <x:c r="D80" t="inlineStr">
        <x:is>
          <x:t xml:space="preserve">Asia</x:t>
        </x:is>
      </x:c>
      <x:c r="E80" s="11" t="n">
        <x:v>791524</x:v>
      </x:c>
      <x:c r="F80" s="8" t="n">
        <x:v>3012896789.24928</x:v>
      </x:c>
      <x:c r="G80" s="8" t="n"/>
      <x:c r="H80" s="11" t="n"/>
      <x:c r="I80" s="10" t="n"/>
      <x:c r="J80" s="10" t="n">
        <x:v>4.749917931967153</x:v>
      </x:c>
      <x:c r="K80" s="10" t="n">
        <x:v>43.94238090802725</x:v>
      </x:c>
      <x:c r="L80" s="10" t="n">
        <x:v>0</x:v>
      </x:c>
      <x:c r="M80" s="10" t="n">
        <x:v>51.16267418615915</x:v>
      </x:c>
      <x:c r="N80" s="10" t="n">
        <x:v>53.20669716299119</x:v>
      </x:c>
      <x:c r="O80" s="10" t="n">
        <x:v>43.94238090802725</x:v>
      </x:c>
      <x:c r="P80" s="10" t="n">
        <x:v>19.43173043891418</x:v>
      </x:c>
      <x:c r="Q80" s="10" t="n">
        <x:v>36.9707889491551</x:v>
      </x:c>
      <x:c r="R80" s="10" t="n">
        <x:v>0</x:v>
      </x:c>
      <x:c r="S80" s="10" t="n">
        <x:v>34.48765159240845</x:v>
      </x:c>
      <x:c r="T80" s="10" t="n">
        <x:v>29.85878609461268</x:v>
      </x:c>
      <x:c r="U80" s="10" t="n">
        <x:v>32.17321884351057</x:v>
      </x:c>
      <x:c r="V80" s="10" t="n">
        <x:v>88</x:v>
      </x:c>
      <x:c r="W80" s="7" t="n">
        <x:v>157</x:v>
      </x:c>
      <x:c r="X80" s="7" t="n">
        <x:v>175</x:v>
      </x:c>
      <x:c r="Y80" s="7" t="n">
        <x:v>171</x:v>
      </x:c>
    </x:row>
    <x:row r="81">
      <x:c r="A81" t="inlineStr">
        <x:is>
          <x:t xml:space="preserve">KHM</x:t>
        </x:is>
      </x:c>
      <x:c r="B81" t="inlineStr">
        <x:is>
          <x:t xml:space="preserve">Cambodia</x:t>
        </x:is>
      </x:c>
      <x:c r="C81" t="inlineStr">
        <x:is>
          <x:t xml:space="preserve">East Asia &amp; Pacific</x:t>
        </x:is>
      </x:c>
      <x:c r="D81" t="inlineStr">
        <x:is>
          <x:t xml:space="preserve">Asia</x:t>
        </x:is>
      </x:c>
      <x:c r="E81" s="11" t="n">
        <x:v>17638801</x:v>
      </x:c>
      <x:c r="F81" s="8" t="n">
        <x:v>46352647037.2406</x:v>
      </x:c>
      <x:c r="G81" s="8" t="n">
        <x:v>720543532.1733921</x:v>
      </x:c>
      <x:c r="H81" s="11" t="n">
        <x:v>31</x:v>
      </x:c>
      <x:c r="I81" s="10" t="n"/>
      <x:c r="J81" s="10" t="n">
        <x:v>5.742520059798357</x:v>
      </x:c>
      <x:c r="K81" s="10" t="n">
        <x:v>40.89662775987565</x:v>
      </x:c>
      <x:c r="L81" s="10" t="n">
        <x:v>26.59334500751536</x:v>
      </x:c>
      <x:c r="M81" s="10" t="n">
        <x:v>74.22373127618596</x:v>
      </x:c>
      <x:c r="N81" s="10" t="n">
        <x:v>60.74706838625869</x:v>
      </x:c>
      <x:c r="O81" s="10" t="n">
        <x:v>40.89662775987565</x:v>
      </x:c>
      <x:c r="P81" s="10" t="n">
        <x:v>21.71945548</x:v>
      </x:c>
      <x:c r="Q81" s="10" t="n">
        <x:v>63.00783387679713</x:v>
      </x:c>
      <x:c r="R81" s="10" t="n">
        <x:v>0</x:v>
      </x:c>
      <x:c r="S81" s="10" t="n">
        <x:v>44.48081044187778</x:v>
      </x:c>
      <x:c r="T81" s="10" t="n">
        <x:v>30.33130919415407</x:v>
      </x:c>
      <x:c r="U81" s="10" t="n">
        <x:v>37.40605981801592</x:v>
      </x:c>
      <x:c r="V81" s="10" t="n">
        <x:v>100</x:v>
      </x:c>
      <x:c r="W81" s="7" t="n">
        <x:v>98</x:v>
      </x:c>
      <x:c r="X81" s="7" t="n">
        <x:v>173</x:v>
      </x:c>
      <x:c r="Y81" s="7" t="n">
        <x:v>147</x:v>
      </x:c>
    </x:row>
    <x:row r="82">
      <x:c r="A82" t="inlineStr">
        <x:is>
          <x:t xml:space="preserve">DNK</x:t>
        </x:is>
      </x:c>
      <x:c r="B82" t="inlineStr">
        <x:is>
          <x:t xml:space="preserve">Denmark</x:t>
        </x:is>
      </x:c>
      <x:c r="C82" t="inlineStr">
        <x:is>
          <x:t xml:space="preserve">Europe &amp; Central Asia</x:t>
        </x:is>
      </x:c>
      <x:c r="D82" t="inlineStr">
        <x:is>
          <x:t xml:space="preserve">Europe</x:t>
        </x:is>
      </x:c>
      <x:c r="E82" s="11" t="n">
        <x:v>5976992</x:v>
      </x:c>
      <x:c r="F82" s="8" t="n">
        <x:v>424524722037.047</x:v>
      </x:c>
      <x:c r="G82" s="8" t="n">
        <x:v>9958899778.69112</x:v>
      </x:c>
      <x:c r="H82" s="11" t="n">
        <x:v>91</x:v>
      </x:c>
      <x:c r="I82" s="10" t="n"/>
      <x:c r="J82" s="10" t="n">
        <x:v>29.8008487250239</x:v>
      </x:c>
      <x:c r="K82" s="10" t="n">
        <x:v>80.85577882152603</x:v>
      </x:c>
      <x:c r="L82" s="10" t="n">
        <x:v>38.45752182733213</x:v>
      </x:c>
      <x:c r="M82" s="10" t="n">
        <x:v>69.9761513053522</x:v>
      </x:c>
      <x:c r="N82" s="10" t="n">
        <x:v>74.92068961587448</x:v>
      </x:c>
      <x:c r="O82" s="10" t="n">
        <x:v>80.85577882152603</x:v>
      </x:c>
      <x:c r="P82" s="10" t="n">
        <x:v>49.9672942567122</x:v>
      </x:c>
      <x:c r="Q82" s="10" t="n">
        <x:v>53.9299295651665</x:v>
      </x:c>
      <x:c r="R82" s="10" t="n">
        <x:v>0</x:v>
      </x:c>
      <x:c r="S82" s="10" t="n">
        <x:v>59.93443610200913</x:v>
      </x:c>
      <x:c r="T82" s="10" t="n">
        <x:v>55.89427494212369</x:v>
      </x:c>
      <x:c r="U82" s="10" t="n">
        <x:v>57.91435552206641</x:v>
      </x:c>
      <x:c r="V82" s="10" t="n">
        <x:v>100</x:v>
      </x:c>
      <x:c r="W82" s="7" t="n">
        <x:v>29</x:v>
      </x:c>
      <x:c r="X82" s="7" t="n">
        <x:v>27</x:v>
      </x:c>
      <x:c r="Y82" s="7" t="n">
        <x:v>28</x:v>
      </x:c>
    </x:row>
    <x:row r="83">
      <x:c r="A83" t="inlineStr">
        <x:is>
          <x:t xml:space="preserve">SWZ</x:t>
        </x:is>
      </x:c>
      <x:c r="B83" t="inlineStr">
        <x:is>
          <x:t xml:space="preserve">Eswatini</x:t>
        </x:is>
      </x:c>
      <x:c r="C83" t="inlineStr">
        <x:is>
          <x:t xml:space="preserve">Sub-Saharan Africa</x:t>
        </x:is>
      </x:c>
      <x:c r="D83" t="inlineStr">
        <x:is>
          <x:t xml:space="preserve">Africa</x:t>
        </x:is>
      </x:c>
      <x:c r="E83" s="11" t="n">
        <x:v>1242822</x:v>
      </x:c>
      <x:c r="F83" s="8" t="n">
        <x:v>4858885840.77236</x:v>
      </x:c>
      <x:c r="G83" s="8" t="n">
        <x:v>79655264.6081486</x:v>
      </x:c>
      <x:c r="H83" s="11" t="n"/>
      <x:c r="I83" s="10" t="n"/>
      <x:c r="J83" s="10" t="n">
        <x:v>0</x:v>
      </x:c>
      <x:c r="K83" s="10" t="n">
        <x:v>50.98803914597477</x:v>
      </x:c>
      <x:c r="L83" s="10" t="n">
        <x:v>0</x:v>
      </x:c>
      <x:c r="M83" s="10" t="n">
        <x:v>53.49130341344906</x:v>
      </x:c>
      <x:c r="N83" s="10" t="n">
        <x:v>47.93774457050294</x:v>
      </x:c>
      <x:c r="O83" s="10" t="n">
        <x:v>50.98803914597477</x:v>
      </x:c>
      <x:c r="P83" s="10" t="n">
        <x:v>21.44095251359323</x:v>
      </x:c>
      <x:c r="Q83" s="10" t="n">
        <x:v>40.75550905155453</x:v>
      </x:c>
      <x:c r="R83" s="10" t="n">
        <x:v>0</x:v>
      </x:c>
      <x:c r="S83" s="10" t="n">
        <x:v>35.65473000751712</x:v>
      </x:c>
      <x:c r="T83" s="10" t="n">
        <x:v>36.05488975195376</x:v>
      </x:c>
      <x:c r="U83" s="10" t="n">
        <x:v>35.85480987973544</x:v>
      </x:c>
      <x:c r="V83" s="10" t="n">
        <x:v>100</x:v>
      </x:c>
      <x:c r="W83" s="7" t="n">
        <x:v>148</x:v>
      </x:c>
      <x:c r="X83" s="7" t="n">
        <x:v>152</x:v>
      </x:c>
      <x:c r="Y83" s="7" t="n">
        <x:v>153</x:v>
      </x:c>
    </x:row>
    <x:row r="84">
      <x:c r="A84" t="inlineStr">
        <x:is>
          <x:t xml:space="preserve">LSO</x:t>
        </x:is>
      </x:c>
      <x:c r="B84" t="inlineStr">
        <x:is>
          <x:t xml:space="preserve">Lesotho</x:t>
        </x:is>
      </x:c>
      <x:c r="C84" t="inlineStr">
        <x:is>
          <x:t xml:space="preserve">Sub-Saharan Africa</x:t>
        </x:is>
      </x:c>
      <x:c r="D84" t="inlineStr">
        <x:is>
          <x:t xml:space="preserve">Africa</x:t>
        </x:is>
      </x:c>
      <x:c r="E84" s="11" t="n">
        <x:v>2337423</x:v>
      </x:c>
      <x:c r="F84" s="8" t="n">
        <x:v>2271759454.51107</x:v>
      </x:c>
      <x:c r="G84" s="8" t="n">
        <x:v>36295976.9958149</x:v>
      </x:c>
      <x:c r="H84" s="11" t="n"/>
      <x:c r="I84" s="10" t="n"/>
      <x:c r="J84" s="10" t="n">
        <x:v>2.48775634411943</x:v>
      </x:c>
      <x:c r="K84" s="10" t="n">
        <x:v>37.05415706665605</x:v>
      </x:c>
      <x:c r="L84" s="10" t="n">
        <x:v>0</x:v>
      </x:c>
      <x:c r="M84" s="10" t="n">
        <x:v>50.22708489670116</x:v>
      </x:c>
      <x:c r="N84" s="10" t="n">
        <x:v>45.4116121861481</x:v>
      </x:c>
      <x:c r="O84" s="10" t="n">
        <x:v>37.05415706665605</x:v>
      </x:c>
      <x:c r="P84" s="10" t="n">
        <x:v>17.04809222668144</x:v>
      </x:c>
      <x:c r="Q84" s="10" t="n">
        <x:v>46.05422755396793</x:v>
      </x:c>
      <x:c r="R84" s="10" t="n">
        <x:v>0</x:v>
      </x:c>
      <x:c r="S84" s="10" t="n">
        <x:v>32.27660072174699</x:v>
      </x:c>
      <x:c r="T84" s="10" t="n">
        <x:v>33.40470711009819</x:v>
      </x:c>
      <x:c r="U84" s="10" t="n">
        <x:v>32.84065391592259</x:v>
      </x:c>
      <x:c r="V84" s="10" t="n">
        <x:v>100</x:v>
      </x:c>
      <x:c r="W84" s="7" t="n">
        <x:v>167</x:v>
      </x:c>
      <x:c r="X84" s="7" t="n">
        <x:v>160</x:v>
      </x:c>
      <x:c r="Y84" s="7" t="n">
        <x:v>166</x:v>
      </x:c>
    </x:row>
    <x:row r="85">
      <x:c r="A85" t="inlineStr">
        <x:is>
          <x:t xml:space="preserve">MAR</x:t>
        </x:is>
      </x:c>
      <x:c r="B85" t="inlineStr">
        <x:is>
          <x:t xml:space="preserve">Morocco</x:t>
        </x:is>
      </x:c>
      <x:c r="C85" t="inlineStr">
        <x:is>
          <x:t xml:space="preserve">Middle East &amp; North Africa</x:t>
        </x:is>
      </x:c>
      <x:c r="D85" t="inlineStr">
        <x:is>
          <x:t xml:space="preserve">Africa</x:t>
        </x:is>
      </x:c>
      <x:c r="E85" s="11" t="n">
        <x:v>38081173</x:v>
      </x:c>
      <x:c r="F85" s="8" t="n">
        <x:v>160610994054.734</x:v>
      </x:c>
      <x:c r="G85" s="8" t="n">
        <x:v>5517924399.23385</x:v>
      </x:c>
      <x:c r="H85" s="11" t="n">
        <x:v>121</x:v>
      </x:c>
      <x:c r="I85" s="10" t="n"/>
      <x:c r="J85" s="10" t="n">
        <x:v>28.22553950057061</x:v>
      </x:c>
      <x:c r="K85" s="10" t="n">
        <x:v>50.31012601993886</x:v>
      </x:c>
      <x:c r="L85" s="10" t="n">
        <x:v>41.62824993829401</x:v>
      </x:c>
      <x:c r="M85" s="10" t="n">
        <x:v>78.82293975583191</x:v>
      </x:c>
      <x:c r="N85" s="10" t="n">
        <x:v>65.42898967007241</x:v>
      </x:c>
      <x:c r="O85" s="10" t="n">
        <x:v>50.31012601993886</x:v>
      </x:c>
      <x:c r="P85" s="10" t="n">
        <x:v>37.69067176946041</x:v>
      </x:c>
      <x:c r="Q85" s="10" t="n">
        <x:v>69.46378755168197</x:v>
      </x:c>
      <x:c r="R85" s="10" t="n">
        <x:v>0</x:v>
      </x:c>
      <x:c r="S85" s="10" t="n">
        <x:v>55.09127752174061</x:v>
      </x:c>
      <x:c r="T85" s="10" t="n">
        <x:v>53.4525381331021</x:v>
      </x:c>
      <x:c r="U85" s="10" t="n">
        <x:v>54.27190782742136</x:v>
      </x:c>
      <x:c r="V85" s="10" t="n">
        <x:v>100</x:v>
      </x:c>
      <x:c r="W85" s="7" t="n">
        <x:v>43</x:v>
      </x:c>
      <x:c r="X85" s="7" t="n">
        <x:v>38</x:v>
      </x:c>
      <x:c r="Y85" s="7" t="n">
        <x:v>41</x:v>
      </x:c>
    </x:row>
    <x:row r="86">
      <x:c r="A86" t="inlineStr">
        <x:is>
          <x:t xml:space="preserve">NOR</x:t>
        </x:is>
      </x:c>
      <x:c r="B86" t="inlineStr">
        <x:is>
          <x:t xml:space="preserve">Norway</x:t>
        </x:is>
      </x:c>
      <x:c r="C86" t="inlineStr">
        <x:is>
          <x:t xml:space="preserve">Europe &amp; Central Asia</x:t>
        </x:is>
      </x:c>
      <x:c r="D86" t="inlineStr">
        <x:is>
          <x:t xml:space="preserve">Europe</x:t>
        </x:is>
      </x:c>
      <x:c r="E86" s="11" t="n">
        <x:v>5572279</x:v>
      </x:c>
      <x:c r="F86" s="8" t="n">
        <x:v>483592648313.301</x:v>
      </x:c>
      <x:c r="G86" s="8" t="n">
        <x:v>10435320375.7091</x:v>
      </x:c>
      <x:c r="H86" s="11" t="n">
        <x:v>25</x:v>
      </x:c>
      <x:c r="I86" s="10" t="n"/>
      <x:c r="J86" s="10" t="n">
        <x:v>61.64273582109077</x:v>
      </x:c>
      <x:c r="K86" s="10" t="n">
        <x:v>72.38591179084136</x:v>
      </x:c>
      <x:c r="L86" s="10" t="n">
        <x:v>24.26062979495774</x:v>
      </x:c>
      <x:c r="M86" s="10" t="n">
        <x:v>72.11340701041938</x:v>
      </x:c>
      <x:c r="N86" s="10" t="n">
        <x:v>70.49855124361494</x:v>
      </x:c>
      <x:c r="O86" s="10" t="n">
        <x:v>72.38591179084136</x:v>
      </x:c>
      <x:c r="P86" s="10" t="n">
        <x:v>54.84207743740882</x:v>
      </x:c>
      <x:c r="Q86" s="10" t="n">
        <x:v>53.34178370843606</x:v>
      </x:c>
      <x:c r="R86" s="10" t="n">
        <x:v>0</x:v>
      </x:c>
      <x:c r="S86" s="10" t="n">
        <x:v>54.76185237072311</x:v>
      </x:c>
      <x:c r="T86" s="10" t="n">
        <x:v>60.42944183169113</x:v>
      </x:c>
      <x:c r="U86" s="10" t="n">
        <x:v>57.59564710120712</x:v>
      </x:c>
      <x:c r="V86" s="10" t="n">
        <x:v>100</x:v>
      </x:c>
      <x:c r="W86" s="7" t="n">
        <x:v>46</x:v>
      </x:c>
      <x:c r="X86" s="7" t="n">
        <x:v>11</x:v>
      </x:c>
      <x:c r="Y86" s="7" t="n">
        <x:v>30</x:v>
      </x:c>
    </x:row>
    <x:row r="87">
      <x:c r="A87" t="inlineStr">
        <x:is>
          <x:t xml:space="preserve">SAU</x:t>
        </x:is>
      </x:c>
      <x:c r="B87" t="inlineStr">
        <x:is>
          <x:t xml:space="preserve">Saudi Arabia</x:t>
        </x:is>
      </x:c>
      <x:c r="C87" t="inlineStr">
        <x:is>
          <x:t xml:space="preserve">Middle East &amp; North Africa</x:t>
        </x:is>
      </x:c>
      <x:c r="D87" t="inlineStr">
        <x:is>
          <x:t xml:space="preserve">Asia</x:t>
        </x:is>
      </x:c>
      <x:c r="E87" s="11" t="n">
        <x:v>35300280</x:v>
      </x:c>
      <x:c r="F87" s="8" t="n">
        <x:v>1239804533333.33</x:v>
      </x:c>
      <x:c r="G87" s="8" t="n">
        <x:v>80330666666.6667</x:v>
      </x:c>
      <x:c r="H87" s="11" t="n">
        <x:v>57</x:v>
      </x:c>
      <x:c r="I87" s="10" t="n">
        <x:v>10.7</x:v>
      </x:c>
      <x:c r="J87" s="10" t="n">
        <x:v>11.25736719781942</x:v>
      </x:c>
      <x:c r="K87" s="10" t="n">
        <x:v>71.20434880246218</x:v>
      </x:c>
      <x:c r="L87" s="10" t="n">
        <x:v>29.85594074776498</x:v>
      </x:c>
      <x:c r="M87" s="10" t="n">
        <x:v>84.59927610633321</x:v>
      </x:c>
      <x:c r="N87" s="10" t="n">
        <x:v>76.6046680207108</x:v>
      </x:c>
      <x:c r="O87" s="10" t="n">
        <x:v>71.20434880246218</x:v>
      </x:c>
      <x:c r="P87" s="10" t="n">
        <x:v>57.57502497753615</x:v>
      </x:c>
      <x:c r="Q87" s="10" t="n">
        <x:v>68.82769447915227</x:v>
      </x:c>
      <x:c r="R87" s="10" t="n">
        <x:v>0</x:v>
      </x:c>
      <x:c r="S87" s="10" t="n">
        <x:v>62.28101622806548</x:v>
      </x:c>
      <x:c r="T87" s="10" t="n">
        <x:v>58.59017245413451</x:v>
      </x:c>
      <x:c r="U87" s="10" t="n">
        <x:v>60.43559434109999</x:v>
      </x:c>
      <x:c r="V87" s="10" t="n">
        <x:v>100</x:v>
      </x:c>
      <x:c r="W87" s="7" t="n">
        <x:v>21</x:v>
      </x:c>
      <x:c r="X87" s="7" t="n">
        <x:v>16</x:v>
      </x:c>
      <x:c r="Y87" s="7" t="n">
        <x:v>19</x:v>
      </x:c>
    </x:row>
    <x:row r="88">
      <x:c r="A88" t="inlineStr">
        <x:is>
          <x:t xml:space="preserve">ESP</x:t>
        </x:is>
      </x:c>
      <x:c r="B88" t="inlineStr">
        <x:is>
          <x:t xml:space="preserve">Spain</x:t>
        </x:is>
      </x:c>
      <x:c r="C88" t="inlineStr">
        <x:is>
          <x:t xml:space="preserve">Europe &amp; Central Asia</x:t>
        </x:is>
      </x:c>
      <x:c r="D88" t="inlineStr">
        <x:is>
          <x:t xml:space="preserve">Europe</x:t>
        </x:is>
      </x:c>
      <x:c r="E88" s="11" t="n">
        <x:v>48848840</x:v>
      </x:c>
      <x:c r="F88" s="8" t="n">
        <x:v>1725671652742.19</x:v>
      </x:c>
      <x:c r="G88" s="8" t="n">
        <x:v>24615397928.7413</x:v>
      </x:c>
      <x:c r="H88" s="11" t="n">
        <x:v>168</x:v>
      </x:c>
      <x:c r="I88" s="10" t="n">
        <x:v>56</x:v>
      </x:c>
      <x:c r="J88" s="10" t="n">
        <x:v>14.69879271784255</x:v>
      </x:c>
      <x:c r="K88" s="10" t="n">
        <x:v>74.41886686462315</x:v>
      </x:c>
      <x:c r="L88" s="10" t="n">
        <x:v>55.3625236634671</x:v>
      </x:c>
      <x:c r="M88" s="10" t="n">
        <x:v>82.37350280323948</x:v>
      </x:c>
      <x:c r="N88" s="10" t="n">
        <x:v>69.98148402641536</x:v>
      </x:c>
      <x:c r="O88" s="10" t="n">
        <x:v>74.41886686462315</x:v>
      </x:c>
      <x:c r="P88" s="10" t="n">
        <x:v>53.86828395741505</x:v>
      </x:c>
      <x:c r="Q88" s="10" t="n">
        <x:v>71.5526148576392</x:v>
      </x:c>
      <x:c r="R88" s="10" t="n">
        <x:v>0</x:v>
      </x:c>
      <x:c r="S88" s="10" t="n">
        <x:v>65.84476957738364</x:v>
      </x:c>
      <x:c r="T88" s="10" t="n">
        <x:v>58.52084290307926</x:v>
      </x:c>
      <x:c r="U88" s="10" t="n">
        <x:v>62.18280624023145</x:v>
      </x:c>
      <x:c r="V88" s="10" t="n">
        <x:v>100</x:v>
      </x:c>
      <x:c r="W88" s="7" t="n">
        <x:v>14</x:v>
      </x:c>
      <x:c r="X88" s="7" t="n">
        <x:v>17</x:v>
      </x:c>
      <x:c r="Y88" s="7" t="n">
        <x:v>14</x:v>
      </x:c>
    </x:row>
    <x:row r="89">
      <x:c r="A89" t="inlineStr">
        <x:is>
          <x:t xml:space="preserve">SWE</x:t>
        </x:is>
      </x:c>
      <x:c r="B89" t="inlineStr">
        <x:is>
          <x:t xml:space="preserve">Sweden</x:t>
        </x:is>
      </x:c>
      <x:c r="C89" t="inlineStr">
        <x:is>
          <x:t xml:space="preserve">Europe &amp; Central Asia</x:t>
        </x:is>
      </x:c>
      <x:c r="D89" t="inlineStr">
        <x:is>
          <x:t xml:space="preserve">Europe</x:t>
        </x:is>
      </x:c>
      <x:c r="E89" s="11" t="n">
        <x:v>10569709</x:v>
      </x:c>
      <x:c r="F89" s="8" t="n">
        <x:v>603715224265.798</x:v>
      </x:c>
      <x:c r="G89" s="8" t="n">
        <x:v>12040289402.7522</x:v>
      </x:c>
      <x:c r="H89" s="11" t="n">
        <x:v>353</x:v>
      </x:c>
      <x:c r="I89" s="10" t="n">
        <x:v>37.8</x:v>
      </x:c>
      <x:c r="J89" s="10" t="n">
        <x:v>20.44998069852396</x:v>
      </x:c>
      <x:c r="K89" s="10" t="n">
        <x:v>70.7489584552449</x:v>
      </x:c>
      <x:c r="L89" s="10" t="n">
        <x:v>53.65691794983623</x:v>
      </x:c>
      <x:c r="M89" s="10" t="n">
        <x:v>70.58721677802313</x:v>
      </x:c>
      <x:c r="N89" s="10" t="n">
        <x:v>78.44801887056613</x:v>
      </x:c>
      <x:c r="O89" s="10" t="n">
        <x:v>70.7489584552449</x:v>
      </x:c>
      <x:c r="P89" s="10" t="n">
        <x:v>52.14321486926698</x:v>
      </x:c>
      <x:c r="Q89" s="10" t="n">
        <x:v>58.71200579647263</x:v>
      </x:c>
      <x:c r="R89" s="10" t="n">
        <x:v>0</x:v>
      </x:c>
      <x:c r="S89" s="10" t="n">
        <x:v>63.22955554156007</x:v>
      </x:c>
      <x:c r="T89" s="10" t="n">
        <x:v>53.9661276591384</x:v>
      </x:c>
      <x:c r="U89" s="10" t="n">
        <x:v>58.59784160034924</x:v>
      </x:c>
      <x:c r="V89" s="10" t="n">
        <x:v>100</x:v>
      </x:c>
      <x:c r="W89" s="7" t="n">
        <x:v>17</x:v>
      </x:c>
      <x:c r="X89" s="7" t="n">
        <x:v>36</x:v>
      </x:c>
      <x:c r="Y89" s="7" t="n">
        <x:v>25</x:v>
      </x:c>
    </x:row>
    <x:row r="90">
      <x:c r="A90" t="inlineStr">
        <x:is>
          <x:t xml:space="preserve">THA</x:t>
        </x:is>
      </x:c>
      <x:c r="B90" t="inlineStr">
        <x:is>
          <x:t xml:space="preserve">Thailand</x:t>
        </x:is>
      </x:c>
      <x:c r="C90" t="inlineStr">
        <x:is>
          <x:t xml:space="preserve">East Asia &amp; Pacific</x:t>
        </x:is>
      </x:c>
      <x:c r="D90" t="inlineStr">
        <x:is>
          <x:t xml:space="preserve">Asia</x:t>
        </x:is>
      </x:c>
      <x:c r="E90" s="11" t="n">
        <x:v>71668011</x:v>
      </x:c>
      <x:c r="F90" s="8" t="n">
        <x:v>526517658841.684</x:v>
      </x:c>
      <x:c r="G90" s="8" t="n">
        <x:v>5522411647.48004</x:v>
      </x:c>
      <x:c r="H90" s="11" t="n">
        <x:v>293</x:v>
      </x:c>
      <x:c r="I90" s="10" t="n">
        <x:v>47.6</x:v>
      </x:c>
      <x:c r="J90" s="10" t="n">
        <x:v>36.32265155259066</x:v>
      </x:c>
      <x:c r="K90" s="10" t="n">
        <x:v>66.00659010347285</x:v>
      </x:c>
      <x:c r="L90" s="10" t="n">
        <x:v>56.73418104903478</x:v>
      </x:c>
      <x:c r="M90" s="10" t="n">
        <x:v>82.52100862749964</x:v>
      </x:c>
      <x:c r="N90" s="10" t="n">
        <x:v>66.57857591032432</x:v>
      </x:c>
      <x:c r="O90" s="10" t="n">
        <x:v>66.00659010347285</x:v>
      </x:c>
      <x:c r="P90" s="10" t="n">
        <x:v>32.53201357386543</x:v>
      </x:c>
      <x:c r="Q90" s="10" t="n">
        <x:v>74.76804589783259</x:v>
      </x:c>
      <x:c r="R90" s="10" t="n">
        <x:v>0</x:v>
      </x:c>
      <x:c r="S90" s="10" t="n">
        <x:v>58.11976582913353</x:v>
      </x:c>
      <x:c r="T90" s="10" t="n">
        <x:v>43.98065622737005</x:v>
      </x:c>
      <x:c r="U90" s="10" t="n">
        <x:v>51.05021102825179</x:v>
      </x:c>
      <x:c r="V90" s="10" t="n">
        <x:v>100</x:v>
      </x:c>
      <x:c r="W90" s="7" t="n">
        <x:v>34</x:v>
      </x:c>
      <x:c r="X90" s="7" t="n">
        <x:v>100</x:v>
      </x:c>
      <x:c r="Y90" s="7" t="n">
        <x:v>53</x:v>
      </x:c>
    </x:row>
    <x:row r="91">
      <x:c r="A91" t="inlineStr">
        <x:is>
          <x:t xml:space="preserve">TON</x:t>
        </x:is>
      </x:c>
      <x:c r="B91" t="inlineStr">
        <x:is>
          <x:t xml:space="preserve">Tonga</x:t>
        </x:is>
      </x:c>
      <x:c r="C91" t="inlineStr">
        <x:is>
          <x:t xml:space="preserve">East Asia &amp; Pacific</x:t>
        </x:is>
      </x:c>
      <x:c r="E91" s="11" t="n">
        <x:v>104175</x:v>
      </x:c>
      <x:c r="F91" s="8" t="n">
        <x:v>591139749.44287</x:v>
      </x:c>
      <x:c r="G91" s="8" t="n"/>
      <x:c r="H91" s="11" t="n"/>
      <x:c r="I91" s="10" t="n"/>
      <x:c r="J91" s="10" t="n"/>
      <x:c r="K91" s="10" t="n"/>
      <x:c r="L91" s="10" t="n">
        <x:v>0</x:v>
      </x:c>
      <x:c r="M91" s="10" t="n">
        <x:v>17.25436717732606</x:v>
      </x:c>
      <x:c r="N91" s="10" t="n"/>
      <x:c r="O91" s="10" t="n"/>
      <x:c r="P91" s="10" t="n">
        <x:v>17.25436717732606</x:v>
      </x:c>
      <x:c r="Q91" s="10" t="n">
        <x:v>19.95990571700627</x:v>
      </x:c>
      <x:c r="R91" s="10" t="n">
        <x:v>0</x:v>
      </x:c>
      <x:c r="S91" s="10" t="n">
        <x:v>11.05986895175505</x:v>
      </x:c>
      <x:c r="T91" s="10" t="n">
        <x:v>14.73210463137592</x:v>
      </x:c>
      <x:c r="U91" s="10" t="n">
        <x:v>12.89598679156548</x:v>
      </x:c>
      <x:c r="V91" s="10" t="n">
        <x:v>50</x:v>
      </x:c>
      <x:c r="W91" s="7" t="n">
        <x:v>211</x:v>
      </x:c>
      <x:c r="X91" s="7" t="n">
        <x:v>211</x:v>
      </x:c>
      <x:c r="Y91" s="7" t="n">
        <x:v>210</x:v>
      </x:c>
    </x:row>
    <x:row r="92">
      <x:c r="A92" t="inlineStr">
        <x:is>
          <x:t xml:space="preserve">NLD</x:t>
        </x:is>
      </x:c>
      <x:c r="B92" t="inlineStr">
        <x:is>
          <x:t xml:space="preserve">Netherlands</x:t>
        </x:is>
      </x:c>
      <x:c r="C92" t="inlineStr">
        <x:is>
          <x:t xml:space="preserve">Europe &amp; Central Asia</x:t>
        </x:is>
      </x:c>
      <x:c r="D92" t="inlineStr">
        <x:is>
          <x:t xml:space="preserve">Europe</x:t>
        </x:is>
      </x:c>
      <x:c r="E92" s="11" t="n">
        <x:v>17993485</x:v>
      </x:c>
      <x:c r="F92" s="8" t="n">
        <x:v>1214927698572.66</x:v>
      </x:c>
      <x:c r="G92" s="8" t="n">
        <x:v>23179211260.1708</x:v>
      </x:c>
      <x:c r="H92" s="11" t="n">
        <x:v>112</x:v>
      </x:c>
      <x:c r="I92" s="10" t="n">
        <x:v>37.3</x:v>
      </x:c>
      <x:c r="J92" s="10" t="n">
        <x:v>12.20702960171699</x:v>
      </x:c>
      <x:c r="K92" s="10" t="n">
        <x:v>89.34537910074305</x:v>
      </x:c>
      <x:c r="L92" s="10" t="n">
        <x:v>48.35586514079314</x:v>
      </x:c>
      <x:c r="M92" s="10" t="n">
        <x:v>75.91502531461582</x:v>
      </x:c>
      <x:c r="N92" s="10" t="n">
        <x:v>76.45060671167415</x:v>
      </x:c>
      <x:c r="O92" s="10" t="n">
        <x:v>89.34537910074305</x:v>
      </x:c>
      <x:c r="P92" s="10" t="n">
        <x:v>55.55333421039181</x:v>
      </x:c>
      <x:c r="Q92" s="10" t="n">
        <x:v>63.17483788934544</x:v>
      </x:c>
      <x:c r="R92" s="10" t="n">
        <x:v>0</x:v>
      </x:c>
      <x:c r="S92" s="10" t="n">
        <x:v>66.61755311104166</x:v>
      </x:c>
      <x:c r="T92" s="10" t="n">
        <x:v>58.01431893973257</x:v>
      </x:c>
      <x:c r="U92" s="10" t="n">
        <x:v>62.31593602538712</x:v>
      </x:c>
      <x:c r="V92" s="10" t="n">
        <x:v>100</x:v>
      </x:c>
      <x:c r="W92" s="7" t="n">
        <x:v>12</x:v>
      </x:c>
      <x:c r="X92" s="7" t="n">
        <x:v>20</x:v>
      </x:c>
      <x:c r="Y92" s="7" t="n">
        <x:v>13</x:v>
      </x:c>
    </x:row>
    <x:row r="93">
      <x:c r="A93" t="inlineStr">
        <x:is>
          <x:t xml:space="preserve">KOR</x:t>
        </x:is>
      </x:c>
      <x:c r="B93" t="inlineStr">
        <x:is>
          <x:t xml:space="preserve">Korea, Rep.</x:t>
        </x:is>
      </x:c>
      <x:c r="C93" t="inlineStr">
        <x:is>
          <x:t xml:space="preserve">East Asia &amp; Pacific</x:t>
        </x:is>
      </x:c>
      <x:c r="D93" t="inlineStr">
        <x:is>
          <x:t xml:space="preserve">Asia</x:t>
        </x:is>
      </x:c>
      <x:c r="E93" s="11" t="n">
        <x:v>51751065</x:v>
      </x:c>
      <x:c r="F93" s="8" t="n">
        <x:v>1875388209406.8</x:v>
      </x:c>
      <x:c r="G93" s="8" t="n">
        <x:v>47571318596.7228</x:v>
      </x:c>
      <x:c r="H93" s="11" t="n">
        <x:v>200</x:v>
      </x:c>
      <x:c r="I93" s="10" t="n">
        <x:v>122.9</x:v>
      </x:c>
      <x:c r="J93" s="10" t="n">
        <x:v>7.464607541910796</x:v>
      </x:c>
      <x:c r="K93" s="10" t="n">
        <x:v>86.12204898866879</x:v>
      </x:c>
      <x:c r="L93" s="10" t="n">
        <x:v>68.22747993571922</x:v>
      </x:c>
      <x:c r="M93" s="10" t="n">
        <x:v>87.16794674098139</x:v>
      </x:c>
      <x:c r="N93" s="10" t="n">
        <x:v>72.61882763969393</x:v>
      </x:c>
      <x:c r="O93" s="10" t="n">
        <x:v>86.12204898866879</x:v>
      </x:c>
      <x:c r="P93" s="10" t="n">
        <x:v>42.60783895610471</x:v>
      </x:c>
      <x:c r="Q93" s="10" t="n">
        <x:v>72.03675233309541</x:v>
      </x:c>
      <x:c r="R93" s="10" t="n">
        <x:v>0</x:v>
      </x:c>
      <x:c r="S93" s="10" t="n">
        <x:v>67.69487740084827</x:v>
      </x:c>
      <x:c r="T93" s="10" t="n">
        <x:v>49.07893154684412</x:v>
      </x:c>
      <x:c r="U93" s="10" t="n">
        <x:v>58.38690447384619</x:v>
      </x:c>
      <x:c r="V93" s="10" t="n">
        <x:v>100</x:v>
      </x:c>
      <x:c r="W93" s="7" t="n">
        <x:v>10</x:v>
      </x:c>
      <x:c r="X93" s="7" t="n">
        <x:v>62</x:v>
      </x:c>
      <x:c r="Y93" s="7" t="n">
        <x:v>26</x:v>
      </x:c>
    </x:row>
    <x:row r="94">
      <x:c r="A94" t="inlineStr">
        <x:is>
          <x:t xml:space="preserve">KGZ</x:t>
        </x:is>
      </x:c>
      <x:c r="B94" t="inlineStr">
        <x:is>
          <x:t xml:space="preserve">Kyrgyz Republic</x:t>
        </x:is>
      </x:c>
      <x:c r="C94" t="inlineStr">
        <x:is>
          <x:t xml:space="preserve">Europe &amp; Central Asia</x:t>
        </x:is>
      </x:c>
      <x:c r="D94" t="inlineStr">
        <x:is>
          <x:t xml:space="preserve">Asia</x:t>
        </x:is>
      </x:c>
      <x:c r="E94" s="11" t="n">
        <x:v>7221868</x:v>
      </x:c>
      <x:c r="F94" s="8" t="n">
        <x:v>17478259659.2625</x:v>
      </x:c>
      <x:c r="G94" s="8" t="n">
        <x:v>473046660.875227</x:v>
      </x:c>
      <x:c r="H94" s="11" t="n"/>
      <x:c r="I94" s="10" t="n"/>
      <x:c r="J94" s="10" t="n">
        <x:v>25.60164552281622</x:v>
      </x:c>
      <x:c r="K94" s="10" t="n">
        <x:v>34.09012325855188</x:v>
      </x:c>
      <x:c r="L94" s="10" t="n">
        <x:v>0</x:v>
      </x:c>
      <x:c r="M94" s="10" t="n">
        <x:v>64.27443755921229</x:v>
      </x:c>
      <x:c r="N94" s="10" t="n">
        <x:v>55.44652715716106</x:v>
      </x:c>
      <x:c r="O94" s="10" t="n">
        <x:v>34.09012325855188</x:v>
      </x:c>
      <x:c r="P94" s="10" t="n">
        <x:v>26.54598839324111</x:v>
      </x:c>
      <x:c r="Q94" s="10" t="n">
        <x:v>55.51700311293419</x:v>
      </x:c>
      <x:c r="R94" s="10" t="n">
        <x:v>0</x:v>
      </x:c>
      <x:c r="S94" s="10" t="n">
        <x:v>37.34471432590573</x:v>
      </x:c>
      <x:c r="T94" s="10" t="n">
        <x:v>43.12510527098546</x:v>
      </x:c>
      <x:c r="U94" s="10" t="n">
        <x:v>40.23490979844559</x:v>
      </x:c>
      <x:c r="V94" s="10" t="n">
        <x:v>100</x:v>
      </x:c>
      <x:c r="W94" s="7" t="n">
        <x:v>139</x:v>
      </x:c>
      <x:c r="X94" s="7" t="n">
        <x:v>108</x:v>
      </x:c>
      <x:c r="Y94" s="7" t="n">
        <x:v>127</x:v>
      </x:c>
    </x:row>
    <x:row r="95">
      <x:c r="A95" t="inlineStr">
        <x:is>
          <x:t xml:space="preserve">LAO</x:t>
        </x:is>
      </x:c>
      <x:c r="B95" t="inlineStr">
        <x:is>
          <x:t xml:space="preserve">Lao PDR</x:t>
        </x:is>
      </x:c>
      <x:c r="C95" t="inlineStr">
        <x:is>
          <x:t xml:space="preserve">East Asia &amp; Pacific</x:t>
        </x:is>
      </x:c>
      <x:c r="D95" t="inlineStr">
        <x:is>
          <x:t xml:space="preserve">Asia</x:t>
        </x:is>
      </x:c>
      <x:c r="E95" s="11" t="n">
        <x:v>7769819</x:v>
      </x:c>
      <x:c r="F95" s="8" t="n">
        <x:v>16502933121.3379</x:v>
      </x:c>
      <x:c r="G95" s="8" t="n">
        <x:v>22677713.1196136</x:v>
      </x:c>
      <x:c r="H95" s="11" t="n">
        <x:v>45</x:v>
      </x:c>
      <x:c r="I95" s="10" t="n"/>
      <x:c r="J95" s="10" t="n">
        <x:v>30.32244094089166</x:v>
      </x:c>
      <x:c r="K95" s="10" t="n">
        <x:v>41.13373059338743</x:v>
      </x:c>
      <x:c r="L95" s="10" t="n">
        <x:v>30.6703906426435</x:v>
      </x:c>
      <x:c r="M95" s="10" t="n">
        <x:v>67.79243548653918</x:v>
      </x:c>
      <x:c r="N95" s="10" t="n">
        <x:v>53.52192220481832</x:v>
      </x:c>
      <x:c r="O95" s="10" t="n">
        <x:v>41.13373059338743</x:v>
      </x:c>
      <x:c r="P95" s="10" t="n">
        <x:v>17.95215656510751</x:v>
      </x:c>
      <x:c r="Q95" s="10" t="n">
        <x:v>56.13048160391499</x:v>
      </x:c>
      <x:c r="R95" s="10" t="n">
        <x:v>0</x:v>
      </x:c>
      <x:c r="S95" s="10" t="n">
        <x:v>40.8453036516322</x:v>
      </x:c>
      <x:c r="T95" s="10" t="n">
        <x:v>30.62059965729065</x:v>
      </x:c>
      <x:c r="U95" s="10" t="n">
        <x:v>35.73295165446142</x:v>
      </x:c>
      <x:c r="V95" s="10" t="n">
        <x:v>100</x:v>
      </x:c>
      <x:c r="W95" s="7" t="n">
        <x:v>114</x:v>
      </x:c>
      <x:c r="X95" s="7" t="n">
        <x:v>172</x:v>
      </x:c>
      <x:c r="Y95" s="7" t="n">
        <x:v>155</x:v>
      </x:c>
    </x:row>
    <x:row r="96">
      <x:c r="A96" t="inlineStr">
        <x:is>
          <x:t xml:space="preserve">LBN</x:t>
        </x:is>
      </x:c>
      <x:c r="B96" t="inlineStr">
        <x:is>
          <x:t xml:space="preserve">Lebanon</x:t>
        </x:is>
      </x:c>
      <x:c r="C96" t="inlineStr">
        <x:is>
          <x:t xml:space="preserve">Middle East &amp; North Africa</x:t>
        </x:is>
      </x:c>
      <x:c r="D96" t="inlineStr">
        <x:is>
          <x:t xml:space="preserve">Asia</x:t>
        </x:is>
      </x:c>
      <x:c r="E96" s="11" t="n">
        <x:v>5805962</x:v>
      </x:c>
      <x:c r="F96" s="8" t="n">
        <x:v>20078620356.9931</x:v>
      </x:c>
      <x:c r="G96" s="8" t="n">
        <x:v>635471571.906355</x:v>
      </x:c>
      <x:c r="H96" s="11" t="n">
        <x:v>69</x:v>
      </x:c>
      <x:c r="I96" s="10" t="n"/>
      <x:c r="J96" s="10" t="n">
        <x:v>12.73031749502745</x:v>
      </x:c>
      <x:c r="K96" s="10" t="n">
        <x:v>72.38001896999286</x:v>
      </x:c>
      <x:c r="L96" s="10" t="n">
        <x:v>35.38722000510676</x:v>
      </x:c>
      <x:c r="M96" s="10" t="n">
        <x:v>69.82553765005288</x:v>
      </x:c>
      <x:c r="N96" s="10" t="n">
        <x:v>58.65650884934475</x:v>
      </x:c>
      <x:c r="O96" s="10" t="n">
        <x:v>72.38001896999286</x:v>
      </x:c>
      <x:c r="P96" s="10" t="n">
        <x:v>29.19789787413998</x:v>
      </x:c>
      <x:c r="Q96" s="10" t="n">
        <x:v>53.68639353832697</x:v>
      </x:c>
      <x:c r="R96" s="10" t="n">
        <x:v>0</x:v>
      </x:c>
      <x:c r="S96" s="10" t="n">
        <x:v>52.50377647079979</x:v>
      </x:c>
      <x:c r="T96" s="10" t="n">
        <x:v>48.4909452020994</x:v>
      </x:c>
      <x:c r="U96" s="10" t="n">
        <x:v>50.49736083644959</x:v>
      </x:c>
      <x:c r="V96" s="10" t="n">
        <x:v>100</x:v>
      </x:c>
      <x:c r="W96" s="7" t="n">
        <x:v>56</x:v>
      </x:c>
      <x:c r="X96" s="7" t="n">
        <x:v>67</x:v>
      </x:c>
      <x:c r="Y96" s="7" t="n">
        <x:v>56</x:v>
      </x:c>
    </x:row>
    <x:row r="97">
      <x:c r="A97" t="inlineStr">
        <x:is>
          <x:t xml:space="preserve">LBY</x:t>
        </x:is>
      </x:c>
      <x:c r="B97" t="inlineStr">
        <x:is>
          <x:t xml:space="preserve">Libya</x:t>
        </x:is>
      </x:c>
      <x:c r="C97" t="inlineStr">
        <x:is>
          <x:t xml:space="preserve">Middle East &amp; North Africa</x:t>
        </x:is>
      </x:c>
      <x:c r="D97" t="inlineStr">
        <x:is>
          <x:t xml:space="preserve">Africa</x:t>
        </x:is>
      </x:c>
      <x:c r="E97" s="11" t="n">
        <x:v>7381023</x:v>
      </x:c>
      <x:c r="F97" s="8" t="n">
        <x:v>48487151215.345</x:v>
      </x:c>
      <x:c r="G97" s="8" t="n">
        <x:v>1573682777.31469</x:v>
      </x:c>
      <x:c r="H97" s="11" t="n">
        <x:v>7</x:v>
      </x:c>
      <x:c r="I97" s="10" t="n"/>
      <x:c r="J97" s="10" t="n">
        <x:v>9.966430001145879</x:v>
      </x:c>
      <x:c r="K97" s="10" t="n">
        <x:v>42.23111912156452</x:v>
      </x:c>
      <x:c r="L97" s="10" t="n">
        <x:v>11.0190826381381</x:v>
      </x:c>
      <x:c r="M97" s="10" t="n">
        <x:v>30.651108498804</x:v>
      </x:c>
      <x:c r="N97" s="10" t="n">
        <x:v>47.90528218554862</x:v>
      </x:c>
      <x:c r="O97" s="10" t="n">
        <x:v>42.23111912156452</x:v>
      </x:c>
      <x:c r="P97" s="10" t="n">
        <x:v>33.25200098459185</x:v>
      </x:c>
      <x:c r="Q97" s="10" t="n">
        <x:v>55.69986081370273</x:v>
      </x:c>
      <x:c r="R97" s="10" t="n">
        <x:v>0</x:v>
      </x:c>
      <x:c r="S97" s="10" t="n">
        <x:v>35.50792624258674</x:v>
      </x:c>
      <x:c r="T97" s="10" t="n">
        <x:v>35.48191889017355</x:v>
      </x:c>
      <x:c r="U97" s="10" t="n">
        <x:v>35.49492256638015</x:v>
      </x:c>
      <x:c r="V97" s="10" t="n">
        <x:v>100</x:v>
      </x:c>
      <x:c r="W97" s="7" t="n">
        <x:v>151</x:v>
      </x:c>
      <x:c r="X97" s="7" t="n">
        <x:v>156</x:v>
      </x:c>
      <x:c r="Y97" s="7" t="n">
        <x:v>156</x:v>
      </x:c>
    </x:row>
    <x:row r="98">
      <x:c r="A98" t="inlineStr">
        <x:is>
          <x:t xml:space="preserve">MAC</x:t>
        </x:is>
      </x:c>
      <x:c r="B98" t="inlineStr">
        <x:is>
          <x:t xml:space="preserve">Macao SAR, China</x:t>
        </x:is>
      </x:c>
      <x:c r="C98" t="inlineStr">
        <x:is>
          <x:t xml:space="preserve">East Asia &amp; Pacific</x:t>
        </x:is>
      </x:c>
      <x:c r="E98" s="11" t="n">
        <x:v>687000</x:v>
      </x:c>
      <x:c r="F98" s="8" t="n">
        <x:v>49467258923.3244</x:v>
      </x:c>
      <x:c r="G98" s="8" t="n"/>
      <x:c r="H98" s="11" t="n"/>
      <x:c r="I98" s="10" t="n"/>
      <x:c r="J98" s="10" t="n"/>
      <x:c r="K98" s="10" t="n"/>
      <x:c r="L98" s="10" t="n">
        <x:v>0</x:v>
      </x:c>
      <x:c r="M98" s="10" t="n">
        <x:v>51.19725809137749</x:v>
      </x:c>
      <x:c r="N98" s="10" t="n"/>
      <x:c r="O98" s="10" t="n"/>
      <x:c r="P98" s="10" t="n">
        <x:v>51.19725809137749</x:v>
      </x:c>
      <x:c r="Q98" s="10" t="n">
        <x:v>35.78276061493327</x:v>
      </x:c>
      <x:c r="R98" s="10" t="n">
        <x:v>0</x:v>
      </x:c>
      <x:c r="S98" s="10" t="n">
        <x:v>29.40710536900511</x:v>
      </x:c>
      <x:c r="T98" s="10" t="n">
        <x:v>38.38537083011698</x:v>
      </x:c>
      <x:c r="U98" s="10" t="n">
        <x:v>33.89623809956105</x:v>
      </x:c>
      <x:c r="V98" s="10" t="n">
        <x:v>50</x:v>
      </x:c>
      <x:c r="W98" s="7" t="n">
        <x:v>175</x:v>
      </x:c>
      <x:c r="X98" s="7" t="n">
        <x:v>144</x:v>
      </x:c>
      <x:c r="Y98" s="7" t="n">
        <x:v>162</x:v>
      </x:c>
    </x:row>
    <x:row r="99">
      <x:c r="A99" t="inlineStr">
        <x:is>
          <x:t xml:space="preserve">MYS</x:t>
        </x:is>
      </x:c>
      <x:c r="B99" t="inlineStr">
        <x:is>
          <x:t xml:space="preserve">Malaysia</x:t>
        </x:is>
      </x:c>
      <x:c r="C99" t="inlineStr">
        <x:is>
          <x:t xml:space="preserve">East Asia &amp; Pacific</x:t>
        </x:is>
      </x:c>
      <x:c r="D99" t="inlineStr">
        <x:is>
          <x:t xml:space="preserve">Asia</x:t>
        </x:is>
      </x:c>
      <x:c r="E99" s="11" t="n">
        <x:v>35557673</x:v>
      </x:c>
      <x:c r="F99" s="8" t="n">
        <x:v>422227005428.688</x:v>
      </x:c>
      <x:c r="G99" s="8" t="n">
        <x:v>4312858466.81122</x:v>
      </x:c>
      <x:c r="H99" s="11" t="n">
        <x:v>101</x:v>
      </x:c>
      <x:c r="I99" s="10" t="n">
        <x:v>25.7</x:v>
      </x:c>
      <x:c r="J99" s="10" t="n">
        <x:v>44.71817361916706</x:v>
      </x:c>
      <x:c r="K99" s="10" t="n">
        <x:v>70.78402686029801</x:v>
      </x:c>
      <x:c r="L99" s="10" t="n">
        <x:v>43.1790570288569</x:v>
      </x:c>
      <x:c r="M99" s="10" t="n">
        <x:v>77.41983620307246</x:v>
      </x:c>
      <x:c r="N99" s="10" t="n">
        <x:v>63.86192784366182</x:v>
      </x:c>
      <x:c r="O99" s="10" t="n">
        <x:v>70.78402686029801</x:v>
      </x:c>
      <x:c r="P99" s="10" t="n">
        <x:v>31.91502323865808</x:v>
      </x:c>
      <x:c r="Q99" s="10" t="n">
        <x:v>68.88863760160028</x:v>
      </x:c>
      <x:c r="R99" s="10" t="n">
        <x:v>0</x:v>
      </x:c>
      <x:c r="S99" s="10" t="n">
        <x:v>54.80326669411721</x:v>
      </x:c>
      <x:c r="T99" s="10" t="n">
        <x:v>43.47990019334153</x:v>
      </x:c>
      <x:c r="U99" s="10" t="n">
        <x:v>49.14158344372937</x:v>
      </x:c>
      <x:c r="V99" s="10" t="n">
        <x:v>100</x:v>
      </x:c>
      <x:c r="W99" s="7" t="n">
        <x:v>45</x:v>
      </x:c>
      <x:c r="X99" s="7" t="n">
        <x:v>105</x:v>
      </x:c>
      <x:c r="Y99" s="7" t="n">
        <x:v>68</x:v>
      </x:c>
    </x:row>
    <x:row r="100">
      <x:c r="A100" t="inlineStr">
        <x:is>
          <x:t xml:space="preserve">MTQ</x:t>
        </x:is>
      </x:c>
      <x:c r="B100" t="inlineStr">
        <x:is>
          <x:t xml:space="preserve">Martinique</x:t>
        </x:is>
      </x:c>
      <x:c r="E100" s="11" t="n"/>
      <x:c r="F100" s="8" t="n"/>
      <x:c r="G100" s="8" t="n"/>
      <x:c r="H100" s="11" t="n"/>
      <x:c r="I100" s="10" t="n"/>
      <x:c r="J100" s="10" t="n"/>
      <x:c r="K100" s="10" t="n"/>
      <x:c r="L100" s="10" t="n">
        <x:v>0</x:v>
      </x:c>
      <x:c r="M100" s="10" t="n"/>
      <x:c r="N100" s="10" t="n"/>
      <x:c r="O100" s="10" t="n"/>
      <x:c r="P100" s="10" t="n"/>
      <x:c r="Q100" s="10" t="n"/>
      <x:c r="R100" s="10" t="n">
        <x:v>0</x:v>
      </x:c>
      <x:c r="S100" s="10" t="n">
        <x:v>0</x:v>
      </x:c>
      <x:c r="T100" s="10" t="n">
        <x:v>0</x:v>
      </x:c>
      <x:c r="U100" s="10" t="n">
        <x:v>0</x:v>
      </x:c>
      <x:c r="V100" s="10" t="n">
        <x:v>12</x:v>
      </x:c>
      <x:c r="W100" s="7" t="n">
        <x:v>222</x:v>
      </x:c>
      <x:c r="X100" s="7" t="n">
        <x:v>222</x:v>
      </x:c>
      <x:c r="Y100" s="7" t="n">
        <x:v>222</x:v>
      </x:c>
    </x:row>
    <x:row r="101">
      <x:c r="A101" t="inlineStr">
        <x:is>
          <x:t xml:space="preserve">MYT</x:t>
        </x:is>
      </x:c>
      <x:c r="B101" t="inlineStr">
        <x:is>
          <x:t xml:space="preserve">Mayotte</x:t>
        </x:is>
      </x:c>
      <x:c r="E101" s="11" t="n"/>
      <x:c r="F101" s="8" t="n"/>
      <x:c r="G101" s="8" t="n"/>
      <x:c r="H101" s="11" t="n"/>
      <x:c r="I101" s="10" t="n"/>
      <x:c r="J101" s="10" t="n"/>
      <x:c r="K101" s="10" t="n"/>
      <x:c r="L101" s="10" t="n">
        <x:v>0</x:v>
      </x:c>
      <x:c r="M101" s="10" t="n"/>
      <x:c r="N101" s="10" t="n"/>
      <x:c r="O101" s="10" t="n"/>
      <x:c r="P101" s="10" t="n"/>
      <x:c r="Q101" s="10" t="n"/>
      <x:c r="R101" s="10" t="n">
        <x:v>0</x:v>
      </x:c>
      <x:c r="S101" s="10" t="n">
        <x:v>0</x:v>
      </x:c>
      <x:c r="T101" s="10" t="n">
        <x:v>0</x:v>
      </x:c>
      <x:c r="U101" s="10" t="n">
        <x:v>0</x:v>
      </x:c>
      <x:c r="V101" s="10" t="n">
        <x:v>12</x:v>
      </x:c>
      <x:c r="W101" s="7" t="n">
        <x:v>222</x:v>
      </x:c>
      <x:c r="X101" s="7" t="n">
        <x:v>222</x:v>
      </x:c>
      <x:c r="Y101" s="7" t="n">
        <x:v>222</x:v>
      </x:c>
    </x:row>
    <x:row r="102">
      <x:c r="A102" t="inlineStr">
        <x:is>
          <x:t xml:space="preserve">MDA</x:t>
        </x:is>
      </x:c>
      <x:c r="B102" t="inlineStr">
        <x:is>
          <x:t xml:space="preserve">Moldova</x:t>
        </x:is>
      </x:c>
      <x:c r="C102" t="inlineStr">
        <x:is>
          <x:t xml:space="preserve">Europe &amp; Central Asia</x:t>
        </x:is>
      </x:c>
      <x:c r="D102" t="inlineStr">
        <x:is>
          <x:t xml:space="preserve">Europe</x:t>
        </x:is>
      </x:c>
      <x:c r="E102" s="11" t="n">
        <x:v>2402306</x:v>
      </x:c>
      <x:c r="F102" s="8" t="n">
        <x:v>18200340853.6517</x:v>
      </x:c>
      <x:c r="G102" s="8" t="n">
        <x:v>110725502.000124</x:v>
      </x:c>
      <x:c r="H102" s="11" t="n"/>
      <x:c r="I102" s="10" t="n"/>
      <x:c r="J102" s="10" t="n">
        <x:v>18.8231489271145</x:v>
      </x:c>
      <x:c r="K102" s="10" t="n">
        <x:v>47.68857499962312</x:v>
      </x:c>
      <x:c r="L102" s="10" t="n">
        <x:v>0</x:v>
      </x:c>
      <x:c r="M102" s="10" t="n">
        <x:v>57.99492095731873</x:v>
      </x:c>
      <x:c r="N102" s="10" t="n">
        <x:v>49.90641267545993</x:v>
      </x:c>
      <x:c r="O102" s="10" t="n">
        <x:v>47.68857499962312</x:v>
      </x:c>
      <x:c r="P102" s="10" t="n">
        <x:v>27.07467356788703</x:v>
      </x:c>
      <x:c r="Q102" s="10" t="n">
        <x:v>46.28390536055228</x:v>
      </x:c>
      <x:c r="R102" s="10" t="n">
        <x:v>0</x:v>
      </x:c>
      <x:c r="S102" s="10" t="n">
        <x:v>36.85091389414648</x:v>
      </x:c>
      <x:c r="T102" s="10" t="n">
        <x:v>40.92185972862735</x:v>
      </x:c>
      <x:c r="U102" s="10" t="n">
        <x:v>38.88638681138691</x:v>
      </x:c>
      <x:c r="V102" s="10" t="n">
        <x:v>100</x:v>
      </x:c>
      <x:c r="W102" s="7" t="n">
        <x:v>145</x:v>
      </x:c>
      <x:c r="X102" s="7" t="n">
        <x:v>129</x:v>
      </x:c>
      <x:c r="Y102" s="7" t="n">
        <x:v>137</x:v>
      </x:c>
    </x:row>
    <x:row r="103">
      <x:c r="A103" t="inlineStr">
        <x:is>
          <x:t xml:space="preserve">MNG</x:t>
        </x:is>
      </x:c>
      <x:c r="B103" t="inlineStr">
        <x:is>
          <x:t xml:space="preserve">Mongolia</x:t>
        </x:is>
      </x:c>
      <x:c r="C103" t="inlineStr">
        <x:is>
          <x:t xml:space="preserve">East Asia &amp; Pacific</x:t>
        </x:is>
      </x:c>
      <x:c r="D103" t="inlineStr">
        <x:is>
          <x:t xml:space="preserve">Asia</x:t>
        </x:is>
      </x:c>
      <x:c r="E103" s="11" t="n">
        <x:v>3524788</x:v>
      </x:c>
      <x:c r="F103" s="8" t="n">
        <x:v>23794540024.5132</x:v>
      </x:c>
      <x:c r="G103" s="8" t="n">
        <x:v>180843441.375323</x:v>
      </x:c>
      <x:c r="H103" s="11" t="n"/>
      <x:c r="I103" s="10" t="n"/>
      <x:c r="J103" s="10" t="n">
        <x:v>17.19249677409334</x:v>
      </x:c>
      <x:c r="K103" s="10" t="n">
        <x:v>37.08068029639682</x:v>
      </x:c>
      <x:c r="L103" s="10" t="n">
        <x:v>0</x:v>
      </x:c>
      <x:c r="M103" s="10" t="n">
        <x:v>63.00070016448225</x:v>
      </x:c>
      <x:c r="N103" s="10" t="n">
        <x:v>53.07310367839874</x:v>
      </x:c>
      <x:c r="O103" s="10" t="n">
        <x:v>37.08068029639682</x:v>
      </x:c>
      <x:c r="P103" s="10" t="n">
        <x:v>19.31438619138473</x:v>
      </x:c>
      <x:c r="Q103" s="10" t="n">
        <x:v>49.49998392477554</x:v>
      </x:c>
      <x:c r="R103" s="10" t="n">
        <x:v>0</x:v>
      </x:c>
      <x:c r="S103" s="10" t="n">
        <x:v>33.57250208036025</x:v>
      </x:c>
      <x:c r="T103" s="10" t="n">
        <x:v>27.68405656585396</x:v>
      </x:c>
      <x:c r="U103" s="10" t="n">
        <x:v>30.62827932310711</x:v>
      </x:c>
      <x:c r="V103" s="10" t="n">
        <x:v>100</x:v>
      </x:c>
      <x:c r="W103" s="7" t="n">
        <x:v>164</x:v>
      </x:c>
      <x:c r="X103" s="7" t="n">
        <x:v>179</x:v>
      </x:c>
      <x:c r="Y103" s="7" t="n">
        <x:v>176</x:v>
      </x:c>
    </x:row>
    <x:row r="104">
      <x:c r="A104" t="inlineStr">
        <x:is>
          <x:t xml:space="preserve">MNE</x:t>
        </x:is>
      </x:c>
      <x:c r="B104" t="inlineStr">
        <x:is>
          <x:t xml:space="preserve">Montenegro</x:t>
        </x:is>
      </x:c>
      <x:c r="C104" t="inlineStr">
        <x:is>
          <x:t xml:space="preserve">Europe &amp; Central Asia</x:t>
        </x:is>
      </x:c>
      <x:c r="D104" t="inlineStr">
        <x:is>
          <x:t xml:space="preserve">Europe</x:t>
        </x:is>
      </x:c>
      <x:c r="E104" s="11" t="n">
        <x:v>623525</x:v>
      </x:c>
      <x:c r="F104" s="8" t="n">
        <x:v>8270016670.86774</x:v>
      </x:c>
      <x:c r="G104" s="8" t="n">
        <x:v>150033208.503973</x:v>
      </x:c>
      <x:c r="H104" s="11" t="n">
        <x:v>13</x:v>
      </x:c>
      <x:c r="I104" s="10" t="n"/>
      <x:c r="J104" s="10" t="n">
        <x:v>11.38963261111986</x:v>
      </x:c>
      <x:c r="K104" s="10" t="n">
        <x:v>59.21435170374594</x:v>
      </x:c>
      <x:c r="L104" s="10" t="n">
        <x:v>17.30606132880472</x:v>
      </x:c>
      <x:c r="M104" s="10" t="n">
        <x:v>60.0452626155972</x:v>
      </x:c>
      <x:c r="N104" s="10" t="n">
        <x:v>51.87903064356201</x:v>
      </x:c>
      <x:c r="O104" s="10" t="n">
        <x:v>59.21435170374594</x:v>
      </x:c>
      <x:c r="P104" s="10" t="n">
        <x:v>25.68744815534004</x:v>
      </x:c>
      <x:c r="Q104" s="10" t="n">
        <x:v>34.96953441258383</x:v>
      </x:c>
      <x:c r="R104" s="10" t="n">
        <x:v>0</x:v>
      </x:c>
      <x:c r="S104" s="10" t="n">
        <x:v>41.87558901449775</x:v>
      </x:c>
      <x:c r="T104" s="10" t="n">
        <x:v>40.5727291163314</x:v>
      </x:c>
      <x:c r="U104" s="10" t="n">
        <x:v>41.22415906541457</x:v>
      </x:c>
      <x:c r="V104" s="10" t="n">
        <x:v>100</x:v>
      </x:c>
      <x:c r="W104" s="7" t="n">
        <x:v>111</x:v>
      </x:c>
      <x:c r="X104" s="7" t="n">
        <x:v>134</x:v>
      </x:c>
      <x:c r="Y104" s="7" t="n">
        <x:v>116</x:v>
      </x:c>
    </x:row>
    <x:row r="105">
      <x:c r="A105" t="inlineStr">
        <x:is>
          <x:t xml:space="preserve">MSR</x:t>
        </x:is>
      </x:c>
      <x:c r="B105" t="inlineStr">
        <x:is>
          <x:t xml:space="preserve">Montserrat</x:t>
        </x:is>
      </x:c>
      <x:c r="E105" s="11" t="n"/>
      <x:c r="F105" s="8" t="n"/>
      <x:c r="G105" s="8" t="n"/>
      <x:c r="H105" s="11" t="n"/>
      <x:c r="I105" s="10" t="n"/>
      <x:c r="J105" s="10" t="n"/>
      <x:c r="K105" s="10" t="n"/>
      <x:c r="L105" s="10" t="n">
        <x:v>0</x:v>
      </x:c>
      <x:c r="M105" s="10" t="n"/>
      <x:c r="N105" s="10" t="n"/>
      <x:c r="O105" s="10" t="n"/>
      <x:c r="P105" s="10" t="n"/>
      <x:c r="Q105" s="10" t="n"/>
      <x:c r="R105" s="10" t="n">
        <x:v>0</x:v>
      </x:c>
      <x:c r="S105" s="10" t="n">
        <x:v>0</x:v>
      </x:c>
      <x:c r="T105" s="10" t="n">
        <x:v>0</x:v>
      </x:c>
      <x:c r="U105" s="10" t="n">
        <x:v>0</x:v>
      </x:c>
      <x:c r="V105" s="10" t="n">
        <x:v>12</x:v>
      </x:c>
      <x:c r="W105" s="7" t="n">
        <x:v>222</x:v>
      </x:c>
      <x:c r="X105" s="7" t="n">
        <x:v>222</x:v>
      </x:c>
      <x:c r="Y105" s="7" t="n">
        <x:v>222</x:v>
      </x:c>
    </x:row>
    <x:row r="106">
      <x:c r="A106" t="inlineStr">
        <x:is>
          <x:t xml:space="preserve">NCL</x:t>
        </x:is>
      </x:c>
      <x:c r="B106" t="inlineStr">
        <x:is>
          <x:t xml:space="preserve">New Caledonia</x:t>
        </x:is>
      </x:c>
      <x:c r="C106" t="inlineStr">
        <x:is>
          <x:t xml:space="preserve">East Asia &amp; Pacific</x:t>
        </x:is>
      </x:c>
      <x:c r="D106" t="inlineStr">
        <x:is>
          <x:t xml:space="preserve">Oceania</x:t>
        </x:is>
      </x:c>
      <x:c r="E106" s="11" t="n">
        <x:v>292639</x:v>
      </x:c>
      <x:c r="F106" s="8" t="n">
        <x:v>8548919387.12607</x:v>
      </x:c>
      <x:c r="G106" s="8" t="n"/>
      <x:c r="H106" s="11" t="n"/>
      <x:c r="I106" s="10" t="n"/>
      <x:c r="J106" s="10" t="n">
        <x:v>18.98684250193469</x:v>
      </x:c>
      <x:c r="K106" s="10" t="n">
        <x:v>63.35423333002771</x:v>
      </x:c>
      <x:c r="L106" s="10" t="n">
        <x:v>0</x:v>
      </x:c>
      <x:c r="M106" s="10" t="n">
        <x:v>37.73740566499125</x:v>
      </x:c>
      <x:c r="N106" s="10" t="n"/>
      <x:c r="O106" s="10" t="n">
        <x:v>63.35423333002771</x:v>
      </x:c>
      <x:c r="P106" s="10" t="n">
        <x:v>30.26868087321559</x:v>
      </x:c>
      <x:c r="Q106" s="10" t="n">
        <x:v>28.62407100926772</x:v>
      </x:c>
      <x:c r="R106" s="10" t="n">
        <x:v>0</x:v>
      </x:c>
      <x:c r="S106" s="10" t="n">
        <x:v>31.25748829134986</x:v>
      </x:c>
      <x:c r="T106" s="10" t="n">
        <x:v>32.29053483870284</x:v>
      </x:c>
      <x:c r="U106" s="10" t="n">
        <x:v>31.77401156502635</x:v>
      </x:c>
      <x:c r="V106" s="10" t="n">
        <x:v>75</x:v>
      </x:c>
      <x:c r="W106" s="7" t="n">
        <x:v>170</x:v>
      </x:c>
      <x:c r="X106" s="7" t="n">
        <x:v>166</x:v>
      </x:c>
      <x:c r="Y106" s="7" t="n">
        <x:v>172</x:v>
      </x:c>
    </x:row>
    <x:row r="107">
      <x:c r="A107" t="inlineStr">
        <x:is>
          <x:t xml:space="preserve">NZL</x:t>
        </x:is>
      </x:c>
      <x:c r="B107" t="inlineStr">
        <x:is>
          <x:t xml:space="preserve">New Zealand</x:t>
        </x:is>
      </x:c>
      <x:c r="C107" t="inlineStr">
        <x:is>
          <x:t xml:space="preserve">East Asia &amp; Pacific</x:t>
        </x:is>
      </x:c>
      <x:c r="D107" t="inlineStr">
        <x:is>
          <x:t xml:space="preserve">Oceania</x:t>
        </x:is>
      </x:c>
      <x:c r="E107" s="11" t="n">
        <x:v>5287500</x:v>
      </x:c>
      <x:c r="F107" s="8" t="n">
        <x:v>260172385097.617</x:v>
      </x:c>
      <x:c r="G107" s="8" t="n">
        <x:v>2998527517.58211</x:v>
      </x:c>
      <x:c r="H107" s="11" t="n">
        <x:v>9</x:v>
      </x:c>
      <x:c r="I107" s="10" t="n"/>
      <x:c r="J107" s="10" t="n">
        <x:v>46.74046426064699</x:v>
      </x:c>
      <x:c r="K107" s="10" t="n">
        <x:v>65.18052214897884</x:v>
      </x:c>
      <x:c r="L107" s="10" t="n">
        <x:v>13.52597894506288</x:v>
      </x:c>
      <x:c r="M107" s="10" t="n">
        <x:v>66.57248892304787</x:v>
      </x:c>
      <x:c r="N107" s="10" t="n">
        <x:v>63.48229491865484</x:v>
      </x:c>
      <x:c r="O107" s="10" t="n">
        <x:v>65.18052214897884</x:v>
      </x:c>
      <x:c r="P107" s="10" t="n">
        <x:v>29.11004007881306</x:v>
      </x:c>
      <x:c r="Q107" s="10" t="n">
        <x:v>52.90173459942484</x:v>
      </x:c>
      <x:c r="R107" s="10" t="n">
        <x:v>0</x:v>
      </x:c>
      <x:c r="S107" s="10" t="n">
        <x:v>44.04604049514508</x:v>
      </x:c>
      <x:c r="T107" s="10" t="n">
        <x:v>41.80854304155126</x:v>
      </x:c>
      <x:c r="U107" s="10" t="n">
        <x:v>42.92729176834817</x:v>
      </x:c>
      <x:c r="V107" s="10" t="n">
        <x:v>100</x:v>
      </x:c>
      <x:c r="W107" s="7" t="n">
        <x:v>100</x:v>
      </x:c>
      <x:c r="X107" s="7" t="n">
        <x:v>119</x:v>
      </x:c>
      <x:c r="Y107" s="7" t="n">
        <x:v>108</x:v>
      </x:c>
    </x:row>
    <x:row r="108">
      <x:c r="A108" t="inlineStr">
        <x:is>
          <x:t xml:space="preserve">NIU</x:t>
        </x:is>
      </x:c>
      <x:c r="B108" t="inlineStr">
        <x:is>
          <x:t xml:space="preserve">Niue</x:t>
        </x:is>
      </x:c>
      <x:c r="E108" s="11" t="n"/>
      <x:c r="F108" s="8" t="n"/>
      <x:c r="G108" s="8" t="n"/>
      <x:c r="H108" s="11" t="n"/>
      <x:c r="I108" s="10" t="n"/>
      <x:c r="J108" s="10" t="n"/>
      <x:c r="K108" s="10" t="n"/>
      <x:c r="L108" s="10" t="n">
        <x:v>0</x:v>
      </x:c>
      <x:c r="M108" s="10" t="n"/>
      <x:c r="N108" s="10" t="n"/>
      <x:c r="O108" s="10" t="n"/>
      <x:c r="P108" s="10" t="n"/>
      <x:c r="Q108" s="10" t="n"/>
      <x:c r="R108" s="10" t="n">
        <x:v>0</x:v>
      </x:c>
      <x:c r="S108" s="10" t="n">
        <x:v>0</x:v>
      </x:c>
      <x:c r="T108" s="10" t="n">
        <x:v>0</x:v>
      </x:c>
      <x:c r="U108" s="10" t="n">
        <x:v>0</x:v>
      </x:c>
      <x:c r="V108" s="10" t="n">
        <x:v>12</x:v>
      </x:c>
      <x:c r="W108" s="7" t="n">
        <x:v>222</x:v>
      </x:c>
      <x:c r="X108" s="7" t="n">
        <x:v>222</x:v>
      </x:c>
      <x:c r="Y108" s="7" t="n">
        <x:v>222</x:v>
      </x:c>
    </x:row>
    <x:row r="109">
      <x:c r="A109" t="inlineStr">
        <x:is>
          <x:t xml:space="preserve">NFK</x:t>
        </x:is>
      </x:c>
      <x:c r="B109" t="inlineStr">
        <x:is>
          <x:t xml:space="preserve">Norfolk Island</x:t>
        </x:is>
      </x:c>
      <x:c r="E109" s="11" t="n"/>
      <x:c r="F109" s="8" t="n"/>
      <x:c r="G109" s="8" t="n"/>
      <x:c r="H109" s="11" t="n"/>
      <x:c r="I109" s="10" t="n"/>
      <x:c r="J109" s="10" t="n"/>
      <x:c r="K109" s="10" t="n"/>
      <x:c r="L109" s="10" t="n">
        <x:v>0</x:v>
      </x:c>
      <x:c r="M109" s="10" t="n"/>
      <x:c r="N109" s="10" t="n"/>
      <x:c r="O109" s="10" t="n"/>
      <x:c r="P109" s="10" t="n"/>
      <x:c r="Q109" s="10" t="n"/>
      <x:c r="R109" s="10" t="n">
        <x:v>0</x:v>
      </x:c>
      <x:c r="S109" s="10" t="n">
        <x:v>0</x:v>
      </x:c>
      <x:c r="T109" s="10" t="n">
        <x:v>0</x:v>
      </x:c>
      <x:c r="U109" s="10" t="n">
        <x:v>0</x:v>
      </x:c>
      <x:c r="V109" s="10" t="n">
        <x:v>12</x:v>
      </x:c>
      <x:c r="W109" s="7" t="n">
        <x:v>222</x:v>
      </x:c>
      <x:c r="X109" s="7" t="n">
        <x:v>222</x:v>
      </x:c>
      <x:c r="Y109" s="7" t="n">
        <x:v>222</x:v>
      </x:c>
    </x:row>
    <x:row r="110">
      <x:c r="A110" t="inlineStr">
        <x:is>
          <x:t xml:space="preserve">DZA</x:t>
        </x:is>
      </x:c>
      <x:c r="B110" t="inlineStr">
        <x:is>
          <x:t xml:space="preserve">Algeria</x:t>
        </x:is>
      </x:c>
      <x:c r="C110" t="inlineStr">
        <x:is>
          <x:t xml:space="preserve">Middle East &amp; North Africa</x:t>
        </x:is>
      </x:c>
      <x:c r="D110" t="inlineStr">
        <x:is>
          <x:t xml:space="preserve">Africa</x:t>
        </x:is>
      </x:c>
      <x:c r="E110" s="11" t="n">
        <x:v>46814308</x:v>
      </x:c>
      <x:c r="F110" s="8" t="n">
        <x:v>269322281664.773</x:v>
      </x:c>
      <x:c r="G110" s="8" t="n">
        <x:v>21811242555.0313</x:v>
      </x:c>
      <x:c r="H110" s="11" t="n">
        <x:v>213</x:v>
      </x:c>
      <x:c r="I110" s="10" t="n">
        <x:v>61.5</x:v>
      </x:c>
      <x:c r="J110" s="10" t="n">
        <x:v>8.588360246463145</x:v>
      </x:c>
      <x:c r="K110" s="10" t="n">
        <x:v>51.662166320803</x:v>
      </x:c>
      <x:c r="L110" s="10" t="n">
        <x:v>57.62763132230998</x:v>
      </x:c>
      <x:c r="M110" s="10" t="n">
        <x:v>81.97743080241588</x:v>
      </x:c>
      <x:c r="N110" s="10" t="n">
        <x:v>69.57063114901095</x:v>
      </x:c>
      <x:c r="O110" s="10" t="n">
        <x:v>51.662166320803</x:v>
      </x:c>
      <x:c r="P110" s="10" t="n">
        <x:v>41.38315487216467</x:v>
      </x:c>
      <x:c r="Q110" s="10" t="n">
        <x:v>71.19575309711669</x:v>
      </x:c>
      <x:c r="R110" s="10" t="n">
        <x:v>0</x:v>
      </x:c>
      <x:c r="S110" s="10" t="n">
        <x:v>61.12135429680401</x:v>
      </x:c>
      <x:c r="T110" s="10" t="n">
        <x:v>52.60594323825524</x:v>
      </x:c>
      <x:c r="U110" s="10" t="n">
        <x:v>56.86364876752963</x:v>
      </x:c>
      <x:c r="V110" s="10" t="n">
        <x:v>100</x:v>
      </x:c>
      <x:c r="W110" s="7" t="n">
        <x:v>26</x:v>
      </x:c>
      <x:c r="X110" s="7" t="n">
        <x:v>43</x:v>
      </x:c>
      <x:c r="Y110" s="7" t="n">
        <x:v>32</x:v>
      </x:c>
    </x:row>
    <x:row r="111">
      <x:c r="A111" t="inlineStr">
        <x:is>
          <x:t xml:space="preserve">BGD</x:t>
        </x:is>
      </x:c>
      <x:c r="B111" t="inlineStr">
        <x:is>
          <x:t xml:space="preserve">Bangladesh</x:t>
        </x:is>
      </x:c>
      <x:c r="C111" t="inlineStr">
        <x:is>
          <x:t xml:space="preserve">South Asia</x:t>
        </x:is>
      </x:c>
      <x:c r="D111" t="inlineStr">
        <x:is>
          <x:t xml:space="preserve">Asia</x:t>
        </x:is>
      </x:c>
      <x:c r="E111" s="11" t="n">
        <x:v>173562364</x:v>
      </x:c>
      <x:c r="F111" s="8" t="n">
        <x:v>450119432068.852</x:v>
      </x:c>
      <x:c r="G111" s="8" t="n">
        <x:v>4034561892.72044</x:v>
      </x:c>
      <x:c r="H111" s="11" t="n">
        <x:v>117</x:v>
      </x:c>
      <x:c r="I111" s="10" t="n">
        <x:v>58.6</x:v>
      </x:c>
      <x:c r="J111" s="10" t="n">
        <x:v>29.84724382778385</x:v>
      </x:c>
      <x:c r="K111" s="10" t="n">
        <x:v>58.38121314162557</x:v>
      </x:c>
      <x:c r="L111" s="10" t="n">
        <x:v>54.33140805277763</x:v>
      </x:c>
      <x:c r="M111" s="10" t="n">
        <x:v>79.36337815443345</x:v>
      </x:c>
      <x:c r="N111" s="10" t="n">
        <x:v>64.57455461533819</x:v>
      </x:c>
      <x:c r="O111" s="10" t="n">
        <x:v>58.38121314162557</x:v>
      </x:c>
      <x:c r="P111" s="10" t="n">
        <x:v>29.17121163064161</x:v>
      </x:c>
      <x:c r="Q111" s="10" t="n">
        <x:v>82.18761734301027</x:v>
      </x:c>
      <x:c r="R111" s="10" t="n">
        <x:v>0</x:v>
      </x:c>
      <x:c r="S111" s="10" t="n">
        <x:v>54.73745352999341</x:v>
      </x:c>
      <x:c r="T111" s="10" t="n">
        <x:v>39.56128156887952</x:v>
      </x:c>
      <x:c r="U111" s="10" t="n">
        <x:v>47.14936754943646</x:v>
      </x:c>
      <x:c r="V111" s="10" t="n">
        <x:v>100</x:v>
      </x:c>
      <x:c r="W111" s="7" t="n">
        <x:v>47</x:v>
      </x:c>
      <x:c r="X111" s="7" t="n">
        <x:v>141</x:v>
      </x:c>
      <x:c r="Y111" s="7" t="n">
        <x:v>79</x:v>
      </x:c>
    </x:row>
    <x:row r="112">
      <x:c r="A112" t="inlineStr">
        <x:is>
          <x:t xml:space="preserve">CHN</x:t>
        </x:is>
      </x:c>
      <x:c r="B112" t="inlineStr">
        <x:is>
          <x:t xml:space="preserve">China</x:t>
        </x:is>
      </x:c>
      <x:c r="C112" t="inlineStr">
        <x:is>
          <x:t xml:space="preserve">East Asia &amp; Pacific</x:t>
        </x:is>
      </x:c>
      <x:c r="D112" t="inlineStr">
        <x:is>
          <x:t xml:space="preserve">Asia</x:t>
        </x:is>
      </x:c>
      <x:c r="E112" s="11" t="n">
        <x:v>1408975000</x:v>
      </x:c>
      <x:c r="F112" s="8" t="n">
        <x:v>18743803170827.2</x:v>
      </x:c>
      <x:c r="G112" s="8" t="n">
        <x:v>313658330217.176</x:v>
      </x:c>
      <x:c r="H112" s="11" t="n">
        <x:v>730</x:v>
      </x:c>
      <x:c r="I112" s="10" t="n">
        <x:v>319.8</x:v>
      </x:c>
      <x:c r="J112" s="10" t="n">
        <x:v>35.68533905024583</x:v>
      </x:c>
      <x:c r="K112" s="10" t="n">
        <x:v>65.06883479217549</x:v>
      </x:c>
      <x:c r="L112" s="10" t="n">
        <x:v>89.36962119152273</x:v>
      </x:c>
      <x:c r="M112" s="10" t="n">
        <x:v>97.52837177259627</x:v>
      </x:c>
      <x:c r="N112" s="10" t="n">
        <x:v>80.31603381575739</x:v>
      </x:c>
      <x:c r="O112" s="10" t="n">
        <x:v>65.06883479217549</x:v>
      </x:c>
      <x:c r="P112" s="10" t="n">
        <x:v>90.28796124890994</x:v>
      </x:c>
      <x:c r="Q112" s="10" t="n">
        <x:v>99.7538289262118</x:v>
      </x:c>
      <x:c r="R112" s="10" t="n">
        <x:v>52.72571785063618</x:v>
      </x:c>
      <x:c r="S112" s="10" t="n">
        <x:v>84.45109984835631</x:v>
      </x:c>
      <x:c r="T112" s="10" t="n">
        <x:v>68.41208500074278</x:v>
      </x:c>
      <x:c r="U112" s="10" t="n">
        <x:v>76.43159242454954</x:v>
      </x:c>
      <x:c r="V112" s="10" t="n">
        <x:v>100</x:v>
      </x:c>
      <x:c r="W112" s="7" t="n">
        <x:v>2</x:v>
      </x:c>
      <x:c r="X112" s="7" t="n">
        <x:v>4</x:v>
      </x:c>
      <x:c r="Y112" s="7" t="n">
        <x:v>2</x:v>
      </x:c>
    </x:row>
    <x:row r="113">
      <x:c r="A113" t="inlineStr">
        <x:is>
          <x:t xml:space="preserve">PCN</x:t>
        </x:is>
      </x:c>
      <x:c r="B113" t="inlineStr">
        <x:is>
          <x:t xml:space="preserve">Pitcairn</x:t>
        </x:is>
      </x:c>
      <x:c r="E113" s="11" t="n"/>
      <x:c r="F113" s="8" t="n"/>
      <x:c r="G113" s="8" t="n"/>
      <x:c r="H113" s="11" t="n"/>
      <x:c r="I113" s="10" t="n"/>
      <x:c r="J113" s="10" t="n"/>
      <x:c r="K113" s="10" t="n"/>
      <x:c r="L113" s="10" t="n">
        <x:v>0</x:v>
      </x:c>
      <x:c r="M113" s="10" t="n"/>
      <x:c r="N113" s="10" t="n"/>
      <x:c r="O113" s="10" t="n"/>
      <x:c r="P113" s="10" t="n"/>
      <x:c r="Q113" s="10" t="n"/>
      <x:c r="R113" s="10" t="n">
        <x:v>0</x:v>
      </x:c>
      <x:c r="S113" s="10" t="n">
        <x:v>0</x:v>
      </x:c>
      <x:c r="T113" s="10" t="n">
        <x:v>0</x:v>
      </x:c>
      <x:c r="U113" s="10" t="n">
        <x:v>0</x:v>
      </x:c>
      <x:c r="V113" s="10" t="n">
        <x:v>12</x:v>
      </x:c>
      <x:c r="W113" s="7" t="n">
        <x:v>222</x:v>
      </x:c>
      <x:c r="X113" s="7" t="n">
        <x:v>222</x:v>
      </x:c>
      <x:c r="Y113" s="7" t="n">
        <x:v>222</x:v>
      </x:c>
    </x:row>
    <x:row r="114">
      <x:c r="A114" t="inlineStr">
        <x:is>
          <x:t xml:space="preserve">PRT</x:t>
        </x:is>
      </x:c>
      <x:c r="B114" t="inlineStr">
        <x:is>
          <x:t xml:space="preserve">Portugal</x:t>
        </x:is>
      </x:c>
      <x:c r="C114" t="inlineStr">
        <x:is>
          <x:t xml:space="preserve">Europe &amp; Central Asia</x:t>
        </x:is>
      </x:c>
      <x:c r="D114" t="inlineStr">
        <x:is>
          <x:t xml:space="preserve">Europe</x:t>
        </x:is>
      </x:c>
      <x:c r="E114" s="11" t="n">
        <x:v>10694681</x:v>
      </x:c>
      <x:c r="F114" s="8" t="n">
        <x:v>313271185085.102</x:v>
      </x:c>
      <x:c r="G114" s="8" t="n">
        <x:v>4641618584.64707</x:v>
      </x:c>
      <x:c r="H114" s="11" t="n">
        <x:v>113</x:v>
      </x:c>
      <x:c r="I114" s="10" t="n">
        <x:v>38.9</x:v>
      </x:c>
      <x:c r="J114" s="10" t="n">
        <x:v>17.76480494537988</x:v>
      </x:c>
      <x:c r="K114" s="10" t="n">
        <x:v>72.12601683754292</x:v>
      </x:c>
      <x:c r="L114" s="10" t="n">
        <x:v>48.9304913867262</x:v>
      </x:c>
      <x:c r="M114" s="10" t="n">
        <x:v>73.51111867117154</x:v>
      </x:c>
      <x:c r="N114" s="10" t="n">
        <x:v>63.1513096554937</x:v>
      </x:c>
      <x:c r="O114" s="10" t="n">
        <x:v>72.12601683754292</x:v>
      </x:c>
      <x:c r="P114" s="10" t="n">
        <x:v>44.59260318003679</x:v>
      </x:c>
      <x:c r="Q114" s="10" t="n">
        <x:v>58.81060636625786</x:v>
      </x:c>
      <x:c r="R114" s="10" t="n">
        <x:v>0</x:v>
      </x:c>
      <x:c r="S114" s="10" t="n">
        <x:v>58.98548877929251</x:v>
      </x:c>
      <x:c r="T114" s="10" t="n">
        <x:v>53.23552873124739</x:v>
      </x:c>
      <x:c r="U114" s="10" t="n">
        <x:v>56.11050875526995</x:v>
      </x:c>
      <x:c r="V114" s="10" t="n">
        <x:v>100</x:v>
      </x:c>
      <x:c r="W114" s="7" t="n">
        <x:v>31</x:v>
      </x:c>
      <x:c r="X114" s="7" t="n">
        <x:v>39</x:v>
      </x:c>
      <x:c r="Y114" s="7" t="n">
        <x:v>33</x:v>
      </x:c>
    </x:row>
    <x:row r="115">
      <x:c r="A115" t="inlineStr">
        <x:is>
          <x:t xml:space="preserve">AND</x:t>
        </x:is>
      </x:c>
      <x:c r="B115" t="inlineStr">
        <x:is>
          <x:t xml:space="preserve">Andorra</x:t>
        </x:is>
      </x:c>
      <x:c r="C115" t="inlineStr">
        <x:is>
          <x:t xml:space="preserve">Europe &amp; Central Asia</x:t>
        </x:is>
      </x:c>
      <x:c r="E115" s="11" t="n">
        <x:v>81938</x:v>
      </x:c>
      <x:c r="F115" s="8" t="n">
        <x:v>4039842405.48117</x:v>
      </x:c>
      <x:c r="G115" s="8" t="n"/>
      <x:c r="H115" s="11" t="n"/>
      <x:c r="I115" s="10" t="n"/>
      <x:c r="J115" s="10" t="n"/>
      <x:c r="K115" s="10" t="n"/>
      <x:c r="L115" s="10" t="n">
        <x:v>0</x:v>
      </x:c>
      <x:c r="M115" s="10" t="n">
        <x:v>31.9900633359178</x:v>
      </x:c>
      <x:c r="N115" s="10" t="n"/>
      <x:c r="O115" s="10" t="n"/>
      <x:c r="P115" s="10" t="n">
        <x:v>31.9900633359178</x:v>
      </x:c>
      <x:c r="Q115" s="10" t="n">
        <x:v>17.94576887944914</x:v>
      </x:c>
      <x:c r="R115" s="10" t="n">
        <x:v>0</x:v>
      </x:c>
      <x:c r="S115" s="10" t="n">
        <x:v>17.73286905035375</x:v>
      </x:c>
      <x:c r="T115" s="10" t="n">
        <x:v>22.98180308018987</x:v>
      </x:c>
      <x:c r="U115" s="10" t="n">
        <x:v>20.35733606527181</x:v>
      </x:c>
      <x:c r="V115" s="10" t="n">
        <x:v>50</x:v>
      </x:c>
      <x:c r="W115" s="7" t="n">
        <x:v>196</x:v>
      </x:c>
      <x:c r="X115" s="7" t="n">
        <x:v>194</x:v>
      </x:c>
      <x:c r="Y115" s="7" t="n">
        <x:v>197</x:v>
      </x:c>
    </x:row>
    <x:row r="116">
      <x:c r="A116" t="inlineStr">
        <x:is>
          <x:t xml:space="preserve">LIE</x:t>
        </x:is>
      </x:c>
      <x:c r="B116" t="inlineStr">
        <x:is>
          <x:t xml:space="preserve">Liechtenstein</x:t>
        </x:is>
      </x:c>
      <x:c r="C116" t="inlineStr">
        <x:is>
          <x:t xml:space="preserve">Europe &amp; Central Asia</x:t>
        </x:is>
      </x:c>
      <x:c r="E116" s="11" t="n">
        <x:v>40450</x:v>
      </x:c>
      <x:c r="F116" s="8" t="n">
        <x:v>8239379403.22096</x:v>
      </x:c>
      <x:c r="G116" s="8" t="n"/>
      <x:c r="H116" s="11" t="n"/>
      <x:c r="I116" s="10" t="n"/>
      <x:c r="J116" s="10" t="n"/>
      <x:c r="K116" s="10" t="n"/>
      <x:c r="L116" s="10" t="n">
        <x:v>0</x:v>
      </x:c>
      <x:c r="M116" s="10" t="n">
        <x:v>37.45463963747137</x:v>
      </x:c>
      <x:c r="N116" s="10" t="n"/>
      <x:c r="O116" s="10" t="n"/>
      <x:c r="P116" s="10" t="n">
        <x:v>37.45463963747137</x:v>
      </x:c>
      <x:c r="Q116" s="10" t="n">
        <x:v>12.02445840069599</x:v>
      </x:c>
      <x:c r="R116" s="10" t="n">
        <x:v>0</x:v>
      </x:c>
      <x:c r="S116" s="10" t="n">
        <x:v>19.45484177781498</x:v>
      </x:c>
      <x:c r="T116" s="10" t="n">
        <x:v>24.86511851320945</x:v>
      </x:c>
      <x:c r="U116" s="10" t="n">
        <x:v>22.15998014551221</x:v>
      </x:c>
      <x:c r="V116" s="10" t="n">
        <x:v>50</x:v>
      </x:c>
      <x:c r="W116" s="7" t="n">
        <x:v>191</x:v>
      </x:c>
      <x:c r="X116" s="7" t="n">
        <x:v>190</x:v>
      </x:c>
      <x:c r="Y116" s="7" t="n">
        <x:v>191</x:v>
      </x:c>
    </x:row>
    <x:row r="117">
      <x:c r="A117" t="inlineStr">
        <x:is>
          <x:t xml:space="preserve">MCO</x:t>
        </x:is>
      </x:c>
      <x:c r="B117" t="inlineStr">
        <x:is>
          <x:t xml:space="preserve">Monaco</x:t>
        </x:is>
      </x:c>
      <x:c r="C117" t="inlineStr">
        <x:is>
          <x:t xml:space="preserve">Europe &amp; Central Asia</x:t>
        </x:is>
      </x:c>
      <x:c r="E117" s="11" t="n">
        <x:v>38631</x:v>
      </x:c>
      <x:c r="F117" s="8" t="n">
        <x:v>11125783372.4794</x:v>
      </x:c>
      <x:c r="G117" s="8" t="n"/>
      <x:c r="H117" s="11" t="n"/>
      <x:c r="I117" s="10" t="n"/>
      <x:c r="J117" s="10" t="n"/>
      <x:c r="K117" s="10" t="n"/>
      <x:c r="L117" s="10" t="n">
        <x:v>0</x:v>
      </x:c>
      <x:c r="M117" s="10" t="n">
        <x:v>39.757414267678</x:v>
      </x:c>
      <x:c r="N117" s="10" t="n"/>
      <x:c r="O117" s="10" t="n"/>
      <x:c r="P117" s="10" t="n">
        <x:v>39.757414267678</x:v>
      </x:c>
      <x:c r="Q117" s="10" t="n">
        <x:v>11.63849969352225</x:v>
      </x:c>
      <x:c r="R117" s="10" t="n">
        <x:v>0</x:v>
      </x:c>
      <x:c r="S117" s="10" t="n">
        <x:v>20.48728670014193</x:v>
      </x:c>
      <x:c r="T117" s="10" t="n">
        <x:v>26.13813108851933</x:v>
      </x:c>
      <x:c r="U117" s="10" t="n">
        <x:v>23.31270889433063</x:v>
      </x:c>
      <x:c r="V117" s="10" t="n">
        <x:v>50</x:v>
      </x:c>
      <x:c r="W117" s="7" t="n">
        <x:v>187</x:v>
      </x:c>
      <x:c r="X117" s="7" t="n">
        <x:v>185</x:v>
      </x:c>
      <x:c r="Y117" s="7" t="n">
        <x:v>188</x:v>
      </x:c>
    </x:row>
    <x:row r="118">
      <x:c r="A118" t="inlineStr">
        <x:is>
          <x:t xml:space="preserve">PRI</x:t>
        </x:is>
      </x:c>
      <x:c r="B118" t="inlineStr">
        <x:is>
          <x:t xml:space="preserve">Puerto Rico (US)</x:t>
        </x:is>
      </x:c>
      <x:c r="C118" t="inlineStr">
        <x:is>
          <x:t xml:space="preserve">Latin America &amp; Caribbean</x:t>
        </x:is>
      </x:c>
      <x:c r="D118" t="inlineStr">
        <x:is>
          <x:t xml:space="preserve">North America</x:t>
        </x:is>
      </x:c>
      <x:c r="E118" s="11" t="n">
        <x:v>3203295</x:v>
      </x:c>
      <x:c r="F118" s="8" t="n">
        <x:v>126029527033.705</x:v>
      </x:c>
      <x:c r="G118" s="8" t="n"/>
      <x:c r="H118" s="11" t="n"/>
      <x:c r="I118" s="10" t="n"/>
      <x:c r="J118" s="10" t="n">
        <x:v>7.75996950187762</x:v>
      </x:c>
      <x:c r="K118" s="10" t="n">
        <x:v>84.44862054566133</x:v>
      </x:c>
      <x:c r="L118" s="10" t="n">
        <x:v>0</x:v>
      </x:c>
      <x:c r="M118" s="10" t="n">
        <x:v>58.36768254519032</x:v>
      </x:c>
      <x:c r="N118" s="10" t="n"/>
      <x:c r="O118" s="10" t="n">
        <x:v>84.44862054566133</x:v>
      </x:c>
      <x:c r="P118" s="10" t="n">
        <x:v>42.74526644206379</x:v>
      </x:c>
      <x:c r="Q118" s="10" t="n">
        <x:v>48.69770461432768</x:v>
      </x:c>
      <x:c r="R118" s="10" t="n">
        <x:v>0</x:v>
      </x:c>
      <x:c r="S118" s="10" t="n">
        <x:v>44.1482384581344</x:v>
      </x:c>
      <x:c r="T118" s="10" t="n">
        <x:v>43.91265505976001</x:v>
      </x:c>
      <x:c r="U118" s="10" t="n">
        <x:v>44.03044675894721</x:v>
      </x:c>
      <x:c r="V118" s="10" t="n">
        <x:v>75</x:v>
      </x:c>
      <x:c r="W118" s="7" t="n">
        <x:v>99</x:v>
      </x:c>
      <x:c r="X118" s="7" t="n">
        <x:v>101</x:v>
      </x:c>
      <x:c r="Y118" s="7" t="n">
        <x:v>103</x:v>
      </x:c>
    </x:row>
    <x:row r="119">
      <x:c r="A119" t="inlineStr">
        <x:is>
          <x:t xml:space="preserve">ALB</x:t>
        </x:is>
      </x:c>
      <x:c r="B119" t="inlineStr">
        <x:is>
          <x:t xml:space="preserve">Albania</x:t>
        </x:is>
      </x:c>
      <x:c r="C119" t="inlineStr">
        <x:is>
          <x:t xml:space="preserve">Europe &amp; Central Asia</x:t>
        </x:is>
      </x:c>
      <x:c r="D119" t="inlineStr">
        <x:is>
          <x:t xml:space="preserve">Europe</x:t>
        </x:is>
      </x:c>
      <x:c r="E119" s="11" t="n">
        <x:v>2377128</x:v>
      </x:c>
      <x:c r="F119" s="8" t="n">
        <x:v>27046429296.6673</x:v>
      </x:c>
      <x:c r="G119" s="8" t="n">
        <x:v>535472559.206879</x:v>
      </x:c>
      <x:c r="H119" s="11" t="n">
        <x:v>19</x:v>
      </x:c>
      <x:c r="I119" s="10" t="n"/>
      <x:c r="J119" s="10" t="n">
        <x:v>12.55031167399973</x:v>
      </x:c>
      <x:c r="K119" s="10" t="n">
        <x:v>58.15527114071431</x:v>
      </x:c>
      <x:c r="L119" s="10" t="n">
        <x:v>21.31311012975151</x:v>
      </x:c>
      <x:c r="M119" s="10" t="n">
        <x:v>61.25240853878644</x:v>
      </x:c>
      <x:c r="N119" s="10" t="n">
        <x:v>54.51822714069152</x:v>
      </x:c>
      <x:c r="O119" s="10" t="n">
        <x:v>58.15527114071431</x:v>
      </x:c>
      <x:c r="P119" s="10" t="n">
        <x:v>30.05733808899343</x:v>
      </x:c>
      <x:c r="Q119" s="10" t="n">
        <x:v>46.19552347345826</x:v>
      </x:c>
      <x:c r="R119" s="10" t="n">
        <x:v>0</x:v>
      </x:c>
      <x:c r="S119" s="10" t="n">
        <x:v>44.76969884682859</x:v>
      </x:c>
      <x:c r="T119" s="10" t="n">
        <x:v>43.34474357806627</x:v>
      </x:c>
      <x:c r="U119" s="10" t="n">
        <x:v>44.05722121244743</x:v>
      </x:c>
      <x:c r="V119" s="10" t="n">
        <x:v>100</x:v>
      </x:c>
      <x:c r="W119" s="7" t="n">
        <x:v>97</x:v>
      </x:c>
      <x:c r="X119" s="7" t="n">
        <x:v>106</x:v>
      </x:c>
      <x:c r="Y119" s="7" t="n">
        <x:v>102</x:v>
      </x:c>
    </x:row>
    <x:row r="120">
      <x:c r="A120" t="inlineStr">
        <x:is>
          <x:t xml:space="preserve">AGO</x:t>
        </x:is>
      </x:c>
      <x:c r="B120" t="inlineStr">
        <x:is>
          <x:t xml:space="preserve">Angola</x:t>
        </x:is>
      </x:c>
      <x:c r="C120" t="inlineStr">
        <x:is>
          <x:t xml:space="preserve">Sub-Saharan Africa</x:t>
        </x:is>
      </x:c>
      <x:c r="D120" t="inlineStr">
        <x:is>
          <x:t xml:space="preserve">Africa</x:t>
        </x:is>
      </x:c>
      <x:c r="E120" s="11" t="n">
        <x:v>37885849</x:v>
      </x:c>
      <x:c r="F120" s="8" t="n">
        <x:v>100998916781.079</x:v>
      </x:c>
      <x:c r="G120" s="8" t="n">
        <x:v>922050813.886942</x:v>
      </x:c>
      <x:c r="H120" s="11" t="n">
        <x:v>40</x:v>
      </x:c>
      <x:c r="I120" s="10" t="n"/>
      <x:c r="J120" s="10" t="n">
        <x:v>23.28088032592767</x:v>
      </x:c>
      <x:c r="K120" s="10" t="n">
        <x:v>41.12967211436414</x:v>
      </x:c>
      <x:c r="L120" s="10" t="n">
        <x:v>29.37764937282477</x:v>
      </x:c>
      <x:c r="M120" s="10" t="n">
        <x:v>73.52897341016144</x:v>
      </x:c>
      <x:c r="N120" s="10" t="n">
        <x:v>60.18440276773702</x:v>
      </x:c>
      <x:c r="O120" s="10" t="n">
        <x:v>41.12967211436414</x:v>
      </x:c>
      <x:c r="P120" s="10" t="n">
        <x:v>35.18108776789038</x:v>
      </x:c>
      <x:c r="Q120" s="10" t="n">
        <x:v>69.42065093023528</x:v>
      </x:c>
      <x:c r="R120" s="10" t="n">
        <x:v>0</x:v>
      </x:c>
      <x:c r="S120" s="10" t="n">
        <x:v>49.1670399505806</x:v>
      </x:c>
      <x:c r="T120" s="10" t="n">
        <x:v>48.96460421553898</x:v>
      </x:c>
      <x:c r="U120" s="10" t="n">
        <x:v>49.06582208305979</x:v>
      </x:c>
      <x:c r="V120" s="10" t="n">
        <x:v>100</x:v>
      </x:c>
      <x:c r="W120" s="7" t="n">
        <x:v>75</x:v>
      </x:c>
      <x:c r="X120" s="7" t="n">
        <x:v>64</x:v>
      </x:c>
      <x:c r="Y120" s="7" t="n">
        <x:v>69</x:v>
      </x:c>
    </x:row>
    <x:row r="121">
      <x:c r="A121" t="inlineStr">
        <x:is>
          <x:t xml:space="preserve">ARM</x:t>
        </x:is>
      </x:c>
      <x:c r="B121" t="inlineStr">
        <x:is>
          <x:t xml:space="preserve">Armenia</x:t>
        </x:is>
      </x:c>
      <x:c r="C121" t="inlineStr">
        <x:is>
          <x:t xml:space="preserve">Europe &amp; Central Asia</x:t>
        </x:is>
      </x:c>
      <x:c r="D121" t="inlineStr">
        <x:is>
          <x:t xml:space="preserve">Asia</x:t>
        </x:is>
      </x:c>
      <x:c r="E121" s="11" t="n">
        <x:v>3033500</x:v>
      </x:c>
      <x:c r="F121" s="8" t="n">
        <x:v>25955275380.0321</x:v>
      </x:c>
      <x:c r="G121" s="8" t="n">
        <x:v>1418011710.7943</x:v>
      </x:c>
      <x:c r="H121" s="11" t="n"/>
      <x:c r="I121" s="10" t="n"/>
      <x:c r="J121" s="10" t="n">
        <x:v>18.49659512621816</x:v>
      </x:c>
      <x:c r="K121" s="10" t="n">
        <x:v>54.66699678079743</x:v>
      </x:c>
      <x:c r="L121" s="10" t="n">
        <x:v>0</x:v>
      </x:c>
      <x:c r="M121" s="10" t="n">
        <x:v>68.97570965735201</x:v>
      </x:c>
      <x:c r="N121" s="10" t="n">
        <x:v>59.42189761809499</x:v>
      </x:c>
      <x:c r="O121" s="10" t="n">
        <x:v>54.66699678079743</x:v>
      </x:c>
      <x:c r="P121" s="10" t="n">
        <x:v>29.36936994579037</x:v>
      </x:c>
      <x:c r="Q121" s="10" t="n">
        <x:v>48.24084234284041</x:v>
      </x:c>
      <x:c r="R121" s="10" t="n">
        <x:v>0</x:v>
      </x:c>
      <x:c r="S121" s="10" t="n">
        <x:v>42.03846044414839</x:v>
      </x:c>
      <x:c r="T121" s="10" t="n">
        <x:v>46.14876443356109</x:v>
      </x:c>
      <x:c r="U121" s="10" t="n">
        <x:v>44.09361243885474</x:v>
      </x:c>
      <x:c r="V121" s="10" t="n">
        <x:v>100</x:v>
      </x:c>
      <x:c r="W121" s="7" t="n">
        <x:v>109</x:v>
      </x:c>
      <x:c r="X121" s="7" t="n">
        <x:v>80</x:v>
      </x:c>
      <x:c r="Y121" s="7" t="n">
        <x:v>101</x:v>
      </x:c>
    </x:row>
    <x:row r="122">
      <x:c r="A122" t="inlineStr">
        <x:is>
          <x:t xml:space="preserve">AUT</x:t>
        </x:is>
      </x:c>
      <x:c r="B122" t="inlineStr">
        <x:is>
          <x:t xml:space="preserve">Austria</x:t>
        </x:is>
      </x:c>
      <x:c r="C122" t="inlineStr">
        <x:is>
          <x:t xml:space="preserve">Europe &amp; Central Asia</x:t>
        </x:is>
      </x:c>
      <x:c r="D122" t="inlineStr">
        <x:is>
          <x:t xml:space="preserve">Europe</x:t>
        </x:is>
      </x:c>
      <x:c r="E122" s="11" t="n">
        <x:v>9177982</x:v>
      </x:c>
      <x:c r="F122" s="8" t="n">
        <x:v>534790720466.822</x:v>
      </x:c>
      <x:c r="G122" s="8" t="n">
        <x:v>5258693991.82582</x:v>
      </x:c>
      <x:c r="H122" s="11" t="n"/>
      <x:c r="I122" s="10" t="n"/>
      <x:c r="J122" s="10" t="n">
        <x:v>20.58242298547406</x:v>
      </x:c>
      <x:c r="K122" s="10" t="n">
        <x:v>79.45818260197942</x:v>
      </x:c>
      <x:c r="L122" s="10" t="n">
        <x:v>0</x:v>
      </x:c>
      <x:c r="M122" s="10" t="n">
        <x:v>71.16887122172962</x:v>
      </x:c>
      <x:c r="N122" s="10" t="n">
        <x:v>64.73920660424812</x:v>
      </x:c>
      <x:c r="O122" s="10" t="n">
        <x:v>79.45818260197942</x:v>
      </x:c>
      <x:c r="P122" s="10" t="n">
        <x:v>51.10011322069882</x:v>
      </x:c>
      <x:c r="Q122" s="10" t="n">
        <x:v>57.52767525832798</x:v>
      </x:c>
      <x:c r="R122" s="10" t="n">
        <x:v>0</x:v>
      </x:c>
      <x:c r="S122" s="10" t="n">
        <x:v>50.95288849074422</x:v>
      </x:c>
      <x:c r="T122" s="10" t="n">
        <x:v>54.81739452820704</x:v>
      </x:c>
      <x:c r="U122" s="10" t="n">
        <x:v>52.88514150947563</x:v>
      </x:c>
      <x:c r="V122" s="10" t="n">
        <x:v>100</x:v>
      </x:c>
      <x:c r="W122" s="7" t="n">
        <x:v>61</x:v>
      </x:c>
      <x:c r="X122" s="7" t="n">
        <x:v>32</x:v>
      </x:c>
      <x:c r="Y122" s="7" t="n">
        <x:v>46</x:v>
      </x:c>
    </x:row>
    <x:row r="123">
      <x:c r="A123" t="inlineStr">
        <x:is>
          <x:t xml:space="preserve">AZE</x:t>
        </x:is>
      </x:c>
      <x:c r="B123" t="inlineStr">
        <x:is>
          <x:t xml:space="preserve">Azerbaijan</x:t>
        </x:is>
      </x:c>
      <x:c r="C123" t="inlineStr">
        <x:is>
          <x:t xml:space="preserve">Europe &amp; Central Asia</x:t>
        </x:is>
      </x:c>
      <x:c r="D123" t="inlineStr">
        <x:is>
          <x:t xml:space="preserve">Asia</x:t>
        </x:is>
      </x:c>
      <x:c r="E123" s="11" t="n">
        <x:v>10202830</x:v>
      </x:c>
      <x:c r="F123" s="8" t="n">
        <x:v>74315882352.94119</x:v>
      </x:c>
      <x:c r="G123" s="8" t="n">
        <x:v>3777088235.29412</x:v>
      </x:c>
      <x:c r="H123" s="11" t="n">
        <x:v>24</x:v>
      </x:c>
      <x:c r="I123" s="10" t="n"/>
      <x:c r="J123" s="10" t="n">
        <x:v>37.07153982445145</x:v>
      </x:c>
      <x:c r="K123" s="10" t="n">
        <x:v>64.63523150061286</x:v>
      </x:c>
      <x:c r="L123" s="10" t="n">
        <x:v>23.82000643667629</x:v>
      </x:c>
      <x:c r="M123" s="10" t="n">
        <x:v>73.35957976870708</x:v>
      </x:c>
      <x:c r="N123" s="10" t="n">
        <x:v>62.81229758581588</x:v>
      </x:c>
      <x:c r="O123" s="10" t="n">
        <x:v>64.63523150061286</x:v>
      </x:c>
      <x:c r="P123" s="10" t="n">
        <x:v>35.8570858536235</x:v>
      </x:c>
      <x:c r="Q123" s="10" t="n">
        <x:v>58.41566389286903</x:v>
      </x:c>
      <x:c r="R123" s="10" t="n">
        <x:v>0</x:v>
      </x:c>
      <x:c r="S123" s="10" t="n">
        <x:v>50.86338391209355</x:v>
      </x:c>
      <x:c r="T123" s="10" t="n">
        <x:v>53.97617031327071</x:v>
      </x:c>
      <x:c r="U123" s="10" t="n">
        <x:v>52.41977711268213</x:v>
      </x:c>
      <x:c r="V123" s="10" t="n">
        <x:v>100</x:v>
      </x:c>
      <x:c r="W123" s="7" t="n">
        <x:v>62</x:v>
      </x:c>
      <x:c r="X123" s="7" t="n">
        <x:v>35</x:v>
      </x:c>
      <x:c r="Y123" s="7" t="n">
        <x:v>48</x:v>
      </x:c>
    </x:row>
    <x:row r="124">
      <x:c r="A124" t="inlineStr">
        <x:is>
          <x:t xml:space="preserve">BLR</x:t>
        </x:is>
      </x:c>
      <x:c r="B124" t="inlineStr">
        <x:is>
          <x:t xml:space="preserve">Belarus</x:t>
        </x:is>
      </x:c>
      <x:c r="C124" t="inlineStr">
        <x:is>
          <x:t xml:space="preserve">Europe &amp; Central Asia</x:t>
        </x:is>
      </x:c>
      <x:c r="D124" t="inlineStr">
        <x:is>
          <x:t xml:space="preserve">Europe</x:t>
        </x:is>
      </x:c>
      <x:c r="E124" s="11" t="n">
        <x:v>9132629</x:v>
      </x:c>
      <x:c r="F124" s="8" t="n">
        <x:v>75961865471.9129</x:v>
      </x:c>
      <x:c r="G124" s="8" t="n">
        <x:v>1491391768.48364</x:v>
      </x:c>
      <x:c r="H124" s="11" t="n"/>
      <x:c r="I124" s="10" t="n"/>
      <x:c r="J124" s="10" t="n">
        <x:v>11.16394582084155</x:v>
      </x:c>
      <x:c r="K124" s="10" t="n">
        <x:v>59.63789670231606</x:v>
      </x:c>
      <x:c r="L124" s="10" t="n">
        <x:v>0</x:v>
      </x:c>
      <x:c r="M124" s="10" t="n">
        <x:v>74.86254613029485</x:v>
      </x:c>
      <x:c r="N124" s="10" t="n">
        <x:v>61.76663801417276</x:v>
      </x:c>
      <x:c r="O124" s="10" t="n">
        <x:v>59.63789670231606</x:v>
      </x:c>
      <x:c r="P124" s="10" t="n">
        <x:v>36.05108250677404</x:v>
      </x:c>
      <x:c r="Q124" s="10" t="n">
        <x:v>57.48612069736232</x:v>
      </x:c>
      <x:c r="R124" s="10" t="n">
        <x:v>0</x:v>
      </x:c>
      <x:c r="S124" s="10" t="n">
        <x:v>46.15350891232583</x:v>
      </x:c>
      <x:c r="T124" s="10" t="n">
        <x:v>49.03792750682071</x:v>
      </x:c>
      <x:c r="U124" s="10" t="n">
        <x:v>47.59571820957328</x:v>
      </x:c>
      <x:c r="V124" s="10" t="n">
        <x:v>100</x:v>
      </x:c>
      <x:c r="W124" s="7" t="n">
        <x:v>92</x:v>
      </x:c>
      <x:c r="X124" s="7" t="n">
        <x:v>63</x:v>
      </x:c>
      <x:c r="Y124" s="7" t="n">
        <x:v>77</x:v>
      </x:c>
    </x:row>
    <x:row r="125">
      <x:c r="A125" t="inlineStr">
        <x:is>
          <x:t xml:space="preserve">BEN</x:t>
        </x:is>
      </x:c>
      <x:c r="B125" t="inlineStr">
        <x:is>
          <x:t xml:space="preserve">Benin</x:t>
        </x:is>
      </x:c>
      <x:c r="C125" t="inlineStr">
        <x:is>
          <x:t xml:space="preserve">Sub-Saharan Africa</x:t>
        </x:is>
      </x:c>
      <x:c r="D125" t="inlineStr">
        <x:is>
          <x:t xml:space="preserve">Africa</x:t>
        </x:is>
      </x:c>
      <x:c r="E125" s="11" t="n">
        <x:v>14462724</x:v>
      </x:c>
      <x:c r="F125" s="8" t="n">
        <x:v>21482643706.4249</x:v>
      </x:c>
      <x:c r="G125" s="8" t="n">
        <x:v>154107719.732787</x:v>
      </x:c>
      <x:c r="H125" s="11" t="n">
        <x:v>7</x:v>
      </x:c>
      <x:c r="I125" s="10" t="n"/>
      <x:c r="J125" s="10" t="n">
        <x:v>14.02145221273898</x:v>
      </x:c>
      <x:c r="K125" s="10" t="n">
        <x:v>33.91695191880051</x:v>
      </x:c>
      <x:c r="L125" s="10" t="n">
        <x:v>11.0190826381381</x:v>
      </x:c>
      <x:c r="M125" s="10" t="n">
        <x:v>61.17223737628186</x:v>
      </x:c>
      <x:c r="N125" s="10" t="n">
        <x:v>51.93531372474509</x:v>
      </x:c>
      <x:c r="O125" s="10" t="n">
        <x:v>33.91695191880051</x:v>
      </x:c>
      <x:c r="P125" s="10" t="n">
        <x:v>27.20876610554727</x:v>
      </x:c>
      <x:c r="Q125" s="10" t="n">
        <x:v>61.34249304443077</x:v>
      </x:c>
      <x:c r="R125" s="10" t="n">
        <x:v>0</x:v>
      </x:c>
      <x:c r="S125" s="10" t="n">
        <x:v>39.32898406274275</x:v>
      </x:c>
      <x:c r="T125" s="10" t="n">
        <x:v>40.89540293404846</x:v>
      </x:c>
      <x:c r="U125" s="10" t="n">
        <x:v>40.11219349839561</x:v>
      </x:c>
      <x:c r="V125" s="10" t="n">
        <x:v>100</x:v>
      </x:c>
      <x:c r="W125" s="7" t="n">
        <x:v>126</x:v>
      </x:c>
      <x:c r="X125" s="7" t="n">
        <x:v>130</x:v>
      </x:c>
      <x:c r="Y125" s="7" t="n">
        <x:v>129</x:v>
      </x:c>
    </x:row>
    <x:row r="126">
      <x:c r="A126" t="inlineStr">
        <x:is>
          <x:t xml:space="preserve">BIH</x:t>
        </x:is>
      </x:c>
      <x:c r="B126" t="inlineStr">
        <x:is>
          <x:t xml:space="preserve">Bosnia and Herzegovina</x:t>
        </x:is>
      </x:c>
      <x:c r="C126" t="inlineStr">
        <x:is>
          <x:t xml:space="preserve">Europe &amp; Central Asia</x:t>
        </x:is>
      </x:c>
      <x:c r="D126" t="inlineStr">
        <x:is>
          <x:t xml:space="preserve">Europe</x:t>
        </x:is>
      </x:c>
      <x:c r="E126" s="11" t="n">
        <x:v>3164253</x:v>
      </x:c>
      <x:c r="F126" s="8" t="n">
        <x:v>29613572022.8993</x:v>
      </x:c>
      <x:c r="G126" s="8" t="n">
        <x:v>215974868.507652</x:v>
      </x:c>
      <x:c r="H126" s="11" t="n"/>
      <x:c r="I126" s="10" t="n"/>
      <x:c r="J126" s="10" t="n">
        <x:v>7.865448445291003</x:v>
      </x:c>
      <x:c r="K126" s="10" t="n">
        <x:v>56.18374626737691</x:v>
      </x:c>
      <x:c r="L126" s="10" t="n">
        <x:v>0</x:v>
      </x:c>
      <x:c r="M126" s="10" t="n">
        <x:v>61.57801433162342</x:v>
      </x:c>
      <x:c r="N126" s="10" t="n">
        <x:v>52.50617474710003</x:v>
      </x:c>
      <x:c r="O126" s="10" t="n">
        <x:v>56.18374626737691</x:v>
      </x:c>
      <x:c r="P126" s="10" t="n">
        <x:v>30.45582319747627</x:v>
      </x:c>
      <x:c r="Q126" s="10" t="n">
        <x:v>48.59483672958429</x:v>
      </x:c>
      <x:c r="R126" s="10" t="n">
        <x:v>0</x:v>
      </x:c>
      <x:c r="S126" s="10" t="n">
        <x:v>40.27120023004803</x:v>
      </x:c>
      <x:c r="T126" s="10" t="n">
        <x:v>42.32296010087043</x:v>
      </x:c>
      <x:c r="U126" s="10" t="n">
        <x:v>41.29708016545923</x:v>
      </x:c>
      <x:c r="V126" s="10" t="n">
        <x:v>100</x:v>
      </x:c>
      <x:c r="W126" s="7" t="n">
        <x:v>116</x:v>
      </x:c>
      <x:c r="X126" s="7" t="n">
        <x:v>114</x:v>
      </x:c>
      <x:c r="Y126" s="7" t="n">
        <x:v>115</x:v>
      </x:c>
    </x:row>
    <x:row r="127">
      <x:c r="A127" t="inlineStr">
        <x:is>
          <x:t xml:space="preserve">BWA</x:t>
        </x:is>
      </x:c>
      <x:c r="B127" t="inlineStr">
        <x:is>
          <x:t xml:space="preserve">Botswana</x:t>
        </x:is>
      </x:c>
      <x:c r="C127" t="inlineStr">
        <x:is>
          <x:t xml:space="preserve">Sub-Saharan Africa</x:t>
        </x:is>
      </x:c>
      <x:c r="D127" t="inlineStr">
        <x:is>
          <x:t xml:space="preserve">Africa</x:t>
        </x:is>
      </x:c>
      <x:c r="E127" s="11" t="n">
        <x:v>2521139</x:v>
      </x:c>
      <x:c r="F127" s="8" t="n">
        <x:v>19402063512.9066</x:v>
      </x:c>
      <x:c r="G127" s="8" t="n">
        <x:v>567822651.448639</x:v>
      </x:c>
      <x:c r="H127" s="11" t="n"/>
      <x:c r="I127" s="10" t="n"/>
      <x:c r="J127" s="10" t="n">
        <x:v>8.535217699670852</x:v>
      </x:c>
      <x:c r="K127" s="10" t="n">
        <x:v>44.31224578614471</x:v>
      </x:c>
      <x:c r="L127" s="10" t="n">
        <x:v>0</x:v>
      </x:c>
      <x:c r="M127" s="10" t="n">
        <x:v>61.38057900963375</x:v>
      </x:c>
      <x:c r="N127" s="10" t="n">
        <x:v>54.80119434686822</x:v>
      </x:c>
      <x:c r="O127" s="10" t="n">
        <x:v>44.31224578614471</x:v>
      </x:c>
      <x:c r="P127" s="10" t="n">
        <x:v>29.54945136750269</x:v>
      </x:c>
      <x:c r="Q127" s="10" t="n">
        <x:v>46.68891636412021</x:v>
      </x:c>
      <x:c r="R127" s="10" t="n">
        <x:v>0</x:v>
      </x:c>
      <x:c r="S127" s="10" t="n">
        <x:v>38.54022377342787</x:v>
      </x:c>
      <x:c r="T127" s="10" t="n">
        <x:v>40.66530302034129</x:v>
      </x:c>
      <x:c r="U127" s="10" t="n">
        <x:v>39.60276339688458</x:v>
      </x:c>
      <x:c r="V127" s="10" t="n">
        <x:v>100</x:v>
      </x:c>
      <x:c r="W127" s="7" t="n">
        <x:v>131</x:v>
      </x:c>
      <x:c r="X127" s="7" t="n">
        <x:v>132</x:v>
      </x:c>
      <x:c r="Y127" s="7" t="n">
        <x:v>131</x:v>
      </x:c>
    </x:row>
    <x:row r="128">
      <x:c r="A128" t="inlineStr">
        <x:is>
          <x:t xml:space="preserve">BGR</x:t>
        </x:is>
      </x:c>
      <x:c r="B128" t="inlineStr">
        <x:is>
          <x:t xml:space="preserve">Bulgaria</x:t>
        </x:is>
      </x:c>
      <x:c r="C128" t="inlineStr">
        <x:is>
          <x:t xml:space="preserve">Europe &amp; Central Asia</x:t>
        </x:is>
      </x:c>
      <x:c r="D128" t="inlineStr">
        <x:is>
          <x:t xml:space="preserve">Europe</x:t>
        </x:is>
      </x:c>
      <x:c r="E128" s="11" t="n">
        <x:v>6441421</x:v>
      </x:c>
      <x:c r="F128" s="8" t="n">
        <x:v>113343355779.985</x:v>
      </x:c>
      <x:c r="G128" s="8" t="n">
        <x:v>2329834254.14365</x:v>
      </x:c>
      <x:c r="H128" s="11" t="n">
        <x:v>40</x:v>
      </x:c>
      <x:c r="I128" s="10" t="n"/>
      <x:c r="J128" s="10" t="n">
        <x:v>13.5979555302057</x:v>
      </x:c>
      <x:c r="K128" s="10" t="n">
        <x:v>63.97148159343514</x:v>
      </x:c>
      <x:c r="L128" s="10" t="n">
        <x:v>29.37764937282477</x:v>
      </x:c>
      <x:c r="M128" s="10" t="n">
        <x:v>70.30312214200104</x:v>
      </x:c>
      <x:c r="N128" s="10" t="n">
        <x:v>60.53460952221002</x:v>
      </x:c>
      <x:c r="O128" s="10" t="n">
        <x:v>63.97148159343514</x:v>
      </x:c>
      <x:c r="P128" s="10" t="n">
        <x:v>38.45987162085357</x:v>
      </x:c>
      <x:c r="Q128" s="10" t="n">
        <x:v>54.55765602018222</x:v>
      </x:c>
      <x:c r="R128" s="10" t="n">
        <x:v>0</x:v>
      </x:c>
      <x:c r="S128" s="10" t="n">
        <x:v>51.72723281586463</x:v>
      </x:c>
      <x:c r="T128" s="10" t="n">
        <x:v>49.10553243636729</x:v>
      </x:c>
      <x:c r="U128" s="10" t="n">
        <x:v>50.41638262611596</x:v>
      </x:c>
      <x:c r="V128" s="10" t="n">
        <x:v>100</x:v>
      </x:c>
      <x:c r="W128" s="7" t="n">
        <x:v>60</x:v>
      </x:c>
      <x:c r="X128" s="7" t="n">
        <x:v>61</x:v>
      </x:c>
      <x:c r="Y128" s="7" t="n">
        <x:v>58</x:v>
      </x:c>
    </x:row>
    <x:row r="129">
      <x:c r="A129" t="inlineStr">
        <x:is>
          <x:t xml:space="preserve">BDI</x:t>
        </x:is>
      </x:c>
      <x:c r="B129" t="inlineStr">
        <x:is>
          <x:t xml:space="preserve">Burundi</x:t>
        </x:is>
      </x:c>
      <x:c r="C129" t="inlineStr">
        <x:is>
          <x:t xml:space="preserve">Sub-Saharan Africa</x:t>
        </x:is>
      </x:c>
      <x:c r="D129" t="inlineStr">
        <x:is>
          <x:t xml:space="preserve">Africa</x:t>
        </x:is>
      </x:c>
      <x:c r="E129" s="11" t="n">
        <x:v>14047786</x:v>
      </x:c>
      <x:c r="F129" s="8" t="n">
        <x:v>3082433067.32634</x:v>
      </x:c>
      <x:c r="G129" s="8" t="n">
        <x:v>171829784.578258</x:v>
      </x:c>
      <x:c r="H129" s="11" t="n"/>
      <x:c r="I129" s="10" t="n"/>
      <x:c r="J129" s="10" t="n">
        <x:v>8.187290264562792</x:v>
      </x:c>
      <x:c r="K129" s="10" t="n">
        <x:v>26.45406751365801</x:v>
      </x:c>
      <x:c r="L129" s="10" t="n">
        <x:v>0</x:v>
      </x:c>
      <x:c r="M129" s="10" t="n">
        <x:v>62.65575256316393</x:v>
      </x:c>
      <x:c r="N129" s="10" t="n">
        <x:v>54.10067716453666</x:v>
      </x:c>
      <x:c r="O129" s="10" t="n">
        <x:v>26.45406751365801</x:v>
      </x:c>
      <x:c r="P129" s="10" t="n">
        <x:v>17.97343949688115</x:v>
      </x:c>
      <x:c r="Q129" s="10" t="n">
        <x:v>61.09830548579202</x:v>
      </x:c>
      <x:c r="R129" s="10" t="n">
        <x:v>0</x:v>
      </x:c>
      <x:c r="S129" s="10" t="n">
        <x:v>35.56950574547098</x:v>
      </x:c>
      <x:c r="T129" s="10" t="n">
        <x:v>38.26404546143643</x:v>
      </x:c>
      <x:c r="U129" s="10" t="n">
        <x:v>36.91677560345371</x:v>
      </x:c>
      <x:c r="V129" s="10" t="n">
        <x:v>100</x:v>
      </x:c>
      <x:c r="W129" s="7" t="n">
        <x:v>149</x:v>
      </x:c>
      <x:c r="X129" s="7" t="n">
        <x:v>145</x:v>
      </x:c>
      <x:c r="Y129" s="7" t="n">
        <x:v>149</x:v>
      </x:c>
    </x:row>
    <x:row r="130">
      <x:c r="A130" t="inlineStr">
        <x:is>
          <x:t xml:space="preserve">CPV</x:t>
        </x:is>
      </x:c>
      <x:c r="B130" t="inlineStr">
        <x:is>
          <x:t xml:space="preserve">Cabo Verde</x:t>
        </x:is>
      </x:c>
      <x:c r="C130" t="inlineStr">
        <x:is>
          <x:t xml:space="preserve">Sub-Saharan Africa</x:t>
        </x:is>
      </x:c>
      <x:c r="E130" s="11" t="n">
        <x:v>524877</x:v>
      </x:c>
      <x:c r="F130" s="8" t="n">
        <x:v>2725414150.72735</x:v>
      </x:c>
      <x:c r="G130" s="8" t="n">
        <x:v>16827224.9254434</x:v>
      </x:c>
      <x:c r="H130" s="11" t="n"/>
      <x:c r="I130" s="10" t="n"/>
      <x:c r="J130" s="10" t="n"/>
      <x:c r="K130" s="10" t="n"/>
      <x:c r="L130" s="10" t="n">
        <x:v>0</x:v>
      </x:c>
      <x:c r="M130" s="10" t="n">
        <x:v>46.97655653311537</x:v>
      </x:c>
      <x:c r="N130" s="10" t="n">
        <x:v>42.43544249377821</x:v>
      </x:c>
      <x:c r="O130" s="10" t="n"/>
      <x:c r="P130" s="10" t="n">
        <x:v>28.97235820891456</x:v>
      </x:c>
      <x:c r="Q130" s="10" t="n">
        <x:v>33.52482704523327</x:v>
      </x:c>
      <x:c r="R130" s="10" t="n">
        <x:v>0</x:v>
      </x:c>
      <x:c r="S130" s="10" t="n">
        <x:v>27.90926946877348</x:v>
      </x:c>
      <x:c r="T130" s="10" t="n">
        <x:v>37.31169619272862</x:v>
      </x:c>
      <x:c r="U130" s="10" t="n">
        <x:v>32.61048283075105</x:v>
      </x:c>
      <x:c r="V130" s="10" t="n">
        <x:v>75</x:v>
      </x:c>
      <x:c r="W130" s="7" t="n">
        <x:v>177</x:v>
      </x:c>
      <x:c r="X130" s="7" t="n">
        <x:v>149</x:v>
      </x:c>
      <x:c r="Y130" s="7" t="n">
        <x:v>167</x:v>
      </x:c>
    </x:row>
    <x:row r="131">
      <x:c r="A131" t="inlineStr">
        <x:is>
          <x:t xml:space="preserve">CMR</x:t>
        </x:is>
      </x:c>
      <x:c r="B131" t="inlineStr">
        <x:is>
          <x:t xml:space="preserve">Cameroon</x:t>
        </x:is>
      </x:c>
      <x:c r="C131" t="inlineStr">
        <x:is>
          <x:t xml:space="preserve">Sub-Saharan Africa</x:t>
        </x:is>
      </x:c>
      <x:c r="D131" t="inlineStr">
        <x:is>
          <x:t xml:space="preserve">Africa</x:t>
        </x:is>
      </x:c>
      <x:c r="E131" s="11" t="n">
        <x:v>29123744</x:v>
      </x:c>
      <x:c r="F131" s="8" t="n">
        <x:v>53296694320.2057</x:v>
      </x:c>
      <x:c r="G131" s="8" t="n">
        <x:v>534852005.33635</x:v>
      </x:c>
      <x:c r="H131" s="11" t="n">
        <x:v>65</x:v>
      </x:c>
      <x:c r="I131" s="10" t="n"/>
      <x:c r="J131" s="10" t="n">
        <x:v>22.10474949767458</x:v>
      </x:c>
      <x:c r="K131" s="10" t="n">
        <x:v>35.45872227191438</x:v>
      </x:c>
      <x:c r="L131" s="10" t="n">
        <x:v>34.72617902347699</x:v>
      </x:c>
      <x:c r="M131" s="10" t="n">
        <x:v>67.51685179557364</x:v>
      </x:c>
      <x:c r="N131" s="10" t="n">
        <x:v>56.59727905908814</x:v>
      </x:c>
      <x:c r="O131" s="10" t="n">
        <x:v>35.45872227191438</x:v>
      </x:c>
      <x:c r="P131" s="10" t="n">
        <x:v>31.56686904164012</x:v>
      </x:c>
      <x:c r="Q131" s="10" t="n">
        <x:v>67.21427331469681</x:v>
      </x:c>
      <x:c r="R131" s="10" t="n">
        <x:v>0</x:v>
      </x:c>
      <x:c r="S131" s="10" t="n">
        <x:v>47.06314054394708</x:v>
      </x:c>
      <x:c r="T131" s="10" t="n">
        <x:v>45.61751821994838</x:v>
      </x:c>
      <x:c r="U131" s="10" t="n">
        <x:v>46.34032938194773</x:v>
      </x:c>
      <x:c r="V131" s="10" t="n">
        <x:v>100</x:v>
      </x:c>
      <x:c r="W131" s="7" t="n">
        <x:v>84</x:v>
      </x:c>
      <x:c r="X131" s="7" t="n">
        <x:v>84</x:v>
      </x:c>
      <x:c r="Y131" s="7" t="n">
        <x:v>83</x:v>
      </x:c>
    </x:row>
    <x:row r="132">
      <x:c r="A132" t="inlineStr">
        <x:is>
          <x:t xml:space="preserve">TCD</x:t>
        </x:is>
      </x:c>
      <x:c r="B132" t="inlineStr">
        <x:is>
          <x:t xml:space="preserve">Chad</x:t>
        </x:is>
      </x:c>
      <x:c r="C132" t="inlineStr">
        <x:is>
          <x:t xml:space="preserve">Sub-Saharan Africa</x:t>
        </x:is>
      </x:c>
      <x:c r="D132" t="inlineStr">
        <x:is>
          <x:t xml:space="preserve">Africa</x:t>
        </x:is>
      </x:c>
      <x:c r="E132" s="11" t="n">
        <x:v>20299123</x:v>
      </x:c>
      <x:c r="F132" s="8" t="n">
        <x:v>19518819751.283</x:v>
      </x:c>
      <x:c r="G132" s="8" t="n">
        <x:v>557711240.140698</x:v>
      </x:c>
      <x:c r="H132" s="11" t="n"/>
      <x:c r="I132" s="10" t="n"/>
      <x:c r="J132" s="10" t="n">
        <x:v>12.43583601500821</x:v>
      </x:c>
      <x:c r="K132" s="10" t="n">
        <x:v>22.11877012216218</x:v>
      </x:c>
      <x:c r="L132" s="10" t="n">
        <x:v>0</x:v>
      </x:c>
      <x:c r="M132" s="10" t="n">
        <x:v>67.46979340740289</x:v>
      </x:c>
      <x:c r="N132" s="10" t="n">
        <x:v>57.22733604910567</x:v>
      </x:c>
      <x:c r="O132" s="10" t="n">
        <x:v>22.11877012216218</x:v>
      </x:c>
      <x:c r="P132" s="10" t="n">
        <x:v>26.83411786759063</x:v>
      </x:c>
      <x:c r="Q132" s="10" t="n">
        <x:v>64.18622282121868</x:v>
      </x:c>
      <x:c r="R132" s="10" t="n">
        <x:v>0</x:v>
      </x:c>
      <x:c r="S132" s="10" t="n">
        <x:v>37.58359585815139</x:v>
      </x:c>
      <x:c r="T132" s="10" t="n">
        <x:v>41.21263158186158</x:v>
      </x:c>
      <x:c r="U132" s="10" t="n">
        <x:v>39.39811372000649</x:v>
      </x:c>
      <x:c r="V132" s="10" t="n">
        <x:v>100</x:v>
      </x:c>
      <x:c r="W132" s="7" t="n">
        <x:v>137</x:v>
      </x:c>
      <x:c r="X132" s="7" t="n">
        <x:v>125</x:v>
      </x:c>
      <x:c r="Y132" s="7" t="n">
        <x:v>135</x:v>
      </x:c>
    </x:row>
    <x:row r="133">
      <x:c r="A133" t="inlineStr">
        <x:is>
          <x:t xml:space="preserve">CHL</x:t>
        </x:is>
      </x:c>
      <x:c r="B133" t="inlineStr">
        <x:is>
          <x:t xml:space="preserve">Chile</x:t>
        </x:is>
      </x:c>
      <x:c r="C133" t="inlineStr">
        <x:is>
          <x:t xml:space="preserve">Latin America &amp; Caribbean</x:t>
        </x:is>
      </x:c>
      <x:c r="D133" t="inlineStr">
        <x:is>
          <x:t xml:space="preserve">South America</x:t>
        </x:is>
      </x:c>
      <x:c r="E133" s="11" t="n">
        <x:v>19764771</x:v>
      </x:c>
      <x:c r="F133" s="8" t="n">
        <x:v>330267137371.592</x:v>
      </x:c>
      <x:c r="G133" s="8" t="n">
        <x:v>5105441707.26122</x:v>
      </x:c>
      <x:c r="H133" s="11" t="n">
        <x:v>130</x:v>
      </x:c>
      <x:c r="I133" s="10" t="n"/>
      <x:c r="J133" s="10" t="n">
        <x:v>65.83431921388242</x:v>
      </x:c>
      <x:c r="K133" s="10" t="n">
        <x:v>60.23454833375702</x:v>
      </x:c>
      <x:c r="L133" s="10" t="n">
        <x:v>42.42787667445079</x:v>
      </x:c>
      <x:c r="M133" s="10" t="n">
        <x:v>76.65147275662505</x:v>
      </x:c>
      <x:c r="N133" s="10" t="n">
        <x:v>64.06999274859693</x:v>
      </x:c>
      <x:c r="O133" s="10" t="n">
        <x:v>60.23454833375702</x:v>
      </x:c>
      <x:c r="P133" s="10" t="n">
        <x:v>44.25515729613194</x:v>
      </x:c>
      <x:c r="Q133" s="10" t="n">
        <x:v>63.96244621278741</x:v>
      </x:c>
      <x:c r="R133" s="10" t="n">
        <x:v>0</x:v>
      </x:c>
      <x:c r="S133" s="10" t="n">
        <x:v>55.31804938327159</x:v>
      </x:c>
      <x:c r="T133" s="10" t="n">
        <x:v>60.19615795679643</x:v>
      </x:c>
      <x:c r="U133" s="10" t="n">
        <x:v>57.75710367003401</x:v>
      </x:c>
      <x:c r="V133" s="10" t="n">
        <x:v>100</x:v>
      </x:c>
      <x:c r="W133" s="7" t="n">
        <x:v>42</x:v>
      </x:c>
      <x:c r="X133" s="7" t="n">
        <x:v>13</x:v>
      </x:c>
      <x:c r="Y133" s="7" t="n">
        <x:v>29</x:v>
      </x:c>
    </x:row>
    <x:row r="134">
      <x:c r="A134" t="inlineStr">
        <x:is>
          <x:t xml:space="preserve">COL</x:t>
        </x:is>
      </x:c>
      <x:c r="B134" t="inlineStr">
        <x:is>
          <x:t xml:space="preserve">Colombia</x:t>
        </x:is>
      </x:c>
      <x:c r="C134" t="inlineStr">
        <x:is>
          <x:t xml:space="preserve">Latin America &amp; Caribbean</x:t>
        </x:is>
      </x:c>
      <x:c r="D134" t="inlineStr">
        <x:is>
          <x:t xml:space="preserve">South America</x:t>
        </x:is>
      </x:c>
      <x:c r="E134" s="11" t="n">
        <x:v>52886363</x:v>
      </x:c>
      <x:c r="F134" s="8" t="n">
        <x:v>418818154879.271</x:v>
      </x:c>
      <x:c r="G134" s="8" t="n">
        <x:v>15096259111.9062</x:v>
      </x:c>
      <x:c r="H134" s="11" t="n">
        <x:v>237</x:v>
      </x:c>
      <x:c r="I134" s="10" t="n"/>
      <x:c r="J134" s="10" t="n">
        <x:v>24.64291737173972</x:v>
      </x:c>
      <x:c r="K134" s="10" t="n">
        <x:v>56.35388646674183</x:v>
      </x:c>
      <x:c r="L134" s="10" t="n">
        <x:v>49.13567068616123</x:v>
      </x:c>
      <x:c r="M134" s="10" t="n">
        <x:v>83.11782496622037</x:v>
      </x:c>
      <x:c r="N134" s="10" t="n">
        <x:v>68.79162515973678</x:v>
      </x:c>
      <x:c r="O134" s="10" t="n">
        <x:v>56.35388646674183</x:v>
      </x:c>
      <x:c r="P134" s="10" t="n">
        <x:v>43.32395844301752</x:v>
      </x:c>
      <x:c r="Q134" s="10" t="n">
        <x:v>72.21878717658777</x:v>
      </x:c>
      <x:c r="R134" s="10" t="n">
        <x:v>0</x:v>
      </x:c>
      <x:c r="S134" s="10" t="n">
        <x:v>59.98893702112586</x:v>
      </x:c>
      <x:c r="T134" s="10" t="n">
        <x:v>56.22030610815764</x:v>
      </x:c>
      <x:c r="U134" s="10" t="n">
        <x:v>58.10462156464175</x:v>
      </x:c>
      <x:c r="V134" s="10" t="n">
        <x:v>100</x:v>
      </x:c>
      <x:c r="W134" s="7" t="n">
        <x:v>28</x:v>
      </x:c>
      <x:c r="X134" s="7" t="n">
        <x:v>24</x:v>
      </x:c>
      <x:c r="Y134" s="7" t="n">
        <x:v>27</x:v>
      </x:c>
    </x:row>
    <x:row r="135">
      <x:c r="A135" t="inlineStr">
        <x:is>
          <x:t xml:space="preserve">CRI</x:t>
        </x:is>
      </x:c>
      <x:c r="B135" t="inlineStr">
        <x:is>
          <x:t xml:space="preserve">Costa Rica</x:t>
        </x:is>
      </x:c>
      <x:c r="C135" t="inlineStr">
        <x:is>
          <x:t xml:space="preserve">Latin America &amp; Caribbean</x:t>
        </x:is>
      </x:c>
      <x:c r="D135" t="inlineStr">
        <x:is>
          <x:t xml:space="preserve">North America</x:t>
        </x:is>
      </x:c>
      <x:c r="E135" s="11" t="n">
        <x:v>5129910</x:v>
      </x:c>
      <x:c r="F135" s="8" t="n">
        <x:v>95350423176.59621</x:v>
      </x:c>
      <x:c r="G135" s="8" t="n">
        <x:v>0</x:v>
      </x:c>
      <x:c r="H135" s="11" t="n"/>
      <x:c r="I135" s="10" t="n"/>
      <x:c r="J135" s="10" t="n">
        <x:v>20.57688828685304</x:v>
      </x:c>
      <x:c r="K135" s="10" t="n">
        <x:v>62.84205286041751</x:v>
      </x:c>
      <x:c r="L135" s="10" t="n">
        <x:v>0</x:v>
      </x:c>
      <x:c r="M135" s="10" t="n">
        <x:v>41.72347120010438</x:v>
      </x:c>
      <x:c r="N135" s="10" t="n">
        <x:v>17.11115451380601</x:v>
      </x:c>
      <x:c r="O135" s="10" t="n">
        <x:v>62.84205286041751</x:v>
      </x:c>
      <x:c r="P135" s="10" t="n">
        <x:v>36.84743437825779</x:v>
      </x:c>
      <x:c r="Q135" s="10" t="n">
        <x:v>52.64791998738689</x:v>
      </x:c>
      <x:c r="R135" s="10" t="n">
        <x:v>0</x:v>
      </x:c>
      <x:c r="S135" s="10" t="n">
        <x:v>31.92822250748271</x:v>
      </x:c>
      <x:c r="T135" s="10" t="n">
        <x:v>32.99113397780842</x:v>
      </x:c>
      <x:c r="U135" s="10" t="n">
        <x:v>32.45967824264557</x:v>
      </x:c>
      <x:c r="V135" s="10" t="n">
        <x:v>100</x:v>
      </x:c>
      <x:c r="W135" s="7" t="n">
        <x:v>168</x:v>
      </x:c>
      <x:c r="X135" s="7" t="n">
        <x:v>161</x:v>
      </x:c>
      <x:c r="Y135" s="7" t="n">
        <x:v>168</x:v>
      </x:c>
    </x:row>
    <x:row r="136">
      <x:c r="A136" t="inlineStr">
        <x:is>
          <x:t xml:space="preserve">HRV</x:t>
        </x:is>
      </x:c>
      <x:c r="B136" t="inlineStr">
        <x:is>
          <x:t xml:space="preserve">Croatia</x:t>
        </x:is>
      </x:c>
      <x:c r="C136" t="inlineStr">
        <x:is>
          <x:t xml:space="preserve">Europe &amp; Central Asia</x:t>
        </x:is>
      </x:c>
      <x:c r="D136" t="inlineStr">
        <x:is>
          <x:t xml:space="preserve">Europe</x:t>
        </x:is>
      </x:c>
      <x:c r="E136" s="11" t="n">
        <x:v>3866200</x:v>
      </x:c>
      <x:c r="F136" s="8" t="n">
        <x:v>92983810328.9088</x:v>
      </x:c>
      <x:c r="G136" s="8" t="n">
        <x:v>1629055602.0691</x:v>
      </x:c>
      <x:c r="H136" s="11" t="n">
        <x:v>32</x:v>
      </x:c>
      <x:c r="I136" s="10" t="n"/>
      <x:c r="J136" s="10" t="n">
        <x:v>39.31689234592902</x:v>
      </x:c>
      <x:c r="K136" s="10" t="n">
        <x:v>66.13532277344333</x:v>
      </x:c>
      <x:c r="L136" s="10" t="n">
        <x:v>26.93904783878836</x:v>
      </x:c>
      <x:c r="M136" s="10" t="n">
        <x:v>67.35449604339148</x:v>
      </x:c>
      <x:c r="N136" s="10" t="n">
        <x:v>58.92666026027913</x:v>
      </x:c>
      <x:c r="O136" s="10" t="n">
        <x:v>66.13532277344333</x:v>
      </x:c>
      <x:c r="P136" s="10" t="n">
        <x:v>37.91125473299878</x:v>
      </x:c>
      <x:c r="Q136" s="10" t="n">
        <x:v>50.27551646548909</x:v>
      </x:c>
      <x:c r="R136" s="10" t="n">
        <x:v>0</x:v>
      </x:c>
      <x:c r="S136" s="10" t="n">
        <x:v>49.4847635633446</x:v>
      </x:c>
      <x:c r="T136" s="10" t="n">
        <x:v>51.94344755665459</x:v>
      </x:c>
      <x:c r="U136" s="10" t="n">
        <x:v>50.7141055599996</x:v>
      </x:c>
      <x:c r="V136" s="10" t="n">
        <x:v>100</x:v>
      </x:c>
      <x:c r="W136" s="7" t="n">
        <x:v>72</x:v>
      </x:c>
      <x:c r="X136" s="7" t="n">
        <x:v>48</x:v>
      </x:c>
      <x:c r="Y136" s="7" t="n">
        <x:v>55</x:v>
      </x:c>
    </x:row>
    <x:row r="137">
      <x:c r="A137" t="inlineStr">
        <x:is>
          <x:t xml:space="preserve">CUB</x:t>
        </x:is>
      </x:c>
      <x:c r="B137" t="inlineStr">
        <x:is>
          <x:t xml:space="preserve">Cuba</x:t>
        </x:is>
      </x:c>
      <x:c r="C137" t="inlineStr">
        <x:is>
          <x:t xml:space="preserve">Latin America &amp; Caribbean</x:t>
        </x:is>
      </x:c>
      <x:c r="D137" t="inlineStr">
        <x:is>
          <x:t xml:space="preserve">North America</x:t>
        </x:is>
      </x:c>
      <x:c r="E137" s="11" t="n">
        <x:v>10979783</x:v>
      </x:c>
      <x:c r="F137" s="8" t="n">
        <x:v>107352000000</x:v>
      </x:c>
      <x:c r="G137" s="8" t="n">
        <x:v>128609126.95598</x:v>
      </x:c>
      <x:c r="H137" s="11" t="n">
        <x:v>24</x:v>
      </x:c>
      <x:c r="I137" s="10" t="n"/>
      <x:c r="J137" s="10" t="n">
        <x:v>39.347640859965</x:v>
      </x:c>
      <x:c r="K137" s="10" t="n">
        <x:v>58.82396738799426</x:v>
      </x:c>
      <x:c r="L137" s="10" t="n">
        <x:v>23.82000643667629</x:v>
      </x:c>
      <x:c r="M137" s="10" t="n">
        <x:v>69.8243933398214</x:v>
      </x:c>
      <x:c r="N137" s="10" t="n">
        <x:v>55.50640153905754</x:v>
      </x:c>
      <x:c r="O137" s="10" t="n">
        <x:v>58.82396738799426</x:v>
      </x:c>
      <x:c r="P137" s="10" t="n">
        <x:v>36.5596129735779</x:v>
      </x:c>
      <x:c r="Q137" s="10" t="n">
        <x:v>59.03130090225489</x:v>
      </x:c>
      <x:c r="R137" s="10" t="n">
        <x:v>0</x:v>
      </x:c>
      <x:c r="S137" s="10" t="n">
        <x:v>48.0208359341523</x:v>
      </x:c>
      <x:c r="T137" s="10" t="n">
        <x:v>51.19906218410847</x:v>
      </x:c>
      <x:c r="U137" s="10" t="n">
        <x:v>49.60994905913039</x:v>
      </x:c>
      <x:c r="V137" s="10" t="n">
        <x:v>100</x:v>
      </x:c>
      <x:c r="W137" s="7" t="n">
        <x:v>79</x:v>
      </x:c>
      <x:c r="X137" s="7" t="n">
        <x:v>56</x:v>
      </x:c>
      <x:c r="Y137" s="7" t="n">
        <x:v>62</x:v>
      </x:c>
    </x:row>
    <x:row r="138">
      <x:c r="A138" t="inlineStr">
        <x:is>
          <x:t xml:space="preserve">CYP</x:t>
        </x:is>
      </x:c>
      <x:c r="B138" t="inlineStr">
        <x:is>
          <x:t xml:space="preserve">Cyprus</x:t>
        </x:is>
      </x:c>
      <x:c r="C138" t="inlineStr">
        <x:is>
          <x:t xml:space="preserve">Europe &amp; Central Asia</x:t>
        </x:is>
      </x:c>
      <x:c r="D138" t="inlineStr">
        <x:is>
          <x:t xml:space="preserve">Asia</x:t>
        </x:is>
      </x:c>
      <x:c r="E138" s="11" t="n">
        <x:v>1358282</x:v>
      </x:c>
      <x:c r="F138" s="8" t="n">
        <x:v>37634533331.8902</x:v>
      </x:c>
      <x:c r="G138" s="8" t="n">
        <x:v>598185755.6070451</x:v>
      </x:c>
      <x:c r="H138" s="11" t="n"/>
      <x:c r="I138" s="10" t="n"/>
      <x:c r="J138" s="10" t="n">
        <x:v>13.37657870494033</x:v>
      </x:c>
      <x:c r="K138" s="10" t="n">
        <x:v>73.44553577072014</x:v>
      </x:c>
      <x:c r="L138" s="10" t="n">
        <x:v>0</x:v>
      </x:c>
      <x:c r="M138" s="10" t="n">
        <x:v>63.59318742913563</x:v>
      </x:c>
      <x:c r="N138" s="10" t="n">
        <x:v>55.33101327937298</x:v>
      </x:c>
      <x:c r="O138" s="10" t="n">
        <x:v>73.44553577072014</x:v>
      </x:c>
      <x:c r="P138" s="10" t="n">
        <x:v>34.15069013995948</x:v>
      </x:c>
      <x:c r="Q138" s="10" t="n">
        <x:v>41.50071044762224</x:v>
      </x:c>
      <x:c r="R138" s="10" t="n">
        <x:v>0</x:v>
      </x:c>
      <x:c r="S138" s="10" t="n">
        <x:v>43.51316214413739</x:v>
      </x:c>
      <x:c r="T138" s="10" t="n">
        <x:v>46.23371427416166</x:v>
      </x:c>
      <x:c r="U138" s="10" t="n">
        <x:v>44.87343820914953</x:v>
      </x:c>
      <x:c r="V138" s="10" t="n">
        <x:v>100</x:v>
      </x:c>
      <x:c r="W138" s="7" t="n">
        <x:v>104</x:v>
      </x:c>
      <x:c r="X138" s="7" t="n">
        <x:v>77</x:v>
      </x:c>
      <x:c r="Y138" s="7" t="n">
        <x:v>96</x:v>
      </x:c>
    </x:row>
    <x:row r="139">
      <x:c r="A139" t="inlineStr">
        <x:is>
          <x:t xml:space="preserve">CIV</x:t>
        </x:is>
      </x:c>
      <x:c r="B139" t="inlineStr">
        <x:is>
          <x:t xml:space="preserve">Côte d'Ivoire</x:t>
        </x:is>
      </x:c>
      <x:c r="C139" t="inlineStr">
        <x:is>
          <x:t xml:space="preserve">Sub-Saharan Africa</x:t>
        </x:is>
      </x:c>
      <x:c r="D139" t="inlineStr">
        <x:is>
          <x:t xml:space="preserve">Africa</x:t>
        </x:is>
      </x:c>
      <x:c r="E139" s="11" t="n">
        <x:v>31934230</x:v>
      </x:c>
      <x:c r="F139" s="8" t="n">
        <x:v>87113179149.284</x:v>
      </x:c>
      <x:c r="G139" s="8" t="n">
        <x:v>658353218.218127</x:v>
      </x:c>
      <x:c r="H139" s="11" t="n">
        <x:v>7</x:v>
      </x:c>
      <x:c r="I139" s="10" t="n"/>
      <x:c r="J139" s="10" t="n">
        <x:v>9.062568863942669</x:v>
      </x:c>
      <x:c r="K139" s="10" t="n">
        <x:v>39.55969891372281</x:v>
      </x:c>
      <x:c r="L139" s="10" t="n">
        <x:v>11.0190826381381</x:v>
      </x:c>
      <x:c r="M139" s="10" t="n">
        <x:v>67.43350314077897</x:v>
      </x:c>
      <x:c r="N139" s="10" t="n">
        <x:v>56.65295294634051</x:v>
      </x:c>
      <x:c r="O139" s="10" t="n">
        <x:v>39.55969891372281</x:v>
      </x:c>
      <x:c r="P139" s="10" t="n">
        <x:v>33.9298665355661</x:v>
      </x:c>
      <x:c r="Q139" s="10" t="n">
        <x:v>67.98706189831869</x:v>
      </x:c>
      <x:c r="R139" s="10" t="n">
        <x:v>0</x:v>
      </x:c>
      <x:c r="S139" s="10" t="n">
        <x:v>43.77631840339061</x:v>
      </x:c>
      <x:c r="T139" s="10" t="n">
        <x:v>44.66055223621711</x:v>
      </x:c>
      <x:c r="U139" s="10" t="n">
        <x:v>44.21843531980386</x:v>
      </x:c>
      <x:c r="V139" s="10" t="n">
        <x:v>100</x:v>
      </x:c>
      <x:c r="W139" s="7" t="n">
        <x:v>103</x:v>
      </x:c>
      <x:c r="X139" s="7" t="n">
        <x:v>91</x:v>
      </x:c>
      <x:c r="Y139" s="7" t="n">
        <x:v>99</x:v>
      </x:c>
    </x:row>
    <x:row r="140">
      <x:c r="A140" t="inlineStr">
        <x:is>
          <x:t xml:space="preserve">DJI</x:t>
        </x:is>
      </x:c>
      <x:c r="B140" t="inlineStr">
        <x:is>
          <x:t xml:space="preserve">Djibouti</x:t>
        </x:is>
      </x:c>
      <x:c r="C140" t="inlineStr">
        <x:is>
          <x:t xml:space="preserve">Middle East &amp; North Africa</x:t>
        </x:is>
      </x:c>
      <x:c r="D140" t="inlineStr">
        <x:is>
          <x:t xml:space="preserve">Africa</x:t>
        </x:is>
      </x:c>
      <x:c r="E140" s="11" t="n">
        <x:v>1168722</x:v>
      </x:c>
      <x:c r="F140" s="8" t="n">
        <x:v>4152145939.98458</x:v>
      </x:c>
      <x:c r="G140" s="8" t="n">
        <x:v>36274835.2755161</x:v>
      </x:c>
      <x:c r="H140" s="11" t="n"/>
      <x:c r="I140" s="10" t="n"/>
      <x:c r="J140" s="10" t="n">
        <x:v>10.49041816058591</x:v>
      </x:c>
      <x:c r="K140" s="10" t="n">
        <x:v>36.79048388291082</x:v>
      </x:c>
      <x:c r="L140" s="10" t="n">
        <x:v>0</x:v>
      </x:c>
      <x:c r="M140" s="10" t="n">
        <x:v>58.01468973126038</x:v>
      </x:c>
      <x:c r="N140" s="10" t="n">
        <x:v>49.2669443054349</x:v>
      </x:c>
      <x:c r="O140" s="10" t="n">
        <x:v>36.79048388291082</x:v>
      </x:c>
      <x:c r="P140" s="10" t="n">
        <x:v>19.98124421009357</x:v>
      </x:c>
      <x:c r="Q140" s="10" t="n">
        <x:v>40.23983643672056</x:v>
      </x:c>
      <x:c r="R140" s="10" t="n">
        <x:v>0</x:v>
      </x:c>
      <x:c r="S140" s="10" t="n">
        <x:v>33.8255532847706</x:v>
      </x:c>
      <x:c r="T140" s="10" t="n">
        <x:v>35.94759129494312</x:v>
      </x:c>
      <x:c r="U140" s="10" t="n">
        <x:v>34.88657228985686</x:v>
      </x:c>
      <x:c r="V140" s="10" t="n">
        <x:v>100</x:v>
      </x:c>
      <x:c r="W140" s="7" t="n">
        <x:v>161</x:v>
      </x:c>
      <x:c r="X140" s="7" t="n">
        <x:v>153</x:v>
      </x:c>
      <x:c r="Y140" s="7" t="n">
        <x:v>158</x:v>
      </x:c>
    </x:row>
    <x:row r="141">
      <x:c r="A141" t="inlineStr">
        <x:is>
          <x:t xml:space="preserve">ECU</x:t>
        </x:is>
      </x:c>
      <x:c r="B141" t="inlineStr">
        <x:is>
          <x:t xml:space="preserve">Ecuador</x:t>
        </x:is>
      </x:c>
      <x:c r="C141" t="inlineStr">
        <x:is>
          <x:t xml:space="preserve">Latin America &amp; Caribbean</x:t>
        </x:is>
      </x:c>
      <x:c r="D141" t="inlineStr">
        <x:is>
          <x:t xml:space="preserve">South America</x:t>
        </x:is>
      </x:c>
      <x:c r="E141" s="11" t="n">
        <x:v>18135478</x:v>
      </x:c>
      <x:c r="F141" s="8" t="n">
        <x:v>124676074700</x:v>
      </x:c>
      <x:c r="G141" s="8" t="n">
        <x:v>2698000000</x:v>
      </x:c>
      <x:c r="H141" s="11" t="n">
        <x:v>27</x:v>
      </x:c>
      <x:c r="I141" s="10" t="n"/>
      <x:c r="J141" s="10" t="n">
        <x:v>10.95033566723096</x:v>
      </x:c>
      <x:c r="K141" s="10" t="n">
        <x:v>55.41758439089216</x:v>
      </x:c>
      <x:c r="L141" s="10" t="n">
        <x:v>25.09319251349336</x:v>
      </x:c>
      <x:c r="M141" s="10" t="n">
        <x:v>71.05260253768367</x:v>
      </x:c>
      <x:c r="N141" s="10" t="n">
        <x:v>61.11454232402689</x:v>
      </x:c>
      <x:c r="O141" s="10" t="n">
        <x:v>55.41758439089216</x:v>
      </x:c>
      <x:c r="P141" s="10" t="n">
        <x:v>37.10230885268535</x:v>
      </x:c>
      <x:c r="Q141" s="10" t="n">
        <x:v>63.24077475891657</x:v>
      </x:c>
      <x:c r="R141" s="10" t="n">
        <x:v>0</x:v>
      </x:c>
      <x:c r="S141" s="10" t="n">
        <x:v>50.45138601530322</x:v>
      </x:c>
      <x:c r="T141" s="10" t="n">
        <x:v>48.59724254800948</x:v>
      </x:c>
      <x:c r="U141" s="10" t="n">
        <x:v>49.52431428165635</x:v>
      </x:c>
      <x:c r="V141" s="10" t="n">
        <x:v>100</x:v>
      </x:c>
      <x:c r="W141" s="7" t="n">
        <x:v>65</x:v>
      </x:c>
      <x:c r="X141" s="7" t="n">
        <x:v>65</x:v>
      </x:c>
      <x:c r="Y141" s="7" t="n">
        <x:v>65</x:v>
      </x:c>
    </x:row>
    <x:row r="142">
      <x:c r="A142" t="inlineStr">
        <x:is>
          <x:t xml:space="preserve">SLV</x:t>
        </x:is>
      </x:c>
      <x:c r="B142" t="inlineStr">
        <x:is>
          <x:t xml:space="preserve">El Salvador</x:t>
        </x:is>
      </x:c>
      <x:c r="C142" t="inlineStr">
        <x:is>
          <x:t xml:space="preserve">Latin America &amp; Caribbean</x:t>
        </x:is>
      </x:c>
      <x:c r="D142" t="inlineStr">
        <x:is>
          <x:t xml:space="preserve">North America</x:t>
        </x:is>
      </x:c>
      <x:c r="E142" s="11" t="n">
        <x:v>6338193</x:v>
      </x:c>
      <x:c r="F142" s="8" t="n">
        <x:v>35364960000</x:v>
      </x:c>
      <x:c r="G142" s="8" t="n">
        <x:v>425200000</x:v>
      </x:c>
      <x:c r="H142" s="11" t="n">
        <x:v>15</x:v>
      </x:c>
      <x:c r="I142" s="10" t="n"/>
      <x:c r="J142" s="10" t="n">
        <x:v>10.00973666090616</x:v>
      </x:c>
      <x:c r="K142" s="10" t="n">
        <x:v>61.44832208996771</x:v>
      </x:c>
      <x:c r="L142" s="10" t="n">
        <x:v>18.80621382282673</x:v>
      </x:c>
      <x:c r="M142" s="10" t="n">
        <x:v>67.59718340448012</x:v>
      </x:c>
      <x:c r="N142" s="10" t="n">
        <x:v>56.52901854013002</x:v>
      </x:c>
      <x:c r="O142" s="10" t="n">
        <x:v>61.44832208996771</x:v>
      </x:c>
      <x:c r="P142" s="10" t="n">
        <x:v>30.84072534136854</x:v>
      </x:c>
      <x:c r="Q142" s="10" t="n">
        <x:v>54.42213588430954</x:v>
      </x:c>
      <x:c r="R142" s="10" t="n">
        <x:v>0</x:v>
      </x:c>
      <x:c r="S142" s="10" t="n">
        <x:v>47.09008711826301</x:v>
      </x:c>
      <x:c r="T142" s="10" t="n">
        <x:v>45.95272738181081</x:v>
      </x:c>
      <x:c r="U142" s="10" t="n">
        <x:v>46.52140725003692</x:v>
      </x:c>
      <x:c r="V142" s="10" t="n">
        <x:v>100</x:v>
      </x:c>
      <x:c r="W142" s="7" t="n">
        <x:v>83</x:v>
      </x:c>
      <x:c r="X142" s="7" t="n">
        <x:v>82</x:v>
      </x:c>
      <x:c r="Y142" s="7" t="n">
        <x:v>81</x:v>
      </x:c>
    </x:row>
    <x:row r="143">
      <x:c r="A143" t="inlineStr">
        <x:is>
          <x:t xml:space="preserve">GNQ</x:t>
        </x:is>
      </x:c>
      <x:c r="B143" t="inlineStr">
        <x:is>
          <x:t xml:space="preserve">Equatorial Guinea</x:t>
        </x:is>
      </x:c>
      <x:c r="C143" t="inlineStr">
        <x:is>
          <x:t xml:space="preserve">Sub-Saharan Africa</x:t>
        </x:is>
      </x:c>
      <x:c r="D143" t="inlineStr">
        <x:is>
          <x:t xml:space="preserve">Africa</x:t>
        </x:is>
      </x:c>
      <x:c r="E143" s="11" t="n">
        <x:v>1892516</x:v>
      </x:c>
      <x:c r="F143" s="8" t="n">
        <x:v>12765777677.0622</x:v>
      </x:c>
      <x:c r="G143" s="8" t="n">
        <x:v>113135237.554975</x:v>
      </x:c>
      <x:c r="H143" s="11" t="n"/>
      <x:c r="I143" s="10" t="n"/>
      <x:c r="J143" s="10" t="n">
        <x:v>4.125386613496927</x:v>
      </x:c>
      <x:c r="K143" s="10" t="n">
        <x:v>69.35067426849726</x:v>
      </x:c>
      <x:c r="L143" s="10" t="n">
        <x:v>0</x:v>
      </x:c>
      <x:c r="M143" s="10" t="n">
        <x:v>50.82161972009338</x:v>
      </x:c>
      <x:c r="N143" s="10" t="n">
        <x:v>48.09385490472377</x:v>
      </x:c>
      <x:c r="O143" s="10" t="n">
        <x:v>69.35067426849726</x:v>
      </x:c>
      <x:c r="P143" s="10" t="n">
        <x:v>32.55936073894482</x:v>
      </x:c>
      <x:c r="Q143" s="10" t="n">
        <x:v>44.28306323281679</x:v>
      </x:c>
      <x:c r="R143" s="10" t="n">
        <x:v>0</x:v>
      </x:c>
      <x:c r="S143" s="10" t="n">
        <x:v>39.78557976682975</x:v>
      </x:c>
      <x:c r="T143" s="10" t="n">
        <x:v>40.65392331241606</x:v>
      </x:c>
      <x:c r="U143" s="10" t="n">
        <x:v>40.21975153962291</x:v>
      </x:c>
      <x:c r="V143" s="10" t="n">
        <x:v>100</x:v>
      </x:c>
      <x:c r="W143" s="7" t="n">
        <x:v>121</x:v>
      </x:c>
      <x:c r="X143" s="7" t="n">
        <x:v>133</x:v>
      </x:c>
      <x:c r="Y143" s="7" t="n">
        <x:v>128</x:v>
      </x:c>
    </x:row>
    <x:row r="144">
      <x:c r="A144" t="inlineStr">
        <x:is>
          <x:t xml:space="preserve">EST</x:t>
        </x:is>
      </x:c>
      <x:c r="B144" t="inlineStr">
        <x:is>
          <x:t xml:space="preserve">Estonia</x:t>
        </x:is>
      </x:c>
      <x:c r="C144" t="inlineStr">
        <x:is>
          <x:t xml:space="preserve">Europe &amp; Central Asia</x:t>
        </x:is>
      </x:c>
      <x:c r="D144" t="inlineStr">
        <x:is>
          <x:t xml:space="preserve">Europe</x:t>
        </x:is>
      </x:c>
      <x:c r="E144" s="11" t="n">
        <x:v>1372341</x:v>
      </x:c>
      <x:c r="F144" s="8" t="n">
        <x:v>43130419829.35</x:v>
      </x:c>
      <x:c r="G144" s="8" t="n">
        <x:v>1441919732.77431</x:v>
      </x:c>
      <x:c r="H144" s="11" t="n">
        <x:v>10</x:v>
      </x:c>
      <x:c r="I144" s="10" t="n"/>
      <x:c r="J144" s="10" t="n">
        <x:v>7.953677000314843</x:v>
      </x:c>
      <x:c r="K144" s="10" t="n">
        <x:v>65.13792507209286</x:v>
      </x:c>
      <x:c r="L144" s="10" t="n">
        <x:v>14.59673692286057</x:v>
      </x:c>
      <x:c r="M144" s="10" t="n">
        <x:v>62.35854311591489</x:v>
      </x:c>
      <x:c r="N144" s="10" t="n">
        <x:v>59.20116106121808</x:v>
      </x:c>
      <x:c r="O144" s="10" t="n">
        <x:v>65.13792507209286</x:v>
      </x:c>
      <x:c r="P144" s="10" t="n">
        <x:v>36.17526724213993</x:v>
      </x:c>
      <x:c r="Q144" s="10" t="n">
        <x:v>41.58708998631294</x:v>
      </x:c>
      <x:c r="R144" s="10" t="n">
        <x:v>0</x:v>
      </x:c>
      <x:c r="S144" s="10" t="n">
        <x:v>46.18057349045292</x:v>
      </x:c>
      <x:c r="T144" s="10" t="n">
        <x:v>44.46340473743148</x:v>
      </x:c>
      <x:c r="U144" s="10" t="n">
        <x:v>45.3219891139422</x:v>
      </x:c>
      <x:c r="V144" s="10" t="n">
        <x:v>100</x:v>
      </x:c>
      <x:c r="W144" s="7" t="n">
        <x:v>91</x:v>
      </x:c>
      <x:c r="X144" s="7" t="n">
        <x:v>94</x:v>
      </x:c>
      <x:c r="Y144" s="7" t="n">
        <x:v>92</x:v>
      </x:c>
    </x:row>
    <x:row r="145">
      <x:c r="A145" t="inlineStr">
        <x:is>
          <x:t xml:space="preserve">FJI</x:t>
        </x:is>
      </x:c>
      <x:c r="B145" t="inlineStr">
        <x:is>
          <x:t xml:space="preserve">Fiji</x:t>
        </x:is>
      </x:c>
      <x:c r="C145" t="inlineStr">
        <x:is>
          <x:t xml:space="preserve">East Asia &amp; Pacific</x:t>
        </x:is>
      </x:c>
      <x:c r="D145" t="inlineStr">
        <x:is>
          <x:t xml:space="preserve">Oceania</x:t>
        </x:is>
      </x:c>
      <x:c r="E145" s="11" t="n">
        <x:v>928784</x:v>
      </x:c>
      <x:c r="F145" s="8" t="n">
        <x:v>5968125909.27126</x:v>
      </x:c>
      <x:c r="G145" s="8" t="n">
        <x:v>77638335.6893706</x:v>
      </x:c>
      <x:c r="H145" s="11" t="n"/>
      <x:c r="I145" s="10" t="n"/>
      <x:c r="J145" s="10" t="n">
        <x:v>39.30050356410524</x:v>
      </x:c>
      <x:c r="K145" s="10" t="n">
        <x:v>50.47081134944869</x:v>
      </x:c>
      <x:c r="L145" s="10" t="n">
        <x:v>0</x:v>
      </x:c>
      <x:c r="M145" s="10" t="n">
        <x:v>54.79022860267421</x:v>
      </x:c>
      <x:c r="N145" s="10" t="n">
        <x:v>48.37410309969685</x:v>
      </x:c>
      <x:c r="O145" s="10" t="n">
        <x:v>50.47081134944869</x:v>
      </x:c>
      <x:c r="P145" s="10" t="n">
        <x:v>22.69867652083941</x:v>
      </x:c>
      <x:c r="Q145" s="10" t="n">
        <x:v>38.3122439124466</x:v>
      </x:c>
      <x:c r="R145" s="10" t="n">
        <x:v>0</x:v>
      </x:c>
      <x:c r="S145" s="10" t="n">
        <x:v>34.5040997109066</x:v>
      </x:c>
      <x:c r="T145" s="10" t="n">
        <x:v>42.12515672367977</x:v>
      </x:c>
      <x:c r="U145" s="10" t="n">
        <x:v>38.31462821729318</x:v>
      </x:c>
      <x:c r="V145" s="10" t="n">
        <x:v>100</x:v>
      </x:c>
      <x:c r="W145" s="7" t="n">
        <x:v>156</x:v>
      </x:c>
      <x:c r="X145" s="7" t="n">
        <x:v>117</x:v>
      </x:c>
      <x:c r="Y145" s="7" t="n">
        <x:v>141</x:v>
      </x:c>
    </x:row>
    <x:row r="146">
      <x:c r="A146" t="inlineStr">
        <x:is>
          <x:t xml:space="preserve">FIN</x:t>
        </x:is>
      </x:c>
      <x:c r="B146" t="inlineStr">
        <x:is>
          <x:t xml:space="preserve">Finland</x:t>
        </x:is>
      </x:c>
      <x:c r="C146" t="inlineStr">
        <x:is>
          <x:t xml:space="preserve">Europe &amp; Central Asia</x:t>
        </x:is>
      </x:c>
      <x:c r="D146" t="inlineStr">
        <x:is>
          <x:t xml:space="preserve">Europe</x:t>
        </x:is>
      </x:c>
      <x:c r="E146" s="11" t="n">
        <x:v>5619911</x:v>
      </x:c>
      <x:c r="F146" s="8" t="n">
        <x:v>298696961297.656</x:v>
      </x:c>
      <x:c r="G146" s="8" t="n">
        <x:v>6987848067.30834</x:v>
      </x:c>
      <x:c r="H146" s="11" t="n">
        <x:v>246</x:v>
      </x:c>
      <x:c r="I146" s="10" t="n"/>
      <x:c r="J146" s="10" t="n">
        <x:v>19.05648463784414</x:v>
      </x:c>
      <x:c r="K146" s="10" t="n">
        <x:v>65.88323425519673</x:v>
      </x:c>
      <x:c r="L146" s="10" t="n">
        <x:v>49.55266742050247</x:v>
      </x:c>
      <x:c r="M146" s="10" t="n">
        <x:v>70.63917227551259</x:v>
      </x:c>
      <x:c r="N146" s="10" t="n">
        <x:v>67.19555975560819</x:v>
      </x:c>
      <x:c r="O146" s="10" t="n">
        <x:v>65.88323425519673</x:v>
      </x:c>
      <x:c r="P146" s="10" t="n">
        <x:v>47.06278434635833</x:v>
      </x:c>
      <x:c r="Q146" s="10" t="n">
        <x:v>53.41318416050049</x:v>
      </x:c>
      <x:c r="R146" s="10" t="n">
        <x:v>0</x:v>
      </x:c>
      <x:c r="S146" s="10" t="n">
        <x:v>58.30745791251882</x:v>
      </x:c>
      <x:c r="T146" s="10" t="n">
        <x:v>51.56227960932683</x:v>
      </x:c>
      <x:c r="U146" s="10" t="n">
        <x:v>54.93486876092283</x:v>
      </x:c>
      <x:c r="V146" s="10" t="n">
        <x:v>100</x:v>
      </x:c>
      <x:c r="W146" s="7" t="n">
        <x:v>33</x:v>
      </x:c>
      <x:c r="X146" s="7" t="n">
        <x:v>53</x:v>
      </x:c>
      <x:c r="Y146" s="7" t="n">
        <x:v>38</x:v>
      </x:c>
    </x:row>
    <x:row r="147">
      <x:c r="A147" t="inlineStr">
        <x:is>
          <x:t xml:space="preserve">GHA</x:t>
        </x:is>
      </x:c>
      <x:c r="B147" t="inlineStr">
        <x:is>
          <x:t xml:space="preserve">Ghana</x:t>
        </x:is>
      </x:c>
      <x:c r="C147" t="inlineStr">
        <x:is>
          <x:t xml:space="preserve">Sub-Saharan Africa</x:t>
        </x:is>
      </x:c>
      <x:c r="D147" t="inlineStr">
        <x:is>
          <x:t xml:space="preserve">Africa</x:t>
        </x:is>
      </x:c>
      <x:c r="E147" s="11" t="n">
        <x:v>34427414</x:v>
      </x:c>
      <x:c r="F147" s="8" t="n">
        <x:v>82308110386.4641</x:v>
      </x:c>
      <x:c r="G147" s="8" t="n">
        <x:v>268736705.433852</x:v>
      </x:c>
      <x:c r="H147" s="11" t="n">
        <x:v>27</x:v>
      </x:c>
      <x:c r="I147" s="10" t="n"/>
      <x:c r="J147" s="10" t="n">
        <x:v>6.126726077040355</x:v>
      </x:c>
      <x:c r="K147" s="10" t="n">
        <x:v>45.14646006516106</x:v>
      </x:c>
      <x:c r="L147" s="10" t="n">
        <x:v>25.09319251349336</x:v>
      </x:c>
      <x:c r="M147" s="10" t="n">
        <x:v>64.41152576991233</x:v>
      </x:c>
      <x:c r="N147" s="10" t="n">
        <x:v>53.6797447753093</x:v>
      </x:c>
      <x:c r="O147" s="10" t="n">
        <x:v>45.14646006516106</x:v>
      </x:c>
      <x:c r="P147" s="10" t="n">
        <x:v>33.82739791027442</x:v>
      </x:c>
      <x:c r="Q147" s="10" t="n">
        <x:v>68.6176653058466</x:v>
      </x:c>
      <x:c r="R147" s="10" t="n">
        <x:v>0</x:v>
      </x:c>
      <x:c r="S147" s="10" t="n">
        <x:v>46.53571768920466</x:v>
      </x:c>
      <x:c r="T147" s="10" t="n">
        <x:v>44.0255635903268</x:v>
      </x:c>
      <x:c r="U147" s="10" t="n">
        <x:v>45.28064063976574</x:v>
      </x:c>
      <x:c r="V147" s="10" t="n">
        <x:v>100</x:v>
      </x:c>
      <x:c r="W147" s="7" t="n">
        <x:v>89</x:v>
      </x:c>
      <x:c r="X147" s="7" t="n">
        <x:v>99</x:v>
      </x:c>
      <x:c r="Y147" s="7" t="n">
        <x:v>93</x:v>
      </x:c>
    </x:row>
    <x:row r="148">
      <x:c r="A148" t="inlineStr">
        <x:is>
          <x:t xml:space="preserve">GTM</x:t>
        </x:is>
      </x:c>
      <x:c r="B148" t="inlineStr">
        <x:is>
          <x:t xml:space="preserve">Guatemala</x:t>
        </x:is>
      </x:c>
      <x:c r="C148" t="inlineStr">
        <x:is>
          <x:t xml:space="preserve">Latin America &amp; Caribbean</x:t>
        </x:is>
      </x:c>
      <x:c r="D148" t="inlineStr">
        <x:is>
          <x:t xml:space="preserve">North America</x:t>
        </x:is>
      </x:c>
      <x:c r="E148" s="11" t="n">
        <x:v>18406359</x:v>
      </x:c>
      <x:c r="F148" s="8" t="n">
        <x:v>113199581158.203</x:v>
      </x:c>
      <x:c r="G148" s="8" t="n">
        <x:v>415185334.034068</x:v>
      </x:c>
      <x:c r="H148" s="11" t="n">
        <x:v>25</x:v>
      </x:c>
      <x:c r="I148" s="10" t="n"/>
      <x:c r="J148" s="10" t="n">
        <x:v>16.99806834999661</x:v>
      </x:c>
      <x:c r="K148" s="10" t="n">
        <x:v>56.24772351362179</x:v>
      </x:c>
      <x:c r="L148" s="10" t="n">
        <x:v>24.26062979495774</x:v>
      </x:c>
      <x:c r="M148" s="10" t="n">
        <x:v>68.99855997730405</x:v>
      </x:c>
      <x:c r="N148" s="10" t="n">
        <x:v>56.52810020427194</x:v>
      </x:c>
      <x:c r="O148" s="10" t="n">
        <x:v>56.24772351362179</x:v>
      </x:c>
      <x:c r="P148" s="10" t="n">
        <x:v>36.12222320209523</x:v>
      </x:c>
      <x:c r="Q148" s="10" t="n">
        <x:v>63.36514336687316</x:v>
      </x:c>
      <x:c r="R148" s="10" t="n">
        <x:v>0</x:v>
      </x:c>
      <x:c r="S148" s="10" t="n">
        <x:v>48.85598587965816</x:v>
      </x:c>
      <x:c r="T148" s="10" t="n">
        <x:v>48.22832923997367</x:v>
      </x:c>
      <x:c r="U148" s="10" t="n">
        <x:v>48.54215755981591</x:v>
      </x:c>
      <x:c r="V148" s="10" t="n">
        <x:v>100</x:v>
      </x:c>
      <x:c r="W148" s="7" t="n">
        <x:v>77</x:v>
      </x:c>
      <x:c r="X148" s="7" t="n">
        <x:v>69</x:v>
      </x:c>
      <x:c r="Y148" s="7" t="n">
        <x:v>73</x:v>
      </x:c>
    </x:row>
    <x:row r="149">
      <x:c r="A149" t="inlineStr">
        <x:is>
          <x:t xml:space="preserve">GIN</x:t>
        </x:is>
      </x:c>
      <x:c r="B149" t="inlineStr">
        <x:is>
          <x:t xml:space="preserve">Guinea</x:t>
        </x:is>
      </x:c>
      <x:c r="C149" t="inlineStr">
        <x:is>
          <x:t xml:space="preserve">Sub-Saharan Africa</x:t>
        </x:is>
      </x:c>
      <x:c r="D149" t="inlineStr">
        <x:is>
          <x:t xml:space="preserve">Africa</x:t>
        </x:is>
      </x:c>
      <x:c r="E149" s="11" t="n">
        <x:v>14754785</x:v>
      </x:c>
      <x:c r="F149" s="8" t="n">
        <x:v>25008678293.4084</x:v>
      </x:c>
      <x:c r="G149" s="8" t="n">
        <x:v>562455950.4996819</x:v>
      </x:c>
      <x:c r="H149" s="11" t="n"/>
      <x:c r="I149" s="10" t="n"/>
      <x:c r="J149" s="10" t="n">
        <x:v>19.65030474801957</x:v>
      </x:c>
      <x:c r="K149" s="10" t="n">
        <x:v>22.4383228060952</x:v>
      </x:c>
      <x:c r="L149" s="10" t="n">
        <x:v>0</x:v>
      </x:c>
      <x:c r="M149" s="10" t="n">
        <x:v>63.05627403324992</x:v>
      </x:c>
      <x:c r="N149" s="10" t="n">
        <x:v>55.15649070614197</x:v>
      </x:c>
      <x:c r="O149" s="10" t="n">
        <x:v>22.4383228060952</x:v>
      </x:c>
      <x:c r="P149" s="10" t="n">
        <x:v>27.72601389778263</x:v>
      </x:c>
      <x:c r="Q149" s="10" t="n">
        <x:v>61.51020325005491</x:v>
      </x:c>
      <x:c r="R149" s="10" t="n">
        <x:v>0</x:v>
      </x:c>
      <x:c r="S149" s="10" t="n">
        <x:v>36.17315629990177</x:v>
      </x:c>
      <x:c r="T149" s="10" t="n">
        <x:v>41.1055354780001</x:v>
      </x:c>
      <x:c r="U149" s="10" t="n">
        <x:v>38.63934588895093</x:v>
      </x:c>
      <x:c r="V149" s="10" t="n">
        <x:v>100</x:v>
      </x:c>
      <x:c r="W149" s="7" t="n">
        <x:v>146</x:v>
      </x:c>
      <x:c r="X149" s="7" t="n">
        <x:v>127</x:v>
      </x:c>
      <x:c r="Y149" s="7" t="n">
        <x:v>139</x:v>
      </x:c>
    </x:row>
    <x:row r="150">
      <x:c r="A150" t="inlineStr">
        <x:is>
          <x:t xml:space="preserve">GNB</x:t>
        </x:is>
      </x:c>
      <x:c r="B150" t="inlineStr">
        <x:is>
          <x:t xml:space="preserve">Guinea-Bissau</x:t>
        </x:is>
      </x:c>
      <x:c r="C150" t="inlineStr">
        <x:is>
          <x:t xml:space="preserve">Sub-Saharan Africa</x:t>
        </x:is>
      </x:c>
      <x:c r="D150" t="inlineStr">
        <x:is>
          <x:t xml:space="preserve">Africa</x:t>
        </x:is>
      </x:c>
      <x:c r="E150" s="11" t="n">
        <x:v>2201352</x:v>
      </x:c>
      <x:c r="F150" s="8" t="n">
        <x:v>2218393804.54798</x:v>
      </x:c>
      <x:c r="G150" s="8" t="n">
        <x:v>25292392.1705683</x:v>
      </x:c>
      <x:c r="H150" s="11" t="n"/>
      <x:c r="I150" s="10" t="n"/>
      <x:c r="J150" s="10" t="n">
        <x:v>8.758332433656765</x:v>
      </x:c>
      <x:c r="K150" s="10" t="n">
        <x:v>25.16712632630407</x:v>
      </x:c>
      <x:c r="L150" s="10" t="n">
        <x:v>0</x:v>
      </x:c>
      <x:c r="M150" s="10" t="n">
        <x:v>52.43421492051377</x:v>
      </x:c>
      <x:c r="N150" s="10" t="n">
        <x:v>46.04410727217662</x:v>
      </x:c>
      <x:c r="O150" s="10" t="n">
        <x:v>25.16712632630407</x:v>
      </x:c>
      <x:c r="P150" s="10" t="n">
        <x:v>16.64122309954828</x:v>
      </x:c>
      <x:c r="Q150" s="10" t="n">
        <x:v>45.55110757050063</x:v>
      </x:c>
      <x:c r="R150" s="10" t="n">
        <x:v>0</x:v>
      </x:c>
      <x:c r="S150" s="10" t="n">
        <x:v>30.58934720902493</x:v>
      </x:c>
      <x:c r="T150" s="10" t="n">
        <x:v>32.77613115170294</x:v>
      </x:c>
      <x:c r="U150" s="10" t="n">
        <x:v>31.68273918036393</x:v>
      </x:c>
      <x:c r="V150" s="10" t="n">
        <x:v>100</x:v>
      </x:c>
      <x:c r="W150" s="7" t="n">
        <x:v>172</x:v>
      </x:c>
      <x:c r="X150" s="7" t="n">
        <x:v>164</x:v>
      </x:c>
      <x:c r="Y150" s="7" t="n">
        <x:v>173</x:v>
      </x:c>
    </x:row>
    <x:row r="151">
      <x:c r="A151" t="inlineStr">
        <x:is>
          <x:t xml:space="preserve">GUY</x:t>
        </x:is>
      </x:c>
      <x:c r="B151" t="inlineStr">
        <x:is>
          <x:t xml:space="preserve">Guyana</x:t>
        </x:is>
      </x:c>
      <x:c r="C151" t="inlineStr">
        <x:is>
          <x:t xml:space="preserve">Latin America &amp; Caribbean</x:t>
        </x:is>
      </x:c>
      <x:c r="D151" t="inlineStr">
        <x:is>
          <x:t xml:space="preserve">South America</x:t>
        </x:is>
      </x:c>
      <x:c r="E151" s="11" t="n">
        <x:v>831087</x:v>
      </x:c>
      <x:c r="F151" s="8" t="n">
        <x:v>24662709832.1343</x:v>
      </x:c>
      <x:c r="G151" s="8" t="n">
        <x:v>201841558.938087</x:v>
      </x:c>
      <x:c r="H151" s="11" t="n"/>
      <x:c r="I151" s="10" t="n"/>
      <x:c r="J151" s="10" t="n">
        <x:v>16.76457478189753</x:v>
      </x:c>
      <x:c r="K151" s="10" t="n">
        <x:v>34.13334107616342</x:v>
      </x:c>
      <x:c r="L151" s="10" t="n">
        <x:v>0</x:v>
      </x:c>
      <x:c r="M151" s="10" t="n">
        <x:v>56.36918276583065</x:v>
      </x:c>
      <x:c r="N151" s="10" t="n">
        <x:v>50.55492086067582</x:v>
      </x:c>
      <x:c r="O151" s="10" t="n">
        <x:v>34.13334107616342</x:v>
      </x:c>
      <x:c r="P151" s="10" t="n">
        <x:v>29.05869486335358</x:v>
      </x:c>
      <x:c r="Q151" s="10" t="n">
        <x:v>37.37993185289397</x:v>
      </x:c>
      <x:c r="R151" s="10" t="n">
        <x:v>0</x:v>
      </x:c>
      <x:c r="S151" s="10" t="n">
        <x:v>34.16082197908649</x:v>
      </x:c>
      <x:c r="T151" s="10" t="n">
        <x:v>37.48513940476888</x:v>
      </x:c>
      <x:c r="U151" s="10" t="n">
        <x:v>35.82298069192768</x:v>
      </x:c>
      <x:c r="V151" s="10" t="n">
        <x:v>100</x:v>
      </x:c>
      <x:c r="W151" s="7" t="n">
        <x:v>159</x:v>
      </x:c>
      <x:c r="X151" s="7" t="n">
        <x:v>148</x:v>
      </x:c>
      <x:c r="Y151" s="7" t="n">
        <x:v>154</x:v>
      </x:c>
    </x:row>
    <x:row r="152">
      <x:c r="A152" t="inlineStr">
        <x:is>
          <x:t xml:space="preserve">HTI</x:t>
        </x:is>
      </x:c>
      <x:c r="B152" t="inlineStr">
        <x:is>
          <x:t xml:space="preserve">Haiti</x:t>
        </x:is>
      </x:c>
      <x:c r="C152" t="inlineStr">
        <x:is>
          <x:t xml:space="preserve">Latin America &amp; Caribbean</x:t>
        </x:is>
      </x:c>
      <x:c r="D152" t="inlineStr">
        <x:is>
          <x:t xml:space="preserve">North America</x:t>
        </x:is>
      </x:c>
      <x:c r="E152" s="11" t="n">
        <x:v>11772557</x:v>
      </x:c>
      <x:c r="F152" s="8" t="n">
        <x:v>25224154990.7946</x:v>
      </x:c>
      <x:c r="G152" s="8" t="n">
        <x:v>19751091.2623219</x:v>
      </x:c>
      <x:c r="H152" s="11" t="n"/>
      <x:c r="I152" s="10" t="n"/>
      <x:c r="J152" s="10" t="n">
        <x:v>29.7737703363701</x:v>
      </x:c>
      <x:c r="K152" s="10" t="n">
        <x:v>39.67523642091636</x:v>
      </x:c>
      <x:c r="L152" s="10" t="n">
        <x:v>0</x:v>
      </x:c>
      <x:c r="M152" s="10" t="n">
        <x:v>49.7096637268585</x:v>
      </x:c>
      <x:c r="N152" s="10" t="n">
        <x:v>42.79247017920905</x:v>
      </x:c>
      <x:c r="O152" s="10" t="n">
        <x:v>39.67523642091636</x:v>
      </x:c>
      <x:c r="P152" s="10" t="n">
        <x:v>27.87001829363655</x:v>
      </x:c>
      <x:c r="Q152" s="10" t="n">
        <x:v>59.61610958711437</x:v>
      </x:c>
      <x:c r="R152" s="10" t="n">
        <x:v>0</x:v>
      </x:c>
      <x:c r="S152" s="10" t="n">
        <x:v>33.81889833895615</x:v>
      </x:c>
      <x:c r="T152" s="10" t="n">
        <x:v>40.45267298189555</x:v>
      </x:c>
      <x:c r="U152" s="10" t="n">
        <x:v>37.13578566042585</x:v>
      </x:c>
      <x:c r="V152" s="10" t="n">
        <x:v>100</x:v>
      </x:c>
      <x:c r="W152" s="7" t="n">
        <x:v>162</x:v>
      </x:c>
      <x:c r="X152" s="7" t="n">
        <x:v>135</x:v>
      </x:c>
      <x:c r="Y152" s="7" t="n">
        <x:v>148</x:v>
      </x:c>
    </x:row>
    <x:row r="153">
      <x:c r="A153" t="inlineStr">
        <x:is>
          <x:t xml:space="preserve">HND</x:t>
        </x:is>
      </x:c>
      <x:c r="B153" t="inlineStr">
        <x:is>
          <x:t xml:space="preserve">Honduras</x:t>
        </x:is>
      </x:c>
      <x:c r="C153" t="inlineStr">
        <x:is>
          <x:t xml:space="preserve">Latin America &amp; Caribbean</x:t>
        </x:is>
      </x:c>
      <x:c r="D153" t="inlineStr">
        <x:is>
          <x:t xml:space="preserve">North America</x:t>
        </x:is>
      </x:c>
      <x:c r="E153" s="11" t="n">
        <x:v>10825703</x:v>
      </x:c>
      <x:c r="F153" s="8" t="n">
        <x:v>37093565854.0437</x:v>
      </x:c>
      <x:c r="G153" s="8" t="n">
        <x:v>581271651.183095</x:v>
      </x:c>
      <x:c r="H153" s="11" t="n">
        <x:v>71</x:v>
      </x:c>
      <x:c r="I153" s="10" t="n"/>
      <x:c r="J153" s="10" t="n">
        <x:v>16.42512534181466</x:v>
      </x:c>
      <x:c r="K153" s="10" t="n">
        <x:v>44.19255443986593</x:v>
      </x:c>
      <x:c r="L153" s="10" t="n">
        <x:v>35.70370446999367</x:v>
      </x:c>
      <x:c r="M153" s="10" t="n">
        <x:v>65.70847270087589</x:v>
      </x:c>
      <x:c r="N153" s="10" t="n">
        <x:v>56.08713465809721</x:v>
      </x:c>
      <x:c r="O153" s="10" t="n">
        <x:v>44.19255443986593</x:v>
      </x:c>
      <x:c r="P153" s="10" t="n">
        <x:v>30.23814950925662</x:v>
      </x:c>
      <x:c r="Q153" s="10" t="n">
        <x:v>58.91275068300894</x:v>
      </x:c>
      <x:c r="R153" s="10" t="n">
        <x:v>0</x:v>
      </x:c>
      <x:c r="S153" s="10" t="n">
        <x:v>47.50815453139699</x:v>
      </x:c>
      <x:c r="T153" s="10" t="n">
        <x:v>44.50812219212414</x:v>
      </x:c>
      <x:c r="U153" s="10" t="n">
        <x:v>46.00813836176057</x:v>
      </x:c>
      <x:c r="V153" s="10" t="n">
        <x:v>100</x:v>
      </x:c>
      <x:c r="W153" s="7" t="n">
        <x:v>81</x:v>
      </x:c>
      <x:c r="X153" s="7" t="n">
        <x:v>93</x:v>
      </x:c>
      <x:c r="Y153" s="7" t="n">
        <x:v>87</x:v>
      </x:c>
    </x:row>
    <x:row r="154">
      <x:c r="A154" t="inlineStr">
        <x:is>
          <x:t xml:space="preserve">ISL</x:t>
        </x:is>
      </x:c>
      <x:c r="B154" t="inlineStr">
        <x:is>
          <x:t xml:space="preserve">Iceland</x:t>
        </x:is>
      </x:c>
      <x:c r="C154" t="inlineStr">
        <x:is>
          <x:t xml:space="preserve">Europe &amp; Central Asia</x:t>
        </x:is>
      </x:c>
      <x:c r="D154" t="inlineStr">
        <x:is>
          <x:t xml:space="preserve">Europe</x:t>
        </x:is>
      </x:c>
      <x:c r="E154" s="11" t="n">
        <x:v>386506</x:v>
      </x:c>
      <x:c r="F154" s="8" t="n">
        <x:v>33255181468.9382</x:v>
      </x:c>
      <x:c r="G154" s="8" t="n">
        <x:v>0</x:v>
      </x:c>
      <x:c r="H154" s="11" t="n"/>
      <x:c r="I154" s="10" t="n"/>
      <x:c r="J154" s="10" t="n">
        <x:v>15.23132793747012</x:v>
      </x:c>
      <x:c r="K154" s="10" t="n">
        <x:v>59.23633635899787</x:v>
      </x:c>
      <x:c r="L154" s="10" t="n">
        <x:v>0</x:v>
      </x:c>
      <x:c r="M154" s="10" t="n">
        <x:v>7.222890239204609</x:v>
      </x:c>
      <x:c r="N154" s="10" t="n">
        <x:v>0</x:v>
      </x:c>
      <x:c r="O154" s="10" t="n">
        <x:v>59.23633635899787</x:v>
      </x:c>
      <x:c r="P154" s="10" t="n">
        <x:v>38.31149076225405</x:v>
      </x:c>
      <x:c r="Q154" s="10" t="n">
        <x:v>30.95781068988005</x:v>
      </x:c>
      <x:c r="R154" s="10" t="n">
        <x:v>0</x:v>
      </x:c>
      <x:c r="S154" s="10" t="n">
        <x:v>21.02372848031682</x:v>
      </x:c>
      <x:c r="T154" s="10" t="n">
        <x:v>21.02171831871964</x:v>
      </x:c>
      <x:c r="U154" s="10" t="n">
        <x:v>21.02272339951823</x:v>
      </x:c>
      <x:c r="V154" s="10" t="n">
        <x:v>100</x:v>
      </x:c>
      <x:c r="W154" s="7" t="n">
        <x:v>183</x:v>
      </x:c>
      <x:c r="X154" s="7" t="n">
        <x:v>200</x:v>
      </x:c>
      <x:c r="Y154" s="7" t="n">
        <x:v>193</x:v>
      </x:c>
    </x:row>
    <x:row r="155">
      <x:c r="A155" t="inlineStr">
        <x:is>
          <x:t xml:space="preserve">IND</x:t>
        </x:is>
      </x:c>
      <x:c r="B155" t="inlineStr">
        <x:is>
          <x:t xml:space="preserve">India</x:t>
        </x:is>
      </x:c>
      <x:c r="C155" t="inlineStr">
        <x:is>
          <x:t xml:space="preserve">South Asia</x:t>
        </x:is>
      </x:c>
      <x:c r="D155" t="inlineStr">
        <x:is>
          <x:t xml:space="preserve">Asia</x:t>
        </x:is>
      </x:c>
      <x:c r="E155" s="11" t="n">
        <x:v>1450935791</x:v>
      </x:c>
      <x:c r="F155" s="8" t="n">
        <x:v>3909891533858.08</x:v>
      </x:c>
      <x:c r="G155" s="8" t="n">
        <x:v>86125976248.5524</x:v>
      </x:c>
      <x:c r="H155" s="11" t="n">
        <x:v>294</x:v>
      </x:c>
      <x:c r="I155" s="10" t="n">
        <x:v>100.5</x:v>
      </x:c>
      <x:c r="J155" s="10" t="n">
        <x:v>33.65729104968565</x:v>
      </x:c>
      <x:c r="K155" s="10" t="n">
        <x:v>59.57030514165326</x:v>
      </x:c>
      <x:c r="L155" s="10" t="n">
        <x:v>67.34463636227079</x:v>
      </x:c>
      <x:c r="M155" s="10" t="n">
        <x:v>95.04590036640964</x:v>
      </x:c>
      <x:c r="N155" s="10" t="n">
        <x:v>76.21162770552309</x:v>
      </x:c>
      <x:c r="O155" s="10" t="n">
        <x:v>59.57030514165326</x:v>
      </x:c>
      <x:c r="P155" s="10" t="n">
        <x:v>50.14106313817886</x:v>
      </x:c>
      <x:c r="Q155" s="10" t="n">
        <x:v>100</x:v>
      </x:c>
      <x:c r="R155" s="10" t="n">
        <x:v>27.07434323912715</x:v>
      </x:c>
      <x:c r="S155" s="10" t="n">
        <x:v>70.75783544559641</x:v>
      </x:c>
      <x:c r="T155" s="10" t="n">
        <x:v>57.57280611909889</x:v>
      </x:c>
      <x:c r="U155" s="10" t="n">
        <x:v>64.16532078234765</x:v>
      </x:c>
      <x:c r="V155" s="10" t="n">
        <x:v>100</x:v>
      </x:c>
      <x:c r="W155" s="7" t="n">
        <x:v>4</x:v>
      </x:c>
      <x:c r="X155" s="7" t="n">
        <x:v>21</x:v>
      </x:c>
      <x:c r="Y155" s="7" t="n">
        <x:v>9</x:v>
      </x:c>
    </x:row>
    <x:row r="156">
      <x:c r="A156" t="inlineStr">
        <x:is>
          <x:t xml:space="preserve">IDN</x:t>
        </x:is>
      </x:c>
      <x:c r="B156" t="inlineStr">
        <x:is>
          <x:t xml:space="preserve">Indonesia</x:t>
        </x:is>
      </x:c>
      <x:c r="C156" t="inlineStr">
        <x:is>
          <x:t xml:space="preserve">East Asia &amp; Pacific</x:t>
        </x:is>
      </x:c>
      <x:c r="D156" t="inlineStr">
        <x:is>
          <x:t xml:space="preserve">Asia</x:t>
        </x:is>
      </x:c>
      <x:c r="E156" s="11" t="n">
        <x:v>283487931</x:v>
      </x:c>
      <x:c r="F156" s="8" t="n">
        <x:v>1396300098190.97</x:v>
      </x:c>
      <x:c r="G156" s="8" t="n">
        <x:v>11042843809.9082</x:v>
      </x:c>
      <x:c r="H156" s="11" t="n">
        <x:v>333</x:v>
      </x:c>
      <x:c r="I156" s="10" t="n">
        <x:v>137.3</x:v>
      </x:c>
      <x:c r="J156" s="10" t="n">
        <x:v>96.34831988223721</x:v>
      </x:c>
      <x:c r="K156" s="10" t="n">
        <x:v>60.87090383486352</x:v>
      </x:c>
      <x:c r="L156" s="10" t="n">
        <x:v>70.01148845356428</x:v>
      </x:c>
      <x:c r="M156" s="10" t="n">
        <x:v>85.89620753422845</x:v>
      </x:c>
      <x:c r="N156" s="10" t="n">
        <x:v>68.82017226019539</x:v>
      </x:c>
      <x:c r="O156" s="10" t="n">
        <x:v>60.87090383486352</x:v>
      </x:c>
      <x:c r="P156" s="10" t="n">
        <x:v>36.78313843820423</x:v>
      </x:c>
      <x:c r="Q156" s="10" t="n">
        <x:v>86.3032921331484</x:v>
      </x:c>
      <x:c r="R156" s="10" t="n">
        <x:v>0</x:v>
      </x:c>
      <x:c r="S156" s="10" t="n">
        <x:v>61.50888490691889</x:v>
      </x:c>
      <x:c r="T156" s="10" t="n">
        <x:v>53.11060449058439</x:v>
      </x:c>
      <x:c r="U156" s="10" t="n">
        <x:v>57.30974469875164</x:v>
      </x:c>
      <x:c r="V156" s="10" t="n">
        <x:v>100</x:v>
      </x:c>
      <x:c r="W156" s="7" t="n">
        <x:v>24</x:v>
      </x:c>
      <x:c r="X156" s="7" t="n">
        <x:v>40</x:v>
      </x:c>
      <x:c r="Y156" s="7" t="n">
        <x:v>31</x:v>
      </x:c>
    </x:row>
    <x:row r="157">
      <x:c r="A157" t="inlineStr">
        <x:is>
          <x:t xml:space="preserve">IRQ</x:t>
        </x:is>
      </x:c>
      <x:c r="B157" t="inlineStr">
        <x:is>
          <x:t xml:space="preserve">Iraq</x:t>
        </x:is>
      </x:c>
      <x:c r="C157" t="inlineStr">
        <x:is>
          <x:t xml:space="preserve">Middle East &amp; North Africa</x:t>
        </x:is>
      </x:c>
      <x:c r="D157" t="inlineStr">
        <x:is>
          <x:t xml:space="preserve">Asia</x:t>
        </x:is>
      </x:c>
      <x:c r="E157" s="11" t="n">
        <x:v>46042015</x:v>
      </x:c>
      <x:c r="F157" s="8" t="n">
        <x:v>279641257615.385</x:v>
      </x:c>
      <x:c r="G157" s="8" t="n">
        <x:v>6178546529.67549</x:v>
      </x:c>
      <x:c r="H157" s="11" t="n">
        <x:v>68</x:v>
      </x:c>
      <x:c r="I157" s="10" t="n"/>
      <x:c r="J157" s="10" t="n">
        <x:v>10.48342399376057</x:v>
      </x:c>
      <x:c r="K157" s="10" t="n">
        <x:v>61.91566563409657</x:v>
      </x:c>
      <x:c r="L157" s="10" t="n">
        <x:v>35.22557037388265</x:v>
      </x:c>
      <x:c r="M157" s="10" t="n">
        <x:v>81.94835487053513</x:v>
      </x:c>
      <x:c r="N157" s="10" t="n">
        <x:v>66.83182785513063</x:v>
      </x:c>
      <x:c r="O157" s="10" t="n">
        <x:v>61.91566563409657</x:v>
      </x:c>
      <x:c r="P157" s="10" t="n">
        <x:v>41.62642275249848</x:v>
      </x:c>
      <x:c r="Q157" s="10" t="n">
        <x:v>71.05621419709128</x:v>
      </x:c>
      <x:c r="R157" s="10" t="n">
        <x:v>0</x:v>
      </x:c>
      <x:c r="S157" s="10" t="n">
        <x:v>57.64051077569459</x:v>
      </x:c>
      <x:c r="T157" s="10" t="n">
        <x:v>53.88999688689956</x:v>
      </x:c>
      <x:c r="U157" s="10" t="n">
        <x:v>55.76525383129707</x:v>
      </x:c>
      <x:c r="V157" s="10" t="n">
        <x:v>100</x:v>
      </x:c>
      <x:c r="W157" s="7" t="n">
        <x:v>35</x:v>
      </x:c>
      <x:c r="X157" s="7" t="n">
        <x:v>37</x:v>
      </x:c>
      <x:c r="Y157" s="7" t="n">
        <x:v>35</x:v>
      </x:c>
    </x:row>
    <x:row r="158">
      <x:c r="A158" t="inlineStr">
        <x:is>
          <x:t xml:space="preserve">KAZ</x:t>
        </x:is>
      </x:c>
      <x:c r="B158" t="inlineStr">
        <x:is>
          <x:t xml:space="preserve">Kazakhstan</x:t>
        </x:is>
      </x:c>
      <x:c r="C158" t="inlineStr">
        <x:is>
          <x:t xml:space="preserve">Europe &amp; Central Asia</x:t>
        </x:is>
      </x:c>
      <x:c r="D158" t="inlineStr">
        <x:is>
          <x:t xml:space="preserve">Asia</x:t>
        </x:is>
      </x:c>
      <x:c r="E158" s="11" t="n">
        <x:v>20592571</x:v>
      </x:c>
      <x:c r="F158" s="8" t="n">
        <x:v>291480274648.826</x:v>
      </x:c>
      <x:c r="G158" s="8" t="n">
        <x:v>1208967905.89819</x:v>
      </x:c>
      <x:c r="H158" s="11" t="n">
        <x:v>18</x:v>
      </x:c>
      <x:c r="I158" s="10" t="n"/>
      <x:c r="J158" s="10" t="n">
        <x:v>26.26098424378572</x:v>
      </x:c>
      <x:c r="K158" s="10" t="n">
        <x:v>53.67749500286516</x:v>
      </x:c>
      <x:c r="L158" s="10" t="n">
        <x:v>20.73685789430558</x:v>
      </x:c>
      <x:c r="M158" s="10" t="n">
        <x:v>73.14823306560413</x:v>
      </x:c>
      <x:c r="N158" s="10" t="n">
        <x:v>59.76025339952556</x:v>
      </x:c>
      <x:c r="O158" s="10" t="n">
        <x:v>53.67749500286516</x:v>
      </x:c>
      <x:c r="P158" s="10" t="n">
        <x:v>43.74298498815082</x:v>
      </x:c>
      <x:c r="Q158" s="10" t="n">
        <x:v>64.30662051267379</x:v>
      </x:c>
      <x:c r="R158" s="10" t="n">
        <x:v>0</x:v>
      </x:c>
      <x:c r="S158" s="10" t="n">
        <x:v>49.83437808305972</x:v>
      </x:c>
      <x:c r="T158" s="10" t="n">
        <x:v>51.61386855373378</x:v>
      </x:c>
      <x:c r="U158" s="10" t="n">
        <x:v>50.72412331839675</x:v>
      </x:c>
      <x:c r="V158" s="10" t="n">
        <x:v>100</x:v>
      </x:c>
      <x:c r="W158" s="7" t="n">
        <x:v>71</x:v>
      </x:c>
      <x:c r="X158" s="7" t="n">
        <x:v>52</x:v>
      </x:c>
      <x:c r="Y158" s="7" t="n">
        <x:v>54</x:v>
      </x:c>
    </x:row>
    <x:row r="159">
      <x:c r="A159" t="inlineStr">
        <x:is>
          <x:t xml:space="preserve">KEN</x:t>
        </x:is>
      </x:c>
      <x:c r="B159" t="inlineStr">
        <x:is>
          <x:t xml:space="preserve">Kenya</x:t>
        </x:is>
      </x:c>
      <x:c r="C159" t="inlineStr">
        <x:is>
          <x:t xml:space="preserve">Sub-Saharan Africa</x:t>
        </x:is>
      </x:c>
      <x:c r="D159" t="inlineStr">
        <x:is>
          <x:t xml:space="preserve">Africa</x:t>
        </x:is>
      </x:c>
      <x:c r="E159" s="11" t="n">
        <x:v>56432944</x:v>
      </x:c>
      <x:c r="F159" s="8" t="n">
        <x:v>120339557905.932</x:v>
      </x:c>
      <x:c r="G159" s="8" t="n">
        <x:v>1231306436.54642</x:v>
      </x:c>
      <x:c r="H159" s="11" t="n">
        <x:v>19</x:v>
      </x:c>
      <x:c r="I159" s="10" t="n"/>
      <x:c r="J159" s="10" t="n">
        <x:v>11.08554936161737</x:v>
      </x:c>
      <x:c r="K159" s="10" t="n">
        <x:v>38.44259965127875</x:v>
      </x:c>
      <x:c r="L159" s="10" t="n">
        <x:v>21.31311012975151</x:v>
      </x:c>
      <x:c r="M159" s="10" t="n">
        <x:v>68.03838082314724</x:v>
      </x:c>
      <x:c r="N159" s="10" t="n">
        <x:v>58.13863288857446</x:v>
      </x:c>
      <x:c r="O159" s="10" t="n">
        <x:v>38.44259965127875</x:v>
      </x:c>
      <x:c r="P159" s="10" t="n">
        <x:v>35.33698265140874</x:v>
      </x:c>
      <x:c r="Q159" s="10" t="n">
        <x:v>72.76326489899182</x:v>
      </x:c>
      <x:c r="R159" s="10" t="n">
        <x:v>0</x:v>
      </x:c>
      <x:c r="S159" s="10" t="n">
        <x:v>46.59731515439798</x:v>
      </x:c>
      <x:c r="T159" s="10" t="n">
        <x:v>45.98668652091817</x:v>
      </x:c>
      <x:c r="U159" s="10" t="n">
        <x:v>46.29200083765808</x:v>
      </x:c>
      <x:c r="V159" s="10" t="n">
        <x:v>100</x:v>
      </x:c>
      <x:c r="W159" s="7" t="n">
        <x:v>88</x:v>
      </x:c>
      <x:c r="X159" s="7" t="n">
        <x:v>81</x:v>
      </x:c>
      <x:c r="Y159" s="7" t="n">
        <x:v>84</x:v>
      </x:c>
    </x:row>
    <x:row r="160">
      <x:c r="A160" t="inlineStr">
        <x:is>
          <x:t xml:space="preserve">KIR</x:t>
        </x:is>
      </x:c>
      <x:c r="B160" t="inlineStr">
        <x:is>
          <x:t xml:space="preserve">Kiribati</x:t>
        </x:is>
      </x:c>
      <x:c r="C160" t="inlineStr">
        <x:is>
          <x:t xml:space="preserve">East Asia &amp; Pacific</x:t>
        </x:is>
      </x:c>
      <x:c r="E160" s="11" t="n">
        <x:v>134518</x:v>
      </x:c>
      <x:c r="F160" s="8" t="n">
        <x:v>307862564.489711</x:v>
      </x:c>
      <x:c r="G160" s="8" t="n"/>
      <x:c r="H160" s="11" t="n"/>
      <x:c r="I160" s="10" t="n"/>
      <x:c r="J160" s="10" t="n"/>
      <x:c r="K160" s="10" t="n"/>
      <x:c r="L160" s="10" t="n">
        <x:v>0</x:v>
      </x:c>
      <x:c r="M160" s="10" t="n">
        <x:v>12.25228034695867</x:v>
      </x:c>
      <x:c r="N160" s="10" t="n"/>
      <x:c r="O160" s="10" t="n"/>
      <x:c r="P160" s="10" t="n">
        <x:v>12.25228034695867</x:v>
      </x:c>
      <x:c r="Q160" s="10" t="n">
        <x:v>22.10420675142952</x:v>
      </x:c>
      <x:c r="R160" s="10" t="n">
        <x:v>0</x:v>
      </x:c>
      <x:c r="S160" s="10" t="n">
        <x:v>9.00714441877021</x:v>
      </x:c>
      <x:c r="T160" s="10" t="n">
        <x:v>12.26366719398228</x:v>
      </x:c>
      <x:c r="U160" s="10" t="n">
        <x:v>10.63540580637625</x:v>
      </x:c>
      <x:c r="V160" s="10" t="n">
        <x:v>50</x:v>
      </x:c>
      <x:c r="W160" s="7" t="n">
        <x:v>214</x:v>
      </x:c>
      <x:c r="X160" s="7" t="n">
        <x:v>215</x:v>
      </x:c>
      <x:c r="Y160" s="7" t="n">
        <x:v>215</x:v>
      </x:c>
    </x:row>
    <x:row r="161">
      <x:c r="A161" t="inlineStr">
        <x:is>
          <x:t xml:space="preserve">LVA</x:t>
        </x:is>
      </x:c>
      <x:c r="B161" t="inlineStr">
        <x:is>
          <x:t xml:space="preserve">Latvia</x:t>
        </x:is>
      </x:c>
      <x:c r="C161" t="inlineStr">
        <x:is>
          <x:t xml:space="preserve">Europe &amp; Central Asia</x:t>
        </x:is>
      </x:c>
      <x:c r="D161" t="inlineStr">
        <x:is>
          <x:t xml:space="preserve">Europe</x:t>
        </x:is>
      </x:c>
      <x:c r="E161" s="11" t="n">
        <x:v>1866124</x:v>
      </x:c>
      <x:c r="F161" s="8" t="n">
        <x:v>43684254432.3609</x:v>
      </x:c>
      <x:c r="G161" s="8" t="n">
        <x:v>1425694079.36724</x:v>
      </x:c>
      <x:c r="H161" s="11" t="n">
        <x:v>18</x:v>
      </x:c>
      <x:c r="I161" s="10" t="n"/>
      <x:c r="J161" s="10" t="n">
        <x:v>16.70409077224599</x:v>
      </x:c>
      <x:c r="K161" s="10" t="n">
        <x:v>63.12591032196207</x:v>
      </x:c>
      <x:c r="L161" s="10" t="n">
        <x:v>20.73685789430558</x:v>
      </x:c>
      <x:c r="M161" s="10" t="n">
        <x:v>63.31362753544077</x:v>
      </x:c>
      <x:c r="N161" s="10" t="n">
        <x:v>58.65435870218248</x:v>
      </x:c>
      <x:c r="O161" s="10" t="n">
        <x:v>63.12591032196207</x:v>
      </x:c>
      <x:c r="P161" s="10" t="n">
        <x:v>35.25618141741839</x:v>
      </x:c>
      <x:c r="Q161" s="10" t="n">
        <x:v>44.1652583879312</x:v>
      </x:c>
      <x:c r="R161" s="10" t="n">
        <x:v>0</x:v>
      </x:c>
      <x:c r="S161" s="10" t="n">
        <x:v>46.94977111706842</x:v>
      </x:c>
      <x:c r="T161" s="10" t="n">
        <x:v>45.95150350269249</x:v>
      </x:c>
      <x:c r="U161" s="10" t="n">
        <x:v>46.45063730988045</x:v>
      </x:c>
      <x:c r="V161" s="10" t="n">
        <x:v>100</x:v>
      </x:c>
      <x:c r="W161" s="7" t="n">
        <x:v>86</x:v>
      </x:c>
      <x:c r="X161" s="7" t="n">
        <x:v>83</x:v>
      </x:c>
      <x:c r="Y161" s="7" t="n">
        <x:v>82</x:v>
      </x:c>
    </x:row>
    <x:row r="162">
      <x:c r="A162" t="inlineStr">
        <x:is>
          <x:t xml:space="preserve">LBR</x:t>
        </x:is>
      </x:c>
      <x:c r="B162" t="inlineStr">
        <x:is>
          <x:t xml:space="preserve">Liberia</x:t>
        </x:is>
      </x:c>
      <x:c r="C162" t="inlineStr">
        <x:is>
          <x:t xml:space="preserve">Sub-Saharan Africa</x:t>
        </x:is>
      </x:c>
      <x:c r="D162" t="inlineStr">
        <x:is>
          <x:t xml:space="preserve">Africa</x:t>
        </x:is>
      </x:c>
      <x:c r="E162" s="11" t="n">
        <x:v>5612817</x:v>
      </x:c>
      <x:c r="F162" s="8" t="n">
        <x:v>4779300900</x:v>
      </x:c>
      <x:c r="G162" s="8" t="n">
        <x:v>33825000</x:v>
      </x:c>
      <x:c r="H162" s="11" t="n">
        <x:v>6</x:v>
      </x:c>
      <x:c r="I162" s="10" t="n"/>
      <x:c r="J162" s="10" t="n">
        <x:v>12.02650867087682</x:v>
      </x:c>
      <x:c r="K162" s="10" t="n">
        <x:v>15.37603369485641</x:v>
      </x:c>
      <x:c r="L162" s="10" t="n">
        <x:v>9.518930144116094</x:v>
      </x:c>
      <x:c r="M162" s="10" t="n">
        <x:v>51.00588810344775</x:v>
      </x:c>
      <x:c r="N162" s="10" t="n">
        <x:v>45.25566506203711</x:v>
      </x:c>
      <x:c r="O162" s="10" t="n">
        <x:v>15.37603369485641</x:v>
      </x:c>
      <x:c r="P162" s="10" t="n">
        <x:v>20.01899561392163</x:v>
      </x:c>
      <x:c r="Q162" s="10" t="n">
        <x:v>53.40258868147961</x:v>
      </x:c>
      <x:c r="R162" s="10" t="n">
        <x:v>0</x:v>
      </x:c>
      <x:c r="S162" s="10" t="n">
        <x:v>31.62954166325868</x:v>
      </x:c>
      <x:c r="T162" s="10" t="n">
        <x:v>32.93092340423367</x:v>
      </x:c>
      <x:c r="U162" s="10" t="n">
        <x:v>32.28023253374617</x:v>
      </x:c>
      <x:c r="V162" s="10" t="n">
        <x:v>100</x:v>
      </x:c>
      <x:c r="W162" s="7" t="n">
        <x:v>169</x:v>
      </x:c>
      <x:c r="X162" s="7" t="n">
        <x:v>162</x:v>
      </x:c>
      <x:c r="Y162" s="7" t="n">
        <x:v>170</x:v>
      </x:c>
    </x:row>
    <x:row r="163">
      <x:c r="A163" t="inlineStr">
        <x:is>
          <x:t xml:space="preserve">LTU</x:t>
        </x:is>
      </x:c>
      <x:c r="B163" t="inlineStr">
        <x:is>
          <x:t xml:space="preserve">Lithuania</x:t>
        </x:is>
      </x:c>
      <x:c r="C163" t="inlineStr">
        <x:is>
          <x:t xml:space="preserve">Europe &amp; Central Asia</x:t>
        </x:is>
      </x:c>
      <x:c r="D163" t="inlineStr">
        <x:is>
          <x:t xml:space="preserve">Europe</x:t>
        </x:is>
      </x:c>
      <x:c r="E163" s="11" t="n">
        <x:v>2888278</x:v>
      </x:c>
      <x:c r="F163" s="8" t="n">
        <x:v>84869215513.36481</x:v>
      </x:c>
      <x:c r="G163" s="8" t="n">
        <x:v>2627474141.71702</x:v>
      </x:c>
      <x:c r="H163" s="11" t="n">
        <x:v>11</x:v>
      </x:c>
      <x:c r="I163" s="10" t="n"/>
      <x:c r="J163" s="10" t="n">
        <x:v>4.623497463798858</x:v>
      </x:c>
      <x:c r="K163" s="10" t="n">
        <x:v>67.63851009786673</x:v>
      </x:c>
      <x:c r="L163" s="10" t="n">
        <x:v>15.57426236937726</x:v>
      </x:c>
      <x:c r="M163" s="10" t="n">
        <x:v>70.10093752623098</x:v>
      </x:c>
      <x:c r="N163" s="10" t="n">
        <x:v>60.93676499485736</x:v>
      </x:c>
      <x:c r="O163" s="10" t="n">
        <x:v>67.63851009786673</x:v>
      </x:c>
      <x:c r="P163" s="10" t="n">
        <x:v>39.16867397855204</x:v>
      </x:c>
      <x:c r="Q163" s="10" t="n">
        <x:v>47.82933091307515</x:v>
      </x:c>
      <x:c r="R163" s="10" t="n">
        <x:v>0</x:v>
      </x:c>
      <x:c r="S163" s="10" t="n">
        <x:v>49.38154446610467</x:v>
      </x:c>
      <x:c r="T163" s="10" t="n">
        <x:v>47.50822773171539</x:v>
      </x:c>
      <x:c r="U163" s="10" t="n">
        <x:v>48.44488609891003</x:v>
      </x:c>
      <x:c r="V163" s="10" t="n">
        <x:v>100</x:v>
      </x:c>
      <x:c r="W163" s="7" t="n">
        <x:v>73</x:v>
      </x:c>
      <x:c r="X163" s="7" t="n">
        <x:v>72</x:v>
      </x:c>
      <x:c r="Y163" s="7" t="n">
        <x:v>74</x:v>
      </x:c>
    </x:row>
    <x:row r="164">
      <x:c r="A164" t="inlineStr">
        <x:is>
          <x:t xml:space="preserve">MDG</x:t>
        </x:is>
      </x:c>
      <x:c r="B164" t="inlineStr">
        <x:is>
          <x:t xml:space="preserve">Madagascar</x:t>
        </x:is>
      </x:c>
      <x:c r="C164" t="inlineStr">
        <x:is>
          <x:t xml:space="preserve">Sub-Saharan Africa</x:t>
        </x:is>
      </x:c>
      <x:c r="D164" t="inlineStr">
        <x:is>
          <x:t xml:space="preserve">Africa</x:t>
        </x:is>
      </x:c>
      <x:c r="E164" s="11" t="n">
        <x:v>31964956</x:v>
      </x:c>
      <x:c r="F164" s="8" t="n">
        <x:v>17420501490.1231</x:v>
      </x:c>
      <x:c r="G164" s="8" t="n">
        <x:v>121634246.7323</x:v>
      </x:c>
      <x:c r="H164" s="11" t="n">
        <x:v>8</x:v>
      </x:c>
      <x:c r="I164" s="10" t="n"/>
      <x:c r="J164" s="10" t="n">
        <x:v>14.57238224718221</x:v>
      </x:c>
      <x:c r="K164" s="10" t="n">
        <x:v>23.08601622807975</x:v>
      </x:c>
      <x:c r="L164" s="10" t="n">
        <x:v>12.34231091592779</x:v>
      </x:c>
      <x:c r="M164" s="10" t="n">
        <x:v>62.97223925181643</x:v>
      </x:c>
      <x:c r="N164" s="10" t="n">
        <x:v>52.70327794531502</x:v>
      </x:c>
      <x:c r="O164" s="10" t="n">
        <x:v>23.08601622807975</x:v>
      </x:c>
      <x:c r="P164" s="10" t="n">
        <x:v>26.09792608166026</x:v>
      </x:c>
      <x:c r="Q164" s="10" t="n">
        <x:v>67.9951291460625</x:v>
      </x:c>
      <x:c r="R164" s="10" t="n">
        <x:v>0</x:v>
      </x:c>
      <x:c r="S164" s="10" t="n">
        <x:v>38.7672797291977</x:v>
      </x:c>
      <x:c r="T164" s="10" t="n">
        <x:v>40.35841226486223</x:v>
      </x:c>
      <x:c r="U164" s="10" t="n">
        <x:v>39.56284599702997</x:v>
      </x:c>
      <x:c r="V164" s="10" t="n">
        <x:v>100</x:v>
      </x:c>
      <x:c r="W164" s="7" t="n">
        <x:v>129</x:v>
      </x:c>
      <x:c r="X164" s="7" t="n">
        <x:v>137</x:v>
      </x:c>
      <x:c r="Y164" s="7" t="n">
        <x:v>133</x:v>
      </x:c>
    </x:row>
    <x:row r="165">
      <x:c r="A165" t="inlineStr">
        <x:is>
          <x:t xml:space="preserve">MWI</x:t>
        </x:is>
      </x:c>
      <x:c r="B165" t="inlineStr">
        <x:is>
          <x:t xml:space="preserve">Malawi</x:t>
        </x:is>
      </x:c>
      <x:c r="C165" t="inlineStr">
        <x:is>
          <x:t xml:space="preserve">Sub-Saharan Africa</x:t>
        </x:is>
      </x:c>
      <x:c r="D165" t="inlineStr">
        <x:is>
          <x:t xml:space="preserve">Africa</x:t>
        </x:is>
      </x:c>
      <x:c r="E165" s="11" t="n">
        <x:v>21655286</x:v>
      </x:c>
      <x:c r="F165" s="8" t="n">
        <x:v>11316411329.4619</x:v>
      </x:c>
      <x:c r="G165" s="8" t="n">
        <x:v>117589994.544906</x:v>
      </x:c>
      <x:c r="H165" s="11" t="n"/>
      <x:c r="I165" s="10" t="n"/>
      <x:c r="J165" s="10" t="n">
        <x:v>26.20004326706942</x:v>
      </x:c>
      <x:c r="K165" s="10" t="n">
        <x:v>27.57180823760819</x:v>
      </x:c>
      <x:c r="L165" s="10" t="n">
        <x:v>0</x:v>
      </x:c>
      <x:c r="M165" s="10" t="n">
        <x:v>60.98735401748555</x:v>
      </x:c>
      <x:c r="N165" s="10" t="n">
        <x:v>51.83320036822725</x:v>
      </x:c>
      <x:c r="O165" s="10" t="n">
        <x:v>27.57180823760819</x:v>
      </x:c>
      <x:c r="P165" s="10" t="n">
        <x:v>24.03979577608042</x:v>
      </x:c>
      <x:c r="Q165" s="10" t="n">
        <x:v>64.72872347776746</x:v>
      </x:c>
      <x:c r="R165" s="10" t="n">
        <x:v>0</x:v>
      </x:c>
      <x:c r="S165" s="10" t="n">
        <x:v>35.56147872814777</x:v>
      </x:c>
      <x:c r="T165" s="10" t="n">
        <x:v>41.73380318814415</x:v>
      </x:c>
      <x:c r="U165" s="10" t="n">
        <x:v>38.64764095814596</x:v>
      </x:c>
      <x:c r="V165" s="10" t="n">
        <x:v>100</x:v>
      </x:c>
      <x:c r="W165" s="7" t="n">
        <x:v>150</x:v>
      </x:c>
      <x:c r="X165" s="7" t="n">
        <x:v>121</x:v>
      </x:c>
      <x:c r="Y165" s="7" t="n">
        <x:v>138</x:v>
      </x:c>
    </x:row>
    <x:row r="166">
      <x:c r="A166" t="inlineStr">
        <x:is>
          <x:t xml:space="preserve">MDV</x:t>
        </x:is>
      </x:c>
      <x:c r="B166" t="inlineStr">
        <x:is>
          <x:t xml:space="preserve">Maldives</x:t>
        </x:is>
      </x:c>
      <x:c r="C166" t="inlineStr">
        <x:is>
          <x:t xml:space="preserve">South Asia</x:t>
        </x:is>
      </x:c>
      <x:c r="E166" s="11" t="n">
        <x:v>527799</x:v>
      </x:c>
      <x:c r="F166" s="8" t="n">
        <x:v>7061608267.25451</x:v>
      </x:c>
      <x:c r="G166" s="8" t="n"/>
      <x:c r="H166" s="11" t="n"/>
      <x:c r="I166" s="10" t="n"/>
      <x:c r="J166" s="10" t="n"/>
      <x:c r="K166" s="10" t="n"/>
      <x:c r="L166" s="10" t="n">
        <x:v>0</x:v>
      </x:c>
      <x:c r="M166" s="10" t="n">
        <x:v>51.5748332994369</x:v>
      </x:c>
      <x:c r="N166" s="10" t="n">
        <x:v>51.83989537869582</x:v>
      </x:c>
      <x:c r="O166" s="10" t="n"/>
      <x:c r="P166" s="10" t="n">
        <x:v>36.27195401623015</x:v>
      </x:c>
      <x:c r="Q166" s="10" t="n">
        <x:v>33.57139642504894</x:v>
      </x:c>
      <x:c r="R166" s="10" t="n">
        <x:v>0</x:v>
      </x:c>
      <x:c r="S166" s="10" t="n">
        <x:v>32.31507400827116</x:v>
      </x:c>
      <x:c r="T166" s="10" t="n">
        <x:v>35.32355899477715</x:v>
      </x:c>
      <x:c r="U166" s="10" t="n">
        <x:v>33.81931650152416</x:v>
      </x:c>
      <x:c r="V166" s="10" t="n">
        <x:v>62</x:v>
      </x:c>
      <x:c r="W166" s="7" t="n">
        <x:v>166</x:v>
      </x:c>
      <x:c r="X166" s="7" t="n">
        <x:v>157</x:v>
      </x:c>
      <x:c r="Y166" s="7" t="n">
        <x:v>163</x:v>
      </x:c>
    </x:row>
    <x:row r="167">
      <x:c r="A167" t="inlineStr">
        <x:is>
          <x:t xml:space="preserve">MLI</x:t>
        </x:is>
      </x:c>
      <x:c r="B167" t="inlineStr">
        <x:is>
          <x:t xml:space="preserve">Mali</x:t>
        </x:is>
      </x:c>
      <x:c r="C167" t="inlineStr">
        <x:is>
          <x:t xml:space="preserve">Sub-Saharan Africa</x:t>
        </x:is>
      </x:c>
      <x:c r="D167" t="inlineStr">
        <x:is>
          <x:t xml:space="preserve">Africa</x:t>
        </x:is>
      </x:c>
      <x:c r="E167" s="11" t="n">
        <x:v>24478595</x:v>
      </x:c>
      <x:c r="F167" s="8" t="n">
        <x:v>26794747239.8805</x:v>
      </x:c>
      <x:c r="G167" s="8" t="n">
        <x:v>929278520.861402</x:v>
      </x:c>
      <x:c r="H167" s="11" t="n"/>
      <x:c r="I167" s="10" t="n"/>
      <x:c r="J167" s="10" t="n">
        <x:v>20.07234219793817</x:v>
      </x:c>
      <x:c r="K167" s="10" t="n">
        <x:v>22.01506700759694</x:v>
      </x:c>
      <x:c r="L167" s="10" t="n">
        <x:v>0</x:v>
      </x:c>
      <x:c r="M167" s="10" t="n">
        <x:v>68.03561691733185</x:v>
      </x:c>
      <x:c r="N167" s="10" t="n">
        <x:v>58.1774882045025</x:v>
      </x:c>
      <x:c r="O167" s="10" t="n">
        <x:v>22.01506700759694</x:v>
      </x:c>
      <x:c r="P167" s="10" t="n">
        <x:v>28.21070796287852</x:v>
      </x:c>
      <x:c r="Q167" s="10" t="n">
        <x:v>65.75673062484734</x:v>
      </x:c>
      <x:c r="R167" s="10" t="n">
        <x:v>0</x:v>
      </x:c>
      <x:c r="S167" s="10" t="n">
        <x:v>37.91410751766171</x:v>
      </x:c>
      <x:c r="T167" s="10" t="n">
        <x:v>43.08155597632918</x:v>
      </x:c>
      <x:c r="U167" s="10" t="n">
        <x:v>40.49783174699544</x:v>
      </x:c>
      <x:c r="V167" s="10" t="n">
        <x:v>100</x:v>
      </x:c>
      <x:c r="W167" s="7" t="n">
        <x:v>136</x:v>
      </x:c>
      <x:c r="X167" s="7" t="n">
        <x:v>109</x:v>
      </x:c>
      <x:c r="Y167" s="7" t="n">
        <x:v>122</x:v>
      </x:c>
    </x:row>
    <x:row r="168">
      <x:c r="A168" t="inlineStr">
        <x:is>
          <x:t xml:space="preserve">MLT</x:t>
        </x:is>
      </x:c>
      <x:c r="B168" t="inlineStr">
        <x:is>
          <x:t xml:space="preserve">Malta</x:t>
        </x:is>
      </x:c>
      <x:c r="C168" t="inlineStr">
        <x:is>
          <x:t xml:space="preserve">Middle East &amp; North Africa</x:t>
        </x:is>
      </x:c>
      <x:c r="E168" s="11" t="n">
        <x:v>568847</x:v>
      </x:c>
      <x:c r="F168" s="8" t="n">
        <x:v>24971574502.4475</x:v>
      </x:c>
      <x:c r="G168" s="8" t="n">
        <x:v>109254896.361343</x:v>
      </x:c>
      <x:c r="H168" s="11" t="n"/>
      <x:c r="I168" s="10" t="n"/>
      <x:c r="J168" s="10" t="n"/>
      <x:c r="K168" s="10" t="n"/>
      <x:c r="L168" s="10" t="n">
        <x:v>0</x:v>
      </x:c>
      <x:c r="M168" s="10" t="n">
        <x:v>54.18061779867585</x:v>
      </x:c>
      <x:c r="N168" s="10" t="n">
        <x:v>48.2429274510504</x:v>
      </x:c>
      <x:c r="O168" s="10" t="n"/>
      <x:c r="P168" s="10" t="n">
        <x:v>45.95615432551738</x:v>
      </x:c>
      <x:c r="Q168" s="10" t="n">
        <x:v>34.1996607052991</x:v>
      </x:c>
      <x:c r="R168" s="10" t="n">
        <x:v>0</x:v>
      </x:c>
      <x:c r="S168" s="10" t="n">
        <x:v>33.58866412121878</x:v>
      </x:c>
      <x:c r="T168" s="10" t="n">
        <x:v>43.6080068789376</x:v>
      </x:c>
      <x:c r="U168" s="10" t="n">
        <x:v>38.59833550007819</x:v>
      </x:c>
      <x:c r="V168" s="10" t="n">
        <x:v>75</x:v>
      </x:c>
      <x:c r="W168" s="7" t="n">
        <x:v>163</x:v>
      </x:c>
      <x:c r="X168" s="7" t="n">
        <x:v>104</x:v>
      </x:c>
      <x:c r="Y168" s="7" t="n">
        <x:v>140</x:v>
      </x:c>
    </x:row>
    <x:row r="169">
      <x:c r="A169" t="inlineStr">
        <x:is>
          <x:t xml:space="preserve">MUS</x:t>
        </x:is>
      </x:c>
      <x:c r="B169" t="inlineStr">
        <x:is>
          <x:t xml:space="preserve">Mauritius</x:t>
        </x:is>
      </x:c>
      <x:c r="C169" t="inlineStr">
        <x:is>
          <x:t xml:space="preserve">Sub-Saharan Africa</x:t>
        </x:is>
      </x:c>
      <x:c r="E169" s="11" t="n">
        <x:v>1245779</x:v>
      </x:c>
      <x:c r="F169" s="8" t="n">
        <x:v>14937861786.17</x:v>
      </x:c>
      <x:c r="G169" s="8" t="n">
        <x:v>23009853.3257139</x:v>
      </x:c>
      <x:c r="H169" s="11" t="n"/>
      <x:c r="I169" s="10" t="n"/>
      <x:c r="J169" s="10" t="n"/>
      <x:c r="K169" s="10" t="n"/>
      <x:c r="L169" s="10" t="n">
        <x:v>0</x:v>
      </x:c>
      <x:c r="M169" s="10" t="n">
        <x:v>53.43456702336947</x:v>
      </x:c>
      <x:c r="N169" s="10" t="n">
        <x:v>45.2571932926886</x:v>
      </x:c>
      <x:c r="O169" s="10" t="n"/>
      <x:c r="P169" s="10" t="n">
        <x:v>42.01643661906249</x:v>
      </x:c>
      <x:c r="Q169" s="10" t="n">
        <x:v>40.77544379186739</x:v>
      </x:c>
      <x:c r="R169" s="10" t="n">
        <x:v>0</x:v>
      </x:c>
      <x:c r="S169" s="10" t="n">
        <x:v>32.78238640218159</x:v>
      </x:c>
      <x:c r="T169" s="10" t="n">
        <x:v>42.94927397204436</x:v>
      </x:c>
      <x:c r="U169" s="10" t="n">
        <x:v>37.86583018711298</x:v>
      </x:c>
      <x:c r="V169" s="10" t="n">
        <x:v>75</x:v>
      </x:c>
      <x:c r="W169" s="7" t="n">
        <x:v>165</x:v>
      </x:c>
      <x:c r="X169" s="7" t="n">
        <x:v>110</x:v>
      </x:c>
      <x:c r="Y169" s="7" t="n">
        <x:v>144</x:v>
      </x:c>
    </x:row>
    <x:row r="170">
      <x:c r="A170" t="inlineStr">
        <x:is>
          <x:t xml:space="preserve">MOZ</x:t>
        </x:is>
      </x:c>
      <x:c r="B170" t="inlineStr">
        <x:is>
          <x:t xml:space="preserve">Mozambique</x:t>
        </x:is>
      </x:c>
      <x:c r="C170" t="inlineStr">
        <x:is>
          <x:t xml:space="preserve">Sub-Saharan Africa</x:t>
        </x:is>
      </x:c>
      <x:c r="D170" t="inlineStr">
        <x:is>
          <x:t xml:space="preserve">Africa</x:t>
        </x:is>
      </x:c>
      <x:c r="E170" s="11" t="n">
        <x:v>34631766</x:v>
      </x:c>
      <x:c r="F170" s="8" t="n">
        <x:v>22745341305.0622</x:v>
      </x:c>
      <x:c r="G170" s="8" t="n">
        <x:v>450448587.393598</x:v>
      </x:c>
      <x:c r="H170" s="11" t="n">
        <x:v>8</x:v>
      </x:c>
      <x:c r="I170" s="10" t="n"/>
      <x:c r="J170" s="10" t="n">
        <x:v>30.43473241028499</x:v>
      </x:c>
      <x:c r="K170" s="10" t="n">
        <x:v>19.87882887724903</x:v>
      </x:c>
      <x:c r="L170" s="10" t="n">
        <x:v>12.34231091592779</x:v>
      </x:c>
      <x:c r="M170" s="10" t="n">
        <x:v>62.07272199134337</x:v>
      </x:c>
      <x:c r="N170" s="10" t="n">
        <x:v>54.32557400665755</x:v>
      </x:c>
      <x:c r="O170" s="10" t="n">
        <x:v>19.87882887724903</x:v>
      </x:c>
      <x:c r="P170" s="10" t="n">
        <x:v>27.29405572711029</x:v>
      </x:c>
      <x:c r="Q170" s="10" t="n">
        <x:v>68.66731006455497</x:v>
      </x:c>
      <x:c r="R170" s="10" t="n">
        <x:v>0</x:v>
      </x:c>
      <x:c r="S170" s="10" t="n">
        <x:v>38.14340658641931</x:v>
      </x:c>
      <x:c r="T170" s="10" t="n">
        <x:v>42.91416299661364</x:v>
      </x:c>
      <x:c r="U170" s="10" t="n">
        <x:v>40.52878479151647</x:v>
      </x:c>
      <x:c r="V170" s="10" t="n">
        <x:v>100</x:v>
      </x:c>
      <x:c r="W170" s="7" t="n">
        <x:v>134</x:v>
      </x:c>
      <x:c r="X170" s="7" t="n">
        <x:v>111</x:v>
      </x:c>
      <x:c r="Y170" s="7" t="n">
        <x:v>121</x:v>
      </x:c>
    </x:row>
    <x:row r="171">
      <x:c r="A171" t="inlineStr">
        <x:is>
          <x:t xml:space="preserve">MMR</x:t>
        </x:is>
      </x:c>
      <x:c r="B171" t="inlineStr">
        <x:is>
          <x:t xml:space="preserve">Myanmar</x:t>
        </x:is>
      </x:c>
      <x:c r="C171" t="inlineStr">
        <x:is>
          <x:t xml:space="preserve">East Asia &amp; Pacific</x:t>
        </x:is>
      </x:c>
      <x:c r="D171" t="inlineStr">
        <x:is>
          <x:t xml:space="preserve">Asia</x:t>
        </x:is>
      </x:c>
      <x:c r="E171" s="11" t="n">
        <x:v>54500091</x:v>
      </x:c>
      <x:c r="F171" s="8" t="n">
        <x:v>74068349523.80949</x:v>
      </x:c>
      <x:c r="G171" s="8" t="n">
        <x:v>5011272415.12673</x:v>
      </x:c>
      <x:c r="H171" s="11" t="n">
        <x:v>227</x:v>
      </x:c>
      <x:c r="I171" s="10" t="n"/>
      <x:c r="J171" s="10" t="n">
        <x:v>32.86256498624992</x:v>
      </x:c>
      <x:c r="K171" s="10" t="n">
        <x:v>46.7597485866208</x:v>
      </x:c>
      <x:c r="L171" s="10" t="n">
        <x:v>48.65343117961063</x:v>
      </x:c>
      <x:c r="M171" s="10" t="n">
        <x:v>80.22597843658889</x:v>
      </x:c>
      <x:c r="N171" s="10" t="n">
        <x:v>66.41189743029815</x:v>
      </x:c>
      <x:c r="O171" s="10" t="n">
        <x:v>46.7597485866208</x:v>
      </x:c>
      <x:c r="P171" s="10" t="n">
        <x:v>22.43693635407525</x:v>
      </x:c>
      <x:c r="Q171" s="10" t="n">
        <x:v>72.47091930648745</x:v>
      </x:c>
      <x:c r="R171" s="10" t="n">
        <x:v>0</x:v>
      </x:c>
      <x:c r="S171" s="10" t="n">
        <x:v>50.54998989045346</x:v>
      </x:c>
      <x:c r="T171" s="10" t="n">
        <x:v>35.50740058630525</x:v>
      </x:c>
      <x:c r="U171" s="10" t="n">
        <x:v>43.02869523837936</x:v>
      </x:c>
      <x:c r="V171" s="10" t="n">
        <x:v>100</x:v>
      </x:c>
      <x:c r="W171" s="7" t="n">
        <x:v>64</x:v>
      </x:c>
      <x:c r="X171" s="7" t="n">
        <x:v>155</x:v>
      </x:c>
      <x:c r="Y171" s="7" t="n">
        <x:v>107</x:v>
      </x:c>
    </x:row>
    <x:row r="172">
      <x:c r="A172" t="inlineStr">
        <x:is>
          <x:t xml:space="preserve">NAM</x:t>
        </x:is>
      </x:c>
      <x:c r="B172" t="inlineStr">
        <x:is>
          <x:t xml:space="preserve">Namibia</x:t>
        </x:is>
      </x:c>
      <x:c r="C172" t="inlineStr">
        <x:is>
          <x:t xml:space="preserve">Sub-Saharan Africa</x:t>
        </x:is>
      </x:c>
      <x:c r="D172" t="inlineStr">
        <x:is>
          <x:t xml:space="preserve">Africa</x:t>
        </x:is>
      </x:c>
      <x:c r="E172" s="11" t="n">
        <x:v>3030131</x:v>
      </x:c>
      <x:c r="F172" s="8" t="n">
        <x:v>13372354511.716</x:v>
      </x:c>
      <x:c r="G172" s="8" t="n">
        <x:v>362392304.29255</x:v>
      </x:c>
      <x:c r="H172" s="11" t="n">
        <x:v>8</x:v>
      </x:c>
      <x:c r="I172" s="10" t="n"/>
      <x:c r="J172" s="10" t="n">
        <x:v>19.19669085992286</x:v>
      </x:c>
      <x:c r="K172" s="10" t="n">
        <x:v>36.84947288663258</x:v>
      </x:c>
      <x:c r="L172" s="10" t="n">
        <x:v>12.34231091592779</x:v>
      </x:c>
      <x:c r="M172" s="10" t="n">
        <x:v>62.64616423118029</x:v>
      </x:c>
      <x:c r="N172" s="10" t="n">
        <x:v>54.355156427537</x:v>
      </x:c>
      <x:c r="O172" s="10" t="n">
        <x:v>36.84947288663258</x:v>
      </x:c>
      <x:c r="P172" s="10" t="n">
        <x:v>26.68416085182174</x:v>
      </x:c>
      <x:c r="Q172" s="10" t="n">
        <x:v>48.23152090684729</x:v>
      </x:c>
      <x:c r="R172" s="10" t="n">
        <x:v>0</x:v>
      </x:c>
      <x:c r="S172" s="10" t="n">
        <x:v>39.35517063031797</x:v>
      </x:c>
      <x:c r="T172" s="10" t="n">
        <x:v>41.1449730339511</x:v>
      </x:c>
      <x:c r="U172" s="10" t="n">
        <x:v>40.25007183213454</x:v>
      </x:c>
      <x:c r="V172" s="10" t="n">
        <x:v>100</x:v>
      </x:c>
      <x:c r="W172" s="7" t="n">
        <x:v>125</x:v>
      </x:c>
      <x:c r="X172" s="7" t="n">
        <x:v>126</x:v>
      </x:c>
      <x:c r="Y172" s="7" t="n">
        <x:v>126</x:v>
      </x:c>
    </x:row>
    <x:row r="173">
      <x:c r="A173" t="inlineStr">
        <x:is>
          <x:t xml:space="preserve">NRU</x:t>
        </x:is>
      </x:c>
      <x:c r="B173" t="inlineStr">
        <x:is>
          <x:t xml:space="preserve">Nauru</x:t>
        </x:is>
      </x:c>
      <x:c r="C173" t="inlineStr">
        <x:is>
          <x:t xml:space="preserve">East Asia &amp; Pacific</x:t>
        </x:is>
      </x:c>
      <x:c r="E173" s="11" t="n">
        <x:v>11947</x:v>
      </x:c>
      <x:c r="F173" s="8" t="n">
        <x:v>162588620.632234</x:v>
      </x:c>
      <x:c r="G173" s="8" t="n"/>
      <x:c r="H173" s="11" t="n"/>
      <x:c r="I173" s="10" t="n"/>
      <x:c r="J173" s="10" t="n"/>
      <x:c r="K173" s="10" t="n"/>
      <x:c r="L173" s="10" t="n">
        <x:v>0</x:v>
      </x:c>
      <x:c r="M173" s="10" t="n">
        <x:v>7.357294893975571</x:v>
      </x:c>
      <x:c r="N173" s="10" t="n"/>
      <x:c r="O173" s="10" t="n"/>
      <x:c r="P173" s="10" t="n">
        <x:v>7.357294893975571</x:v>
      </x:c>
      <x:c r="Q173" s="10" t="n">
        <x:v>1.794443560886994</x:v>
      </x:c>
      <x:c r="R173" s="10" t="n">
        <x:v>0</x:v>
      </x:c>
      <x:c r="S173" s="10" t="n">
        <x:v>3.739003922372015</x:v>
      </x:c>
      <x:c r="T173" s="10" t="n">
        <x:v>4.755320519368972</x:v>
      </x:c>
      <x:c r="U173" s="10" t="n">
        <x:v>4.247162220870493</x:v>
      </x:c>
      <x:c r="V173" s="10" t="n">
        <x:v>50</x:v>
      </x:c>
      <x:c r="W173" s="7" t="n">
        <x:v>219</x:v>
      </x:c>
      <x:c r="X173" s="7" t="n">
        <x:v>221</x:v>
      </x:c>
      <x:c r="Y173" s="7" t="n">
        <x:v>221</x:v>
      </x:c>
    </x:row>
    <x:row r="174">
      <x:c r="A174" t="inlineStr">
        <x:is>
          <x:t xml:space="preserve">NIC</x:t>
        </x:is>
      </x:c>
      <x:c r="B174" t="inlineStr">
        <x:is>
          <x:t xml:space="preserve">Nicaragua</x:t>
        </x:is>
      </x:c>
      <x:c r="C174" t="inlineStr">
        <x:is>
          <x:t xml:space="preserve">Latin America &amp; Caribbean</x:t>
        </x:is>
      </x:c>
      <x:c r="D174" t="inlineStr">
        <x:is>
          <x:t xml:space="preserve">North America</x:t>
        </x:is>
      </x:c>
      <x:c r="E174" s="11" t="n">
        <x:v>6916140</x:v>
      </x:c>
      <x:c r="F174" s="8" t="n">
        <x:v>19693982967.5926</x:v>
      </x:c>
      <x:c r="G174" s="8" t="n">
        <x:v>105264016.309888</x:v>
      </x:c>
      <x:c r="H174" s="11" t="n">
        <x:v>23</x:v>
      </x:c>
      <x:c r="I174" s="10" t="n"/>
      <x:c r="J174" s="10" t="n">
        <x:v>12.2456577011018</x:v>
      </x:c>
      <x:c r="K174" s="10" t="n">
        <x:v>43.12803045462256</x:v>
      </x:c>
      <x:c r="L174" s="10" t="n">
        <x:v>23.36139355406589</x:v>
      </x:c>
      <x:c r="M174" s="10" t="n">
        <x:v>60.6583566378695</x:v>
      </x:c>
      <x:c r="N174" s="10" t="n">
        <x:v>51.15208395788811</x:v>
      </x:c>
      <x:c r="O174" s="10" t="n">
        <x:v>43.12803045462256</x:v>
      </x:c>
      <x:c r="P174" s="10" t="n">
        <x:v>27.4838436813344</x:v>
      </x:c>
      <x:c r="Q174" s="10" t="n">
        <x:v>55.15415128648399</x:v>
      </x:c>
      <x:c r="R174" s="10" t="n">
        <x:v>0</x:v>
      </x:c>
      <x:c r="S174" s="10" t="n">
        <x:v>42.53949306527378</x:v>
      </x:c>
      <x:c r="T174" s="10" t="n">
        <x:v>40.97865987183754</x:v>
      </x:c>
      <x:c r="U174" s="10" t="n">
        <x:v>41.75907646855566</x:v>
      </x:c>
      <x:c r="V174" s="10" t="n">
        <x:v>100</x:v>
      </x:c>
      <x:c r="W174" s="7" t="n">
        <x:v>108</x:v>
      </x:c>
      <x:c r="X174" s="7" t="n">
        <x:v>128</x:v>
      </x:c>
      <x:c r="Y174" s="7" t="n">
        <x:v>113</x:v>
      </x:c>
    </x:row>
    <x:row r="175">
      <x:c r="A175" t="inlineStr">
        <x:is>
          <x:t xml:space="preserve">MKD</x:t>
        </x:is>
      </x:c>
      <x:c r="B175" t="inlineStr">
        <x:is>
          <x:t xml:space="preserve">North Macedonia</x:t>
        </x:is>
      </x:c>
      <x:c r="C175" t="inlineStr">
        <x:is>
          <x:t xml:space="preserve">Europe &amp; Central Asia</x:t>
        </x:is>
      </x:c>
      <x:c r="D175" t="inlineStr">
        <x:is>
          <x:t xml:space="preserve">Europe</x:t>
        </x:is>
      </x:c>
      <x:c r="E175" s="11" t="n">
        <x:v>1824359</x:v>
      </x:c>
      <x:c r="F175" s="8" t="n">
        <x:v>16951682245.4202</x:v>
      </x:c>
      <x:c r="G175" s="8" t="n">
        <x:v>353684979.985732</x:v>
      </x:c>
      <x:c r="H175" s="11" t="n"/>
      <x:c r="I175" s="10" t="n"/>
      <x:c r="J175" s="10" t="n">
        <x:v>1.707564318282908</x:v>
      </x:c>
      <x:c r="K175" s="10" t="n">
        <x:v>60.30984664253014</x:v>
      </x:c>
      <x:c r="L175" s="10" t="n">
        <x:v>0</x:v>
      </x:c>
      <x:c r="M175" s="10" t="n">
        <x:v>62.89252971884542</x:v>
      </x:c>
      <x:c r="N175" s="10" t="n">
        <x:v>54.29865540574756</x:v>
      </x:c>
      <x:c r="O175" s="10" t="n">
        <x:v>60.30984664253014</x:v>
      </x:c>
      <x:c r="P175" s="10" t="n">
        <x:v>28.4918186937492</x:v>
      </x:c>
      <x:c r="Q175" s="10" t="n">
        <x:v>43.97538580570796</x:v>
      </x:c>
      <x:c r="R175" s="10" t="n">
        <x:v>0</x:v>
      </x:c>
      <x:c r="S175" s="10" t="n">
        <x:v>41.008792046428</x:v>
      </x:c>
      <x:c r="T175" s="10" t="n">
        <x:v>41.7489368215435</x:v>
      </x:c>
      <x:c r="U175" s="10" t="n">
        <x:v>41.37886443398575</x:v>
      </x:c>
      <x:c r="V175" s="10" t="n">
        <x:v>100</x:v>
      </x:c>
      <x:c r="W175" s="7" t="n">
        <x:v>113</x:v>
      </x:c>
      <x:c r="X175" s="7" t="n">
        <x:v>120</x:v>
      </x:c>
      <x:c r="Y175" s="7" t="n">
        <x:v>114</x:v>
      </x:c>
    </x:row>
    <x:row r="176">
      <x:c r="A176" t="inlineStr">
        <x:is>
          <x:t xml:space="preserve">PLW</x:t>
        </x:is>
      </x:c>
      <x:c r="B176" t="inlineStr">
        <x:is>
          <x:t xml:space="preserve">Palau</x:t>
        </x:is>
      </x:c>
      <x:c r="C176" t="inlineStr">
        <x:is>
          <x:t xml:space="preserve">East Asia &amp; Pacific</x:t>
        </x:is>
      </x:c>
      <x:c r="E176" s="11" t="n">
        <x:v>17695</x:v>
      </x:c>
      <x:c r="F176" s="8" t="n">
        <x:v>276733062.744141</x:v>
      </x:c>
      <x:c r="G176" s="8" t="n"/>
      <x:c r="H176" s="11" t="n"/>
      <x:c r="I176" s="10" t="n"/>
      <x:c r="J176" s="10" t="n"/>
      <x:c r="K176" s="10" t="n"/>
      <x:c r="L176" s="10" t="n">
        <x:v>0</x:v>
      </x:c>
      <x:c r="M176" s="10" t="n">
        <x:v>11.43495392424202</x:v>
      </x:c>
      <x:c r="N176" s="10" t="n"/>
      <x:c r="O176" s="10" t="n"/>
      <x:c r="P176" s="10" t="n">
        <x:v>11.43495392424202</x:v>
      </x:c>
      <x:c r="Q176" s="10" t="n">
        <x:v>5.089237144087617</x:v>
      </x:c>
      <x:c r="R176" s="10" t="n">
        <x:v>0</x:v>
      </x:c>
      <x:c r="S176" s="10" t="n">
        <x:v>6.145867257872609</x:v>
      </x:c>
      <x:c r="T176" s="10" t="n">
        <x:v>7.913663033435651</x:v>
      </x:c>
      <x:c r="U176" s="10" t="n">
        <x:v>7.02976514565413</x:v>
      </x:c>
      <x:c r="V176" s="10" t="n">
        <x:v>50</x:v>
      </x:c>
      <x:c r="W176" s="7" t="n">
        <x:v>218</x:v>
      </x:c>
      <x:c r="X176" s="7" t="n">
        <x:v>218</x:v>
      </x:c>
      <x:c r="Y176" s="7" t="n">
        <x:v>218</x:v>
      </x:c>
    </x:row>
    <x:row r="177">
      <x:c r="A177" t="inlineStr">
        <x:is>
          <x:t xml:space="preserve">PAN</x:t>
        </x:is>
      </x:c>
      <x:c r="B177" t="inlineStr">
        <x:is>
          <x:t xml:space="preserve">Panama</x:t>
        </x:is>
      </x:c>
      <x:c r="C177" t="inlineStr">
        <x:is>
          <x:t xml:space="preserve">Latin America &amp; Caribbean</x:t>
        </x:is>
      </x:c>
      <x:c r="D177" t="inlineStr">
        <x:is>
          <x:t xml:space="preserve">North America</x:t>
        </x:is>
      </x:c>
      <x:c r="E177" s="11" t="n">
        <x:v>4515577</x:v>
      </x:c>
      <x:c r="F177" s="8" t="n">
        <x:v>86523959131.74719</x:v>
      </x:c>
      <x:c r="G177" s="8" t="n">
        <x:v>0</x:v>
      </x:c>
      <x:c r="H177" s="11" t="n">
        <x:v>45</x:v>
      </x:c>
      <x:c r="I177" s="10" t="n"/>
      <x:c r="J177" s="10" t="n">
        <x:v>36.45122167918993</x:v>
      </x:c>
      <x:c r="K177" s="10" t="n">
        <x:v>65.43777988903155</x:v>
      </x:c>
      <x:c r="L177" s="10" t="n">
        <x:v>30.6703906426435</x:v>
      </x:c>
      <x:c r="M177" s="10" t="n">
        <x:v>45.51528393324674</x:v>
      </x:c>
      <x:c r="N177" s="10" t="n">
        <x:v>19.42815840519538</x:v>
      </x:c>
      <x:c r="O177" s="10" t="n">
        <x:v>65.43777988903155</x:v>
      </x:c>
      <x:c r="P177" s="10" t="n">
        <x:v>38.15255742987137</x:v>
      </x:c>
      <x:c r="Q177" s="10" t="n">
        <x:v>51.57792300585569</x:v>
      </x:c>
      <x:c r="R177" s="10" t="n">
        <x:v>0</x:v>
      </x:c>
      <x:c r="S177" s="10" t="n">
        <x:v>39.06907982823031</x:v>
      </x:c>
      <x:c r="T177" s="10" t="n">
        <x:v>36.7043951168542</x:v>
      </x:c>
      <x:c r="U177" s="10" t="n">
        <x:v>37.88673747254225</x:v>
      </x:c>
      <x:c r="V177" s="10" t="n">
        <x:v>100</x:v>
      </x:c>
      <x:c r="W177" s="7" t="n">
        <x:v>128</x:v>
      </x:c>
      <x:c r="X177" s="7" t="n">
        <x:v>150</x:v>
      </x:c>
      <x:c r="Y177" s="7" t="n">
        <x:v>143</x:v>
      </x:c>
    </x:row>
    <x:row r="178">
      <x:c r="A178" t="inlineStr">
        <x:is>
          <x:t xml:space="preserve">PRY</x:t>
        </x:is>
      </x:c>
      <x:c r="B178" t="inlineStr">
        <x:is>
          <x:t xml:space="preserve">Paraguay</x:t>
        </x:is>
      </x:c>
      <x:c r="C178" t="inlineStr">
        <x:is>
          <x:t xml:space="preserve">Latin America &amp; Caribbean</x:t>
        </x:is>
      </x:c>
      <x:c r="D178" t="inlineStr">
        <x:is>
          <x:t xml:space="preserve">South America</x:t>
        </x:is>
      </x:c>
      <x:c r="E178" s="11" t="n">
        <x:v>6929153</x:v>
      </x:c>
      <x:c r="F178" s="8" t="n">
        <x:v>44458118397.4445</x:v>
      </x:c>
      <x:c r="G178" s="8" t="n">
        <x:v>413971348.08491</x:v>
      </x:c>
      <x:c r="H178" s="11" t="n">
        <x:v>69</x:v>
      </x:c>
      <x:c r="I178" s="10" t="n"/>
      <x:c r="J178" s="10" t="n">
        <x:v>12.70840622554087</x:v>
      </x:c>
      <x:c r="K178" s="10" t="n">
        <x:v>44.67419694115517</x:v>
      </x:c>
      <x:c r="L178" s="10" t="n">
        <x:v>35.38722000510676</x:v>
      </x:c>
      <x:c r="M178" s="10" t="n">
        <x:v>66.42704558116048</x:v>
      </x:c>
      <x:c r="N178" s="10" t="n">
        <x:v>55.74222097713864</x:v>
      </x:c>
      <x:c r="O178" s="10" t="n">
        <x:v>44.67419694115517</x:v>
      </x:c>
      <x:c r="P178" s="10" t="n">
        <x:v>31.98090164421958</x:v>
      </x:c>
      <x:c r="Q178" s="10" t="n">
        <x:v>55.16991977325122</x:v>
      </x:c>
      <x:c r="R178" s="10" t="n">
        <x:v>0</x:v>
      </x:c>
      <x:c r="S178" s="10" t="n">
        <x:v>47.58613658036509</x:v>
      </x:c>
      <x:c r="T178" s="10" t="n">
        <x:v>43.71763284334444</x:v>
      </x:c>
      <x:c r="U178" s="10" t="n">
        <x:v>45.65188471185476</x:v>
      </x:c>
      <x:c r="V178" s="10" t="n">
        <x:v>100</x:v>
      </x:c>
      <x:c r="W178" s="7" t="n">
        <x:v>80</x:v>
      </x:c>
      <x:c r="X178" s="7" t="n">
        <x:v>103</x:v>
      </x:c>
      <x:c r="Y178" s="7" t="n">
        <x:v>90</x:v>
      </x:c>
    </x:row>
    <x:row r="179">
      <x:c r="A179" t="inlineStr">
        <x:is>
          <x:t xml:space="preserve">PER</x:t>
        </x:is>
      </x:c>
      <x:c r="B179" t="inlineStr">
        <x:is>
          <x:t xml:space="preserve">Peru</x:t>
        </x:is>
      </x:c>
      <x:c r="C179" t="inlineStr">
        <x:is>
          <x:t xml:space="preserve">Latin America &amp; Caribbean</x:t>
        </x:is>
      </x:c>
      <x:c r="D179" t="inlineStr">
        <x:is>
          <x:t xml:space="preserve">South America</x:t>
        </x:is>
      </x:c>
      <x:c r="E179" s="11" t="n">
        <x:v>34217848</x:v>
      </x:c>
      <x:c r="F179" s="8" t="n">
        <x:v>289221969062.941</x:v>
      </x:c>
      <x:c r="G179" s="8" t="n">
        <x:v>2565268613.71996</x:v>
      </x:c>
      <x:c r="H179" s="11" t="n">
        <x:v>69</x:v>
      </x:c>
      <x:c r="I179" s="10" t="n"/>
      <x:c r="J179" s="10" t="n">
        <x:v>22.97445198941099</x:v>
      </x:c>
      <x:c r="K179" s="10" t="n">
        <x:v>51.68787367889411</x:v>
      </x:c>
      <x:c r="L179" s="10" t="n">
        <x:v>35.38722000510676</x:v>
      </x:c>
      <x:c r="M179" s="10" t="n">
        <x:v>76.98907483759722</x:v>
      </x:c>
      <x:c r="N179" s="10" t="n">
        <x:v>62.90410618891364</x:v>
      </x:c>
      <x:c r="O179" s="10" t="n">
        <x:v>51.68787367889411</x:v>
      </x:c>
      <x:c r="P179" s="10" t="n">
        <x:v>41.37986365259899</x:v>
      </x:c>
      <x:c r="Q179" s="10" t="n">
        <x:v>68.56644687516787</x:v>
      </x:c>
      <x:c r="R179" s="10" t="n">
        <x:v>0</x:v>
      </x:c>
      <x:c r="S179" s="10" t="n">
        <x:v>53.8543081509727</x:v>
      </x:c>
      <x:c r="T179" s="10" t="n">
        <x:v>52.34135270270491</x:v>
      </x:c>
      <x:c r="U179" s="10" t="n">
        <x:v>53.0978304268388</x:v>
      </x:c>
      <x:c r="V179" s="10" t="n">
        <x:v>100</x:v>
      </x:c>
      <x:c r="W179" s="7" t="n">
        <x:v>51</x:v>
      </x:c>
      <x:c r="X179" s="7" t="n">
        <x:v>47</x:v>
      </x:c>
      <x:c r="Y179" s="7" t="n">
        <x:v>45</x:v>
      </x:c>
    </x:row>
    <x:row r="180">
      <x:c r="A180" t="inlineStr">
        <x:is>
          <x:t xml:space="preserve">POL</x:t>
        </x:is>
      </x:c>
      <x:c r="B180" t="inlineStr">
        <x:is>
          <x:t xml:space="preserve">Poland</x:t>
        </x:is>
      </x:c>
      <x:c r="C180" t="inlineStr">
        <x:is>
          <x:t xml:space="preserve">Europe &amp; Central Asia</x:t>
        </x:is>
      </x:c>
      <x:c r="D180" t="inlineStr">
        <x:is>
          <x:t xml:space="preserve">Europe</x:t>
        </x:is>
      </x:c>
      <x:c r="E180" s="11" t="n">
        <x:v>36559233</x:v>
      </x:c>
      <x:c r="F180" s="8" t="n">
        <x:v>917767106146.762</x:v>
      </x:c>
      <x:c r="G180" s="8" t="n">
        <x:v>38000728652.37</x:v>
      </x:c>
      <x:c r="H180" s="11" t="n">
        <x:v>45</x:v>
      </x:c>
      <x:c r="I180" s="10" t="n">
        <x:v>17.1</x:v>
      </x:c>
      <x:c r="J180" s="10" t="n">
        <x:v>6.602238187914376</x:v>
      </x:c>
      <x:c r="K180" s="10" t="n">
        <x:v>72.50045307592646</x:v>
      </x:c>
      <x:c r="L180" s="10" t="n">
        <x:v>34.51834799771368</x:v>
      </x:c>
      <x:c r="M180" s="10" t="n">
        <x:v>81.92333186595809</x:v>
      </x:c>
      <x:c r="N180" s="10" t="n">
        <x:v>72.42646496587412</x:v>
      </x:c>
      <x:c r="O180" s="10" t="n">
        <x:v>72.50045307592646</x:v>
      </x:c>
      <x:c r="P180" s="10" t="n">
        <x:v>49.52385426652233</x:v>
      </x:c>
      <x:c r="Q180" s="10" t="n">
        <x:v>69.12165184636919</x:v>
      </x:c>
      <x:c r="R180" s="10" t="n">
        <x:v>0</x:v>
      </x:c>
      <x:c r="S180" s="10" t="n">
        <x:v>61.27102637707159</x:v>
      </x:c>
      <x:c r="T180" s="10" t="n">
        <x:v>56.32044790755477</x:v>
      </x:c>
      <x:c r="U180" s="10" t="n">
        <x:v>58.79573714231319</x:v>
      </x:c>
      <x:c r="V180" s="10" t="n">
        <x:v>100</x:v>
      </x:c>
      <x:c r="W180" s="7" t="n">
        <x:v>25</x:v>
      </x:c>
      <x:c r="X180" s="7" t="n">
        <x:v>23</x:v>
      </x:c>
      <x:c r="Y180" s="7" t="n">
        <x:v>24</x:v>
      </x:c>
    </x:row>
    <x:row r="181">
      <x:c r="A181" t="inlineStr">
        <x:is>
          <x:t xml:space="preserve">SMR</x:t>
        </x:is>
      </x:c>
      <x:c r="B181" t="inlineStr">
        <x:is>
          <x:t xml:space="preserve">San Marino</x:t>
        </x:is>
      </x:c>
      <x:c r="C181" t="inlineStr">
        <x:is>
          <x:t xml:space="preserve">Europe &amp; Central Asia</x:t>
        </x:is>
      </x:c>
      <x:c r="E181" s="11" t="n">
        <x:v>33977</x:v>
      </x:c>
      <x:c r="F181" s="8" t="n">
        <x:v>2027527227.831</x:v>
      </x:c>
      <x:c r="G181" s="8" t="n"/>
      <x:c r="H181" s="11" t="n"/>
      <x:c r="I181" s="10" t="n"/>
      <x:c r="J181" s="10" t="n"/>
      <x:c r="K181" s="10" t="n"/>
      <x:c r="L181" s="10" t="n">
        <x:v>0</x:v>
      </x:c>
      <x:c r="M181" s="10" t="n">
        <x:v>26.70436786337394</x:v>
      </x:c>
      <x:c r="N181" s="10" t="n"/>
      <x:c r="O181" s="10" t="n"/>
      <x:c r="P181" s="10" t="n">
        <x:v>26.70436786337394</x:v>
      </x:c>
      <x:c r="Q181" s="10" t="n">
        <x:v>10.56168639143466</x:v>
      </x:c>
      <x:c r="R181" s="10" t="n">
        <x:v>0</x:v>
      </x:c>
      <x:c r="S181" s="10" t="n">
        <x:v>14.16012828325818</x:v>
      </x:c>
      <x:c r="T181" s="10" t="n">
        <x:v>18.18023700822884</x:v>
      </x:c>
      <x:c r="U181" s="10" t="n">
        <x:v>16.17018264574351</x:v>
      </x:c>
      <x:c r="V181" s="10" t="n">
        <x:v>50</x:v>
      </x:c>
      <x:c r="W181" s="7" t="n">
        <x:v>203</x:v>
      </x:c>
      <x:c r="X181" s="7" t="n">
        <x:v>203</x:v>
      </x:c>
      <x:c r="Y181" s="7" t="n">
        <x:v>203</x:v>
      </x:c>
    </x:row>
    <x:row r="182">
      <x:c r="A182" t="inlineStr">
        <x:is>
          <x:t xml:space="preserve">SEN</x:t>
        </x:is>
      </x:c>
      <x:c r="B182" t="inlineStr">
        <x:is>
          <x:t xml:space="preserve">Senegal</x:t>
        </x:is>
      </x:c>
      <x:c r="C182" t="inlineStr">
        <x:is>
          <x:t xml:space="preserve">Sub-Saharan Africa</x:t>
        </x:is>
      </x:c>
      <x:c r="D182" t="inlineStr">
        <x:is>
          <x:t xml:space="preserve">Africa</x:t>
        </x:is>
      </x:c>
      <x:c r="E182" s="11" t="n">
        <x:v>18501984</x:v>
      </x:c>
      <x:c r="F182" s="8" t="n">
        <x:v>32808056600.9436</x:v>
      </x:c>
      <x:c r="G182" s="8" t="n">
        <x:v>514941285.308382</x:v>
      </x:c>
      <x:c r="H182" s="11" t="n">
        <x:v>4</x:v>
      </x:c>
      <x:c r="I182" s="10" t="n"/>
      <x:c r="J182" s="10" t="n">
        <x:v>21.96663555031201</x:v>
      </x:c>
      <x:c r="K182" s="10" t="n">
        <x:v>35.5578163827424</x:v>
      </x:c>
      <x:c r="L182" s="10" t="n">
        <x:v>5.738847760374249</x:v>
      </x:c>
      <x:c r="M182" s="10" t="n">
        <x:v>64.71135984865595</x:v>
      </x:c>
      <x:c r="N182" s="10" t="n">
        <x:v>55.47986299047254</x:v>
      </x:c>
      <x:c r="O182" s="10" t="n">
        <x:v>35.5578163827424</x:v>
      </x:c>
      <x:c r="P182" s="10" t="n">
        <x:v>29.25808977051179</x:v>
      </x:c>
      <x:c r="Q182" s="10" t="n">
        <x:v>63.40861065264249</x:v>
      </x:c>
      <x:c r="R182" s="10" t="n">
        <x:v>0</x:v>
      </x:c>
      <x:c r="S182" s="10" t="n">
        <x:v>39.97968129523516</x:v>
      </x:c>
      <x:c r="T182" s="10" t="n">
        <x:v>44.22178641533121</x:v>
      </x:c>
      <x:c r="U182" s="10" t="n">
        <x:v>42.10073385528318</x:v>
      </x:c>
      <x:c r="V182" s="10" t="n">
        <x:v>100</x:v>
      </x:c>
      <x:c r="W182" s="7" t="n">
        <x:v>118</x:v>
      </x:c>
      <x:c r="X182" s="7" t="n">
        <x:v>98</x:v>
      </x:c>
      <x:c r="Y182" s="7" t="n">
        <x:v>112</x:v>
      </x:c>
    </x:row>
    <x:row r="183">
      <x:c r="A183" t="inlineStr">
        <x:is>
          <x:t xml:space="preserve">SRB</x:t>
        </x:is>
      </x:c>
      <x:c r="B183" t="inlineStr">
        <x:is>
          <x:t xml:space="preserve">Serbia</x:t>
        </x:is>
      </x:c>
      <x:c r="C183" t="inlineStr">
        <x:is>
          <x:t xml:space="preserve">Europe &amp; Central Asia</x:t>
        </x:is>
      </x:c>
      <x:c r="D183" t="inlineStr">
        <x:is>
          <x:t xml:space="preserve">Europe</x:t>
        </x:is>
      </x:c>
      <x:c r="E183" s="11" t="n">
        <x:v>6586476</x:v>
      </x:c>
      <x:c r="F183" s="8" t="n">
        <x:v>90097765959.1114</x:v>
      </x:c>
      <x:c r="G183" s="8" t="n">
        <x:v>2322830101.6066</x:v>
      </x:c>
      <x:c r="H183" s="11" t="n">
        <x:v>29</x:v>
      </x:c>
      <x:c r="I183" s="10" t="n"/>
      <x:c r="J183" s="10" t="n">
        <x:v>19.04549522074833</x:v>
      </x:c>
      <x:c r="K183" s="10" t="n">
        <x:v>61.24485481639158</x:v>
      </x:c>
      <x:c r="L183" s="10" t="n">
        <x:v>25.86828986099066</x:v>
      </x:c>
      <x:c r="M183" s="10" t="n">
        <x:v>69.48543115241654</x:v>
      </x:c>
      <x:c r="N183" s="10" t="n">
        <x:v>60.4231272846357</x:v>
      </x:c>
      <x:c r="O183" s="10" t="n">
        <x:v>61.24485481639158</x:v>
      </x:c>
      <x:c r="P183" s="10" t="n">
        <x:v>36.23367020432951</x:v>
      </x:c>
      <x:c r="Q183" s="10" t="n">
        <x:v>54.74446207207292</x:v>
      </x:c>
      <x:c r="R183" s="10" t="n">
        <x:v>0</x:v>
      </x:c>
      <x:c r="S183" s="10" t="n">
        <x:v>49.989919617232</x:v>
      </x:c>
      <x:c r="T183" s="10" t="n">
        <x:v>49.12966052161144</x:v>
      </x:c>
      <x:c r="U183" s="10" t="n">
        <x:v>49.55979006942172</x:v>
      </x:c>
      <x:c r="V183" s="10" t="n">
        <x:v>100</x:v>
      </x:c>
      <x:c r="W183" s="7" t="n">
        <x:v>69</x:v>
      </x:c>
      <x:c r="X183" s="7" t="n">
        <x:v>60</x:v>
      </x:c>
      <x:c r="Y183" s="7" t="n">
        <x:v>63</x:v>
      </x:c>
    </x:row>
    <x:row r="184">
      <x:c r="A184" t="inlineStr">
        <x:is>
          <x:t xml:space="preserve">SYC</x:t>
        </x:is>
      </x:c>
      <x:c r="B184" t="inlineStr">
        <x:is>
          <x:t xml:space="preserve">Seychelles</x:t>
        </x:is>
      </x:c>
      <x:c r="C184" t="inlineStr">
        <x:is>
          <x:t xml:space="preserve">Sub-Saharan Africa</x:t>
        </x:is>
      </x:c>
      <x:c r="E184" s="11" t="n">
        <x:v>121354</x:v>
      </x:c>
      <x:c r="F184" s="8" t="n">
        <x:v>2167239562.46013</x:v>
      </x:c>
      <x:c r="G184" s="8" t="n">
        <x:v>26860869.6918082</x:v>
      </x:c>
      <x:c r="H184" s="11" t="n"/>
      <x:c r="I184" s="10" t="n"/>
      <x:c r="J184" s="10" t="n"/>
      <x:c r="K184" s="10" t="n"/>
      <x:c r="L184" s="10" t="n">
        <x:v>0</x:v>
      </x:c>
      <x:c r="M184" s="10" t="n">
        <x:v>22.65690528988676</x:v>
      </x:c>
      <x:c r="N184" s="10" t="n">
        <x:v>38.69710759415238</x:v>
      </x:c>
      <x:c r="O184" s="10" t="n"/>
      <x:c r="P184" s="10" t="n">
        <x:v>27.21529096462411</x:v>
      </x:c>
      <x:c r="Q184" s="10" t="n">
        <x:v>21.24031367191503</x:v>
      </x:c>
      <x:c r="R184" s="10" t="n">
        <x:v>0</x:v>
      </x:c>
      <x:c r="S184" s="10" t="n">
        <x:v>20.68836454388996</x:v>
      </x:c>
      <x:c r="T184" s="10" t="n">
        <x:v>26.98339779926932</x:v>
      </x:c>
      <x:c r="U184" s="10" t="n">
        <x:v>23.83588117157964</x:v>
      </x:c>
      <x:c r="V184" s="10" t="n">
        <x:v>75</x:v>
      </x:c>
      <x:c r="W184" s="7" t="n">
        <x:v>185</x:v>
      </x:c>
      <x:c r="X184" s="7" t="n">
        <x:v>181</x:v>
      </x:c>
      <x:c r="Y184" s="7" t="n">
        <x:v>183</x:v>
      </x:c>
    </x:row>
    <x:row r="185">
      <x:c r="A185" t="inlineStr">
        <x:is>
          <x:t xml:space="preserve">SLE</x:t>
        </x:is>
      </x:c>
      <x:c r="B185" t="inlineStr">
        <x:is>
          <x:t xml:space="preserve">Sierra Leone</x:t>
        </x:is>
      </x:c>
      <x:c r="C185" t="inlineStr">
        <x:is>
          <x:t xml:space="preserve">Sub-Saharan Africa</x:t>
        </x:is>
      </x:c>
      <x:c r="D185" t="inlineStr">
        <x:is>
          <x:t xml:space="preserve">Africa</x:t>
        </x:is>
      </x:c>
      <x:c r="E185" s="11" t="n">
        <x:v>8642022</x:v>
      </x:c>
      <x:c r="F185" s="8" t="n">
        <x:v>6971127235.3123</x:v>
      </x:c>
      <x:c r="G185" s="8" t="n">
        <x:v>36447048.8625476</x:v>
      </x:c>
      <x:c r="H185" s="11" t="n">
        <x:v>10</x:v>
      </x:c>
      <x:c r="I185" s="10" t="n"/>
      <x:c r="J185" s="10" t="n">
        <x:v>2.684712660998795</x:v>
      </x:c>
      <x:c r="K185" s="10" t="n">
        <x:v>29.4142535777282</x:v>
      </x:c>
      <x:c r="L185" s="10" t="n">
        <x:v>14.59673692286057</x:v>
      </x:c>
      <x:c r="M185" s="10" t="n">
        <x:v>57.22168451392495</x:v>
      </x:c>
      <x:c r="N185" s="10" t="n">
        <x:v>48.4770273848661</x:v>
      </x:c>
      <x:c r="O185" s="10" t="n">
        <x:v>29.4142535777282</x:v>
      </x:c>
      <x:c r="P185" s="10" t="n">
        <x:v>21.93579477228874</x:v>
      </x:c>
      <x:c r="Q185" s="10" t="n">
        <x:v>57.02293236855061</x:v>
      </x:c>
      <x:c r="R185" s="10" t="n">
        <x:v>0</x:v>
      </x:c>
      <x:c r="S185" s="10" t="n">
        <x:v>37.32877498950108</x:v>
      </x:c>
      <x:c r="T185" s="10" t="n">
        <x:v>35.7832511278013</x:v>
      </x:c>
      <x:c r="U185" s="10" t="n">
        <x:v>36.55601305865119</x:v>
      </x:c>
      <x:c r="V185" s="10" t="n">
        <x:v>100</x:v>
      </x:c>
      <x:c r="W185" s="7" t="n">
        <x:v>140</x:v>
      </x:c>
      <x:c r="X185" s="7" t="n">
        <x:v>154</x:v>
      </x:c>
      <x:c r="Y185" s="7" t="n">
        <x:v>152</x:v>
      </x:c>
    </x:row>
    <x:row r="186">
      <x:c r="A186" t="inlineStr">
        <x:is>
          <x:t xml:space="preserve">SGP</x:t>
        </x:is>
      </x:c>
      <x:c r="B186" t="inlineStr">
        <x:is>
          <x:t xml:space="preserve">Singapore</x:t>
        </x:is>
      </x:c>
      <x:c r="C186" t="inlineStr">
        <x:is>
          <x:t xml:space="preserve">East Asia &amp; Pacific</x:t>
        </x:is>
      </x:c>
      <x:c r="E186" s="11" t="n">
        <x:v>6036860</x:v>
      </x:c>
      <x:c r="F186" s="8" t="n">
        <x:v>547386645891.847</x:v>
      </x:c>
      <x:c r="G186" s="8" t="n">
        <x:v>15061025802.2031</x:v>
      </x:c>
      <x:c r="H186" s="11" t="n">
        <x:v>43</x:v>
      </x:c>
      <x:c r="I186" s="10" t="n">
        <x:v>43.2</x:v>
      </x:c>
      <x:c r="J186" s="10" t="n"/>
      <x:c r="K186" s="10" t="n"/>
      <x:c r="L186" s="10" t="n">
        <x:v>45.99037760639762</x:v>
      </x:c>
      <x:c r="M186" s="10" t="n">
        <x:v>75.90989336286316</x:v>
      </x:c>
      <x:c r="N186" s="10" t="n">
        <x:v>69.37484484300761</x:v>
      </x:c>
      <x:c r="O186" s="10" t="n"/>
      <x:c r="P186" s="10" t="n">
        <x:v>36.911225141537</x:v>
      </x:c>
      <x:c r="Q186" s="10" t="n">
        <x:v>54.01353426059228</x:v>
      </x:c>
      <x:c r="R186" s="10" t="n">
        <x:v>0</x:v>
      </x:c>
      <x:c r="S186" s="10" t="n">
        <x:v>52.85006610786218</x:v>
      </x:c>
      <x:c r="T186" s="10" t="n">
        <x:v>40.38162137197047</x:v>
      </x:c>
      <x:c r="U186" s="10" t="n">
        <x:v>46.61584373991633</x:v>
      </x:c>
      <x:c r="V186" s="10" t="n">
        <x:v>75</x:v>
      </x:c>
      <x:c r="W186" s="7" t="n">
        <x:v>54</x:v>
      </x:c>
      <x:c r="X186" s="7" t="n">
        <x:v>136</x:v>
      </x:c>
      <x:c r="Y186" s="7" t="n">
        <x:v>80</x:v>
      </x:c>
    </x:row>
    <x:row r="187">
      <x:c r="A187" t="inlineStr">
        <x:is>
          <x:t xml:space="preserve">SVN</x:t>
        </x:is>
      </x:c>
      <x:c r="B187" t="inlineStr">
        <x:is>
          <x:t xml:space="preserve">Slovenia</x:t>
        </x:is>
      </x:c>
      <x:c r="C187" t="inlineStr">
        <x:is>
          <x:t xml:space="preserve">Europe &amp; Central Asia</x:t>
        </x:is>
      </x:c>
      <x:c r="D187" t="inlineStr">
        <x:is>
          <x:t xml:space="preserve">Europe</x:t>
        </x:is>
      </x:c>
      <x:c r="E187" s="11" t="n">
        <x:v>2127400</x:v>
      </x:c>
      <x:c r="F187" s="8" t="n">
        <x:v>72972015197.38589</x:v>
      </x:c>
      <x:c r="G187" s="8" t="n">
        <x:v>951904999.881012</x:v>
      </x:c>
      <x:c r="H187" s="11" t="n">
        <x:v>2</x:v>
      </x:c>
      <x:c r="I187" s="10" t="n"/>
      <x:c r="J187" s="10" t="n">
        <x:v>14.6361487156168</x:v>
      </x:c>
      <x:c r="K187" s="10" t="n">
        <x:v>74.8300619341136</x:v>
      </x:c>
      <x:c r="L187" s="10" t="n">
        <x:v>0</x:v>
      </x:c>
      <x:c r="M187" s="10" t="n">
        <x:v>62.51239871774687</x:v>
      </x:c>
      <x:c r="N187" s="10" t="n">
        <x:v>56.84342976189784</x:v>
      </x:c>
      <x:c r="O187" s="10" t="n">
        <x:v>74.8300619341136</x:v>
      </x:c>
      <x:c r="P187" s="10" t="n">
        <x:v>39.34390389921512</x:v>
      </x:c>
      <x:c r="Q187" s="10" t="n">
        <x:v>45.26446284933513</x:v>
      </x:c>
      <x:c r="R187" s="10" t="n">
        <x:v>0</x:v>
      </x:c>
      <x:c r="S187" s="10" t="n">
        <x:v>44.84789209198467</x:v>
      </x:c>
      <x:c r="T187" s="10" t="n">
        <x:v>47.62182914035379</x:v>
      </x:c>
      <x:c r="U187" s="10" t="n">
        <x:v>46.23486061616923</x:v>
      </x:c>
      <x:c r="V187" s="10" t="n">
        <x:v>100</x:v>
      </x:c>
      <x:c r="W187" s="7" t="n">
        <x:v>95</x:v>
      </x:c>
      <x:c r="X187" s="7" t="n">
        <x:v>71</x:v>
      </x:c>
      <x:c r="Y187" s="7" t="n">
        <x:v>85</x:v>
      </x:c>
    </x:row>
    <x:row r="188">
      <x:c r="A188" t="inlineStr">
        <x:is>
          <x:t xml:space="preserve">ZAF</x:t>
        </x:is>
      </x:c>
      <x:c r="B188" t="inlineStr">
        <x:is>
          <x:t xml:space="preserve">South Africa</x:t>
        </x:is>
      </x:c>
      <x:c r="C188" t="inlineStr">
        <x:is>
          <x:t xml:space="preserve">Sub-Saharan Africa</x:t>
        </x:is>
      </x:c>
      <x:c r="D188" t="inlineStr">
        <x:is>
          <x:t xml:space="preserve">Africa</x:t>
        </x:is>
      </x:c>
      <x:c r="E188" s="11" t="n">
        <x:v>64007187</x:v>
      </x:c>
      <x:c r="F188" s="8" t="n">
        <x:v>401144998373.585</x:v>
      </x:c>
      <x:c r="G188" s="8" t="n">
        <x:v>2835956043.23652</x:v>
      </x:c>
      <x:c r="H188" s="11" t="n">
        <x:v>47</x:v>
      </x:c>
      <x:c r="I188" s="10" t="n">
        <x:v>13.7</x:v>
      </x:c>
      <x:c r="J188" s="10" t="n">
        <x:v>17.57355576230023</x:v>
      </x:c>
      <x:c r="K188" s="10" t="n">
        <x:v>55.88121311363091</x:v>
      </x:c>
      <x:c r="L188" s="10" t="n">
        <x:v>31.98956495767225</x:v>
      </x:c>
      <x:c r="M188" s="10" t="n">
        <x:v>75.29803465420319</x:v>
      </x:c>
      <x:c r="N188" s="10" t="n">
        <x:v>62.15230123561828</x:v>
      </x:c>
      <x:c r="O188" s="10" t="n">
        <x:v>55.88121311363091</x:v>
      </x:c>
      <x:c r="P188" s="10" t="n">
        <x:v>42.93569525592989</x:v>
      </x:c>
      <x:c r="Q188" s="10" t="n">
        <x:v>73.81973253275275</x:v>
      </x:c>
      <x:c r="R188" s="10" t="n">
        <x:v>0</x:v>
      </x:c>
      <x:c r="S188" s="10" t="n">
        <x:v>54.26809551416875</x:v>
      </x:c>
      <x:c r="T188" s="10" t="n">
        <x:v>52.64495542892179</x:v>
      </x:c>
      <x:c r="U188" s="10" t="n">
        <x:v>53.45652547154527</x:v>
      </x:c>
      <x:c r="V188" s="10" t="n">
        <x:v>100</x:v>
      </x:c>
      <x:c r="W188" s="7" t="n">
        <x:v>49</x:v>
      </x:c>
      <x:c r="X188" s="7" t="n">
        <x:v>42</x:v>
      </x:c>
      <x:c r="Y188" s="7" t="n">
        <x:v>44</x:v>
      </x:c>
    </x:row>
    <x:row r="189">
      <x:c r="A189" t="inlineStr">
        <x:is>
          <x:t xml:space="preserve">SSD</x:t>
        </x:is>
      </x:c>
      <x:c r="B189" t="inlineStr">
        <x:is>
          <x:t xml:space="preserve">South Sudan</x:t>
        </x:is>
      </x:c>
      <x:c r="C189" t="inlineStr">
        <x:is>
          <x:t xml:space="preserve">Sub-Saharan Africa</x:t>
        </x:is>
      </x:c>
      <x:c r="D189" t="inlineStr">
        <x:is>
          <x:t xml:space="preserve">Africa</x:t>
        </x:is>
      </x:c>
      <x:c r="E189" s="11" t="n">
        <x:v>11943408</x:v>
      </x:c>
      <x:c r="F189" s="8" t="n">
        <x:v>11997800760.2242</x:v>
      </x:c>
      <x:c r="G189" s="8" t="n">
        <x:v>2027890373.09995</x:v>
      </x:c>
      <x:c r="H189" s="11" t="n"/>
      <x:c r="I189" s="10" t="n"/>
      <x:c r="J189" s="10" t="n">
        <x:v>16.57427036430024</x:v>
      </x:c>
      <x:c r="K189" s="10" t="n">
        <x:v>20.01756791374908</x:v>
      </x:c>
      <x:c r="L189" s="10" t="n">
        <x:v>0</x:v>
      </x:c>
      <x:c r="M189" s="10" t="n">
        <x:v>68.9322208225696</x:v>
      </x:c>
      <x:c r="N189" s="10" t="n">
        <x:v>60.52540112427536</x:v>
      </x:c>
      <x:c r="O189" s="10" t="n">
        <x:v>20.01756791374908</x:v>
      </x:c>
      <x:c r="P189" s="10" t="n">
        <x:v>24.40876911562484</x:v>
      </x:c>
      <x:c r="Q189" s="10" t="n">
        <x:v>59.73697411915588</x:v>
      </x:c>
      <x:c r="R189" s="10" t="n">
        <x:v>0</x:v>
      </x:c>
      <x:c r="S189" s="10" t="n">
        <x:v>37.28702748659181</x:v>
      </x:c>
      <x:c r="T189" s="10" t="n">
        <x:v>41.64339245855904</x:v>
      </x:c>
      <x:c r="U189" s="10" t="n">
        <x:v>39.46520997257542</x:v>
      </x:c>
      <x:c r="V189" s="10" t="n">
        <x:v>100</x:v>
      </x:c>
      <x:c r="W189" s="7" t="n">
        <x:v>141</x:v>
      </x:c>
      <x:c r="X189" s="7" t="n">
        <x:v>122</x:v>
      </x:c>
      <x:c r="Y189" s="7" t="n">
        <x:v>134</x:v>
      </x:c>
    </x:row>
    <x:row r="190">
      <x:c r="A190" t="inlineStr">
        <x:is>
          <x:t xml:space="preserve">SUR</x:t>
        </x:is>
      </x:c>
      <x:c r="B190" t="inlineStr">
        <x:is>
          <x:t xml:space="preserve">Suriname</x:t>
        </x:is>
      </x:c>
      <x:c r="C190" t="inlineStr">
        <x:is>
          <x:t xml:space="preserve">Latin America &amp; Caribbean</x:t>
        </x:is>
      </x:c>
      <x:c r="D190" t="inlineStr">
        <x:is>
          <x:t xml:space="preserve">South America</x:t>
        </x:is>
      </x:c>
      <x:c r="E190" s="11" t="n">
        <x:v>634431</x:v>
      </x:c>
      <x:c r="F190" s="8" t="n">
        <x:v>4416775112.09627</x:v>
      </x:c>
      <x:c r="G190" s="8" t="n"/>
      <x:c r="H190" s="11" t="n">
        <x:v>16</x:v>
      </x:c>
      <x:c r="I190" s="10" t="n"/>
      <x:c r="J190" s="10" t="n">
        <x:v>8.325653507434103</x:v>
      </x:c>
      <x:c r="K190" s="10" t="n">
        <x:v>43.08018072713134</x:v>
      </x:c>
      <x:c r="L190" s="10" t="n">
        <x:v>19.48729844142872</x:v>
      </x:c>
      <x:c r="M190" s="10" t="n">
        <x:v>45.84319147363403</x:v>
      </x:c>
      <x:c r="N190" s="10" t="n">
        <x:v>44.97573632600538</x:v>
      </x:c>
      <x:c r="O190" s="10" t="n">
        <x:v>43.08018072713134</x:v>
      </x:c>
      <x:c r="P190" s="10" t="n">
        <x:v>22.38624051472731</x:v>
      </x:c>
      <x:c r="Q190" s="10" t="n">
        <x:v>35.11498815744986</x:v>
      </x:c>
      <x:c r="R190" s="10" t="n">
        <x:v>0</x:v>
      </x:c>
      <x:c r="S190" s="10" t="n">
        <x:v>35.88710741709504</x:v>
      </x:c>
      <x:c r="T190" s="10" t="n">
        <x:v>29.00422445636051</x:v>
      </x:c>
      <x:c r="U190" s="10" t="n">
        <x:v>32.44566593672778</x:v>
      </x:c>
      <x:c r="V190" s="10" t="n">
        <x:v>88</x:v>
      </x:c>
      <x:c r="W190" s="7" t="n">
        <x:v>147</x:v>
      </x:c>
      <x:c r="X190" s="7" t="n">
        <x:v>177</x:v>
      </x:c>
      <x:c r="Y190" s="7" t="n">
        <x:v>169</x:v>
      </x:c>
    </x:row>
    <x:row r="191">
      <x:c r="A191" t="inlineStr">
        <x:is>
          <x:t xml:space="preserve">TJK</x:t>
        </x:is>
      </x:c>
      <x:c r="B191" t="inlineStr">
        <x:is>
          <x:t xml:space="preserve">Tajikistan</x:t>
        </x:is>
      </x:c>
      <x:c r="C191" t="inlineStr">
        <x:is>
          <x:t xml:space="preserve">Europe &amp; Central Asia</x:t>
        </x:is>
      </x:c>
      <x:c r="D191" t="inlineStr">
        <x:is>
          <x:t xml:space="preserve">Asia</x:t>
        </x:is>
      </x:c>
      <x:c r="E191" s="11" t="n">
        <x:v>10590927</x:v>
      </x:c>
      <x:c r="F191" s="8" t="n">
        <x:v>14204575548.5536</x:v>
      </x:c>
      <x:c r="G191" s="8" t="n">
        <x:v>246393473.020582</x:v>
      </x:c>
      <x:c r="H191" s="11" t="n"/>
      <x:c r="I191" s="10" t="n"/>
      <x:c r="J191" s="10" t="n">
        <x:v>31.20171714417638</x:v>
      </x:c>
      <x:c r="K191" s="10" t="n">
        <x:v>36.00586774397149</x:v>
      </x:c>
      <x:c r="L191" s="10" t="n">
        <x:v>0</x:v>
      </x:c>
      <x:c r="M191" s="10" t="n">
        <x:v>62.5265276301809</x:v>
      </x:c>
      <x:c r="N191" s="10" t="n">
        <x:v>53.60625626013607</x:v>
      </x:c>
      <x:c r="O191" s="10" t="n">
        <x:v>36.00586774397149</x:v>
      </x:c>
      <x:c r="P191" s="10" t="n">
        <x:v>25.47528125280856</x:v>
      </x:c>
      <x:c r="Q191" s="10" t="n">
        <x:v>58.72882829530776</x:v>
      </x:c>
      <x:c r="R191" s="10" t="n">
        <x:v>0</x:v>
      </x:c>
      <x:c r="S191" s="10" t="n">
        <x:v>36.95883330982465</x:v>
      </x:c>
      <x:c r="T191" s="10" t="n">
        <x:v>43.87730367023387</x:v>
      </x:c>
      <x:c r="U191" s="10" t="n">
        <x:v>40.41806849002926</x:v>
      </x:c>
      <x:c r="V191" s="10" t="n">
        <x:v>100</x:v>
      </x:c>
      <x:c r="W191" s="7" t="n">
        <x:v>143</x:v>
      </x:c>
      <x:c r="X191" s="7" t="n">
        <x:v>102</x:v>
      </x:c>
      <x:c r="Y191" s="7" t="n">
        <x:v>123</x:v>
      </x:c>
    </x:row>
    <x:row r="192">
      <x:c r="A192" t="inlineStr">
        <x:is>
          <x:t xml:space="preserve">TTO</x:t>
        </x:is>
      </x:c>
      <x:c r="B192" t="inlineStr">
        <x:is>
          <x:t xml:space="preserve">Trinidad and Tobago</x:t>
        </x:is>
      </x:c>
      <x:c r="C192" t="inlineStr">
        <x:is>
          <x:t xml:space="preserve">Latin America &amp; Caribbean</x:t>
        </x:is>
      </x:c>
      <x:c r="D192" t="inlineStr">
        <x:is>
          <x:t xml:space="preserve">North America</x:t>
        </x:is>
      </x:c>
      <x:c r="E192" s="11" t="n">
        <x:v>1368333</x:v>
      </x:c>
      <x:c r="F192" s="8" t="n">
        <x:v>25633544529.4849</x:v>
      </x:c>
      <x:c r="G192" s="8" t="n">
        <x:v>234544782.155796</x:v>
      </x:c>
      <x:c r="H192" s="11" t="n"/>
      <x:c r="I192" s="10" t="n"/>
      <x:c r="J192" s="10" t="n">
        <x:v>6.061602720973996</x:v>
      </x:c>
      <x:c r="K192" s="10" t="n">
        <x:v>77.92326913307537</x:v>
      </x:c>
      <x:c r="L192" s="10" t="n">
        <x:v>0</x:v>
      </x:c>
      <x:c r="M192" s="10" t="n">
        <x:v>58.51270909049073</x:v>
      </x:c>
      <x:c r="N192" s="10" t="n">
        <x:v>51.50764482731344</x:v>
      </x:c>
      <x:c r="O192" s="10" t="n">
        <x:v>77.92326913307537</x:v>
      </x:c>
      <x:c r="P192" s="10" t="n">
        <x:v>34.75331218292371</x:v>
      </x:c>
      <x:c r="Q192" s="10" t="n">
        <x:v>41.56255504634397</x:v>
      </x:c>
      <x:c r="R192" s="10" t="n">
        <x:v>0</x:v>
      </x:c>
      <x:c r="S192" s="10" t="n">
        <x:v>42.98440756027201</x:v>
      </x:c>
      <x:c r="T192" s="10" t="n">
        <x:v>44.26007844281862</x:v>
      </x:c>
      <x:c r="U192" s="10" t="n">
        <x:v>43.62224300154531</x:v>
      </x:c>
      <x:c r="V192" s="10" t="n">
        <x:v>100</x:v>
      </x:c>
      <x:c r="W192" s="7" t="n">
        <x:v>107</x:v>
      </x:c>
      <x:c r="X192" s="7" t="n">
        <x:v>97</x:v>
      </x:c>
      <x:c r="Y192" s="7" t="n">
        <x:v>105</x:v>
      </x:c>
    </x:row>
    <x:row r="193">
      <x:c r="A193" t="inlineStr">
        <x:is>
          <x:t xml:space="preserve">TUN</x:t>
        </x:is>
      </x:c>
      <x:c r="B193" t="inlineStr">
        <x:is>
          <x:t xml:space="preserve">Tunisia</x:t>
        </x:is>
      </x:c>
      <x:c r="C193" t="inlineStr">
        <x:is>
          <x:t xml:space="preserve">Middle East &amp; North Africa</x:t>
        </x:is>
      </x:c>
      <x:c r="D193" t="inlineStr">
        <x:is>
          <x:t xml:space="preserve">Africa</x:t>
        </x:is>
      </x:c>
      <x:c r="E193" s="11" t="n">
        <x:v>12277109</x:v>
      </x:c>
      <x:c r="F193" s="8" t="n">
        <x:v>51332285656.5422</x:v>
      </x:c>
      <x:c r="G193" s="8" t="n">
        <x:v>1313683263.15451</x:v>
      </x:c>
      <x:c r="H193" s="11" t="n">
        <x:v>52</x:v>
      </x:c>
      <x:c r="I193" s="10" t="n"/>
      <x:c r="J193" s="10" t="n">
        <x:v>18.07557439480279</x:v>
      </x:c>
      <x:c r="K193" s="10" t="n">
        <x:v>56.49100616376518</x:v>
      </x:c>
      <x:c r="L193" s="10" t="n">
        <x:v>32.26175707921717</x:v>
      </x:c>
      <x:c r="M193" s="10" t="n">
        <x:v>69.75684560769371</x:v>
      </x:c>
      <x:c r="N193" s="10" t="n">
        <x:v>59.26668958352753</x:v>
      </x:c>
      <x:c r="O193" s="10" t="n">
        <x:v>56.49100616376518</x:v>
      </x:c>
      <x:c r="P193" s="10" t="n">
        <x:v>33.07482159934557</x:v>
      </x:c>
      <x:c r="Q193" s="10" t="n">
        <x:v>59.96813599974163</x:v>
      </x:c>
      <x:c r="R193" s="10" t="n">
        <x:v>0</x:v>
      </x:c>
      <x:c r="S193" s="10" t="n">
        <x:v>50.41553543039445</x:v>
      </x:c>
      <x:c r="T193" s="10" t="n">
        <x:v>48.39295454151559</x:v>
      </x:c>
      <x:c r="U193" s="10" t="n">
        <x:v>49.40424498595502</x:v>
      </x:c>
      <x:c r="V193" s="10" t="n">
        <x:v>100</x:v>
      </x:c>
      <x:c r="W193" s="7" t="n">
        <x:v>66</x:v>
      </x:c>
      <x:c r="X193" s="7" t="n">
        <x:v>68</x:v>
      </x:c>
      <x:c r="Y193" s="7" t="n">
        <x:v>66</x:v>
      </x:c>
    </x:row>
    <x:row r="194">
      <x:c r="A194" t="inlineStr">
        <x:is>
          <x:t xml:space="preserve">TUR</x:t>
        </x:is>
      </x:c>
      <x:c r="B194" t="inlineStr">
        <x:is>
          <x:t xml:space="preserve">Türkiye</x:t>
        </x:is>
      </x:c>
      <x:c r="C194" t="inlineStr">
        <x:is>
          <x:t xml:space="preserve">Europe &amp; Central Asia</x:t>
        </x:is>
      </x:c>
      <x:c r="D194" t="inlineStr">
        <x:is>
          <x:t xml:space="preserve">Asia</x:t>
        </x:is>
      </x:c>
      <x:c r="E194" s="11" t="n">
        <x:v>85518661</x:v>
      </x:c>
      <x:c r="F194" s="8" t="n">
        <x:v>1359123768774.12</x:v>
      </x:c>
      <x:c r="G194" s="8" t="n">
        <x:v>24978735534.6038</x:v>
      </x:c>
      <x:c r="H194" s="11" t="n">
        <x:v>186</x:v>
      </x:c>
      <x:c r="I194" s="10" t="n">
        <x:v>80.5</x:v>
      </x:c>
      <x:c r="J194" s="10" t="n">
        <x:v>27.52810325512804</x:v>
      </x:c>
      <x:c r="K194" s="10" t="n">
        <x:v>67.13338186852918</x:v>
      </x:c>
      <x:c r="L194" s="10" t="n">
        <x:v>61.45937243671513</x:v>
      </x:c>
      <x:c r="M194" s="10" t="n">
        <x:v>85.69791898939562</x:v>
      </x:c>
      <x:c r="N194" s="10" t="n">
        <x:v>70.41645917701354</x:v>
      </x:c>
      <x:c r="O194" s="10" t="n">
        <x:v>67.13338186852918</x:v>
      </x:c>
      <x:c r="P194" s="10" t="n">
        <x:v>49.98940810147344</x:v>
      </x:c>
      <x:c r="Q194" s="10" t="n">
        <x:v>76.25021214428935</x:v>
      </x:c>
      <x:c r="R194" s="10" t="n">
        <x:v>0</x:v>
      </x:c>
      <x:c r="S194" s="10" t="n">
        <x:v>66.00770517405195</x:v>
      </x:c>
      <x:c r="T194" s="10" t="n">
        <x:v>60.35213411674975</x:v>
      </x:c>
      <x:c r="U194" s="10" t="n">
        <x:v>63.17991964540085</x:v>
      </x:c>
      <x:c r="V194" s="10" t="n">
        <x:v>100</x:v>
      </x:c>
      <x:c r="W194" s="7" t="n">
        <x:v>13</x:v>
      </x:c>
      <x:c r="X194" s="7" t="n">
        <x:v>12</x:v>
      </x:c>
      <x:c r="Y194" s="7" t="n">
        <x:v>10</x:v>
      </x:c>
    </x:row>
    <x:row r="195">
      <x:c r="A195" t="inlineStr">
        <x:is>
          <x:t xml:space="preserve">UGA</x:t>
        </x:is>
      </x:c>
      <x:c r="B195" t="inlineStr">
        <x:is>
          <x:t xml:space="preserve">Uganda</x:t>
        </x:is>
      </x:c>
      <x:c r="C195" t="inlineStr">
        <x:is>
          <x:t xml:space="preserve">Sub-Saharan Africa</x:t>
        </x:is>
      </x:c>
      <x:c r="D195" t="inlineStr">
        <x:is>
          <x:t xml:space="preserve">Africa</x:t>
        </x:is>
      </x:c>
      <x:c r="E195" s="11" t="n">
        <x:v>50015092</x:v>
      </x:c>
      <x:c r="F195" s="8" t="n">
        <x:v>53911907086.1525</x:v>
      </x:c>
      <x:c r="G195" s="8" t="n">
        <x:v>1116761828.70832</x:v>
      </x:c>
      <x:c r="H195" s="11" t="n"/>
      <x:c r="I195" s="10" t="n"/>
      <x:c r="J195" s="10" t="n">
        <x:v>7.2883671576552</x:v>
      </x:c>
      <x:c r="K195" s="10" t="n">
        <x:v>36.86704668282007</x:v>
      </x:c>
      <x:c r="L195" s="10" t="n">
        <x:v>0</x:v>
      </x:c>
      <x:c r="M195" s="10" t="n">
        <x:v>69.47552969740545</x:v>
      </x:c>
      <x:c r="N195" s="10" t="n">
        <x:v>58.80606891790533</x:v>
      </x:c>
      <x:c r="O195" s="10" t="n">
        <x:v>36.86704668282007</x:v>
      </x:c>
      <x:c r="P195" s="10" t="n">
        <x:v>31.43034457858295</x:v>
      </x:c>
      <x:c r="Q195" s="10" t="n">
        <x:v>71.75053469890496</x:v>
      </x:c>
      <x:c r="R195" s="10" t="n">
        <x:v>0</x:v>
      </x:c>
      <x:c r="S195" s="10" t="n">
        <x:v>41.9623180100747</x:v>
      </x:c>
      <x:c r="T195" s="10" t="n">
        <x:v>44.91593405153898</x:v>
      </x:c>
      <x:c r="U195" s="10" t="n">
        <x:v>43.43912603080684</x:v>
      </x:c>
      <x:c r="V195" s="10" t="n">
        <x:v>100</x:v>
      </x:c>
      <x:c r="W195" s="7" t="n">
        <x:v>110</x:v>
      </x:c>
      <x:c r="X195" s="7" t="n">
        <x:v>86</x:v>
      </x:c>
      <x:c r="Y195" s="7" t="n">
        <x:v>106</x:v>
      </x:c>
    </x:row>
    <x:row r="196">
      <x:c r="A196" t="inlineStr">
        <x:is>
          <x:t xml:space="preserve">UZB</x:t>
        </x:is>
      </x:c>
      <x:c r="B196" t="inlineStr">
        <x:is>
          <x:t xml:space="preserve">Uzbekistan</x:t>
        </x:is>
      </x:c>
      <x:c r="C196" t="inlineStr">
        <x:is>
          <x:t xml:space="preserve">Europe &amp; Central Asia</x:t>
        </x:is>
      </x:c>
      <x:c r="D196" t="inlineStr">
        <x:is>
          <x:t xml:space="preserve">Asia</x:t>
        </x:is>
      </x:c>
      <x:c r="E196" s="11" t="n">
        <x:v>36361859</x:v>
      </x:c>
      <x:c r="F196" s="8" t="n">
        <x:v>114965293466.611</x:v>
      </x:c>
      <x:c r="G196" s="8" t="n">
        <x:v>1440385072.20752</x:v>
      </x:c>
      <x:c r="H196" s="11" t="n"/>
      <x:c r="I196" s="10" t="n"/>
      <x:c r="J196" s="10" t="n">
        <x:v>32.43866868046037</x:v>
      </x:c>
      <x:c r="K196" s="10" t="n">
        <x:v>48.06842397026813</x:v>
      </x:c>
      <x:c r="L196" s="10" t="n">
        <x:v>0</x:v>
      </x:c>
      <x:c r="M196" s="10" t="n">
        <x:v>72.1047526474394</x:v>
      </x:c>
      <x:c r="N196" s="10" t="n">
        <x:v>60.07536494199823</x:v>
      </x:c>
      <x:c r="O196" s="10" t="n">
        <x:v>48.06842397026813</x:v>
      </x:c>
      <x:c r="P196" s="10" t="n">
        <x:v>35.84752822027745</x:v>
      </x:c>
      <x:c r="Q196" s="10" t="n">
        <x:v>69.07624174183617</x:v>
      </x:c>
      <x:c r="R196" s="10" t="n">
        <x:v>0</x:v>
      </x:c>
      <x:c r="S196" s="10" t="n">
        <x:v>43.88050342378345</x:v>
      </x:c>
      <x:c r="T196" s="10" t="n">
        <x:v>51.34351654098624</x:v>
      </x:c>
      <x:c r="U196" s="10" t="n">
        <x:v>47.61200998238485</x:v>
      </x:c>
      <x:c r="V196" s="10" t="n">
        <x:v>100</x:v>
      </x:c>
      <x:c r="W196" s="7" t="n">
        <x:v>102</x:v>
      </x:c>
      <x:c r="X196" s="7" t="n">
        <x:v>55</x:v>
      </x:c>
      <x:c r="Y196" s="7" t="n">
        <x:v>76</x:v>
      </x:c>
    </x:row>
    <x:row r="197">
      <x:c r="A197" t="inlineStr">
        <x:is>
          <x:t xml:space="preserve">VUT</x:t>
        </x:is>
      </x:c>
      <x:c r="B197" t="inlineStr">
        <x:is>
          <x:t xml:space="preserve">Vanuatu</x:t>
        </x:is>
      </x:c>
      <x:c r="C197" t="inlineStr">
        <x:is>
          <x:t xml:space="preserve">East Asia &amp; Pacific</x:t>
        </x:is>
      </x:c>
      <x:c r="D197" t="inlineStr">
        <x:is>
          <x:t xml:space="preserve">Oceania</x:t>
        </x:is>
      </x:c>
      <x:c r="E197" s="11" t="n">
        <x:v>327777</x:v>
      </x:c>
      <x:c r="F197" s="8" t="n">
        <x:v>1117972034.22642</x:v>
      </x:c>
      <x:c r="G197" s="8" t="n"/>
      <x:c r="H197" s="11" t="n"/>
      <x:c r="I197" s="10" t="n"/>
      <x:c r="J197" s="10" t="n">
        <x:v>31.21007905426411</x:v>
      </x:c>
      <x:c r="K197" s="10" t="n">
        <x:v>30.45152658113673</x:v>
      </x:c>
      <x:c r="L197" s="10" t="n">
        <x:v>0</x:v>
      </x:c>
      <x:c r="M197" s="10" t="n">
        <x:v>22.14006713507477</x:v>
      </x:c>
      <x:c r="N197" s="10" t="n"/>
      <x:c r="O197" s="10" t="n">
        <x:v>30.45152658113673</x:v>
      </x:c>
      <x:c r="P197" s="10" t="n">
        <x:v>13.68247709960093</x:v>
      </x:c>
      <x:c r="Q197" s="10" t="n">
        <x:v>29.57527206338414</x:v>
      </x:c>
      <x:c r="R197" s="10" t="n">
        <x:v>0</x:v>
      </x:c>
      <x:c r="S197" s="10" t="n">
        <x:v>18.65894411897851</x:v>
      </x:c>
      <x:c r="T197" s="10" t="n">
        <x:v>22.70107372774713</x:v>
      </x:c>
      <x:c r="U197" s="10" t="n">
        <x:v>20.68000892336282</x:v>
      </x:c>
      <x:c r="V197" s="10" t="n">
        <x:v>75</x:v>
      </x:c>
      <x:c r="W197" s="7" t="n">
        <x:v>192</x:v>
      </x:c>
      <x:c r="X197" s="7" t="n">
        <x:v>197</x:v>
      </x:c>
      <x:c r="Y197" s="7" t="n">
        <x:v>196</x:v>
      </x:c>
    </x:row>
    <x:row r="198">
      <x:c r="A198" t="inlineStr">
        <x:is>
          <x:t xml:space="preserve">YEM</x:t>
        </x:is>
      </x:c>
      <x:c r="B198" t="inlineStr">
        <x:is>
          <x:t xml:space="preserve">Yemen, Rep.</x:t>
        </x:is>
      </x:c>
      <x:c r="C198" t="inlineStr">
        <x:is>
          <x:t xml:space="preserve">Middle East &amp; North Africa</x:t>
        </x:is>
      </x:c>
      <x:c r="D198" t="inlineStr">
        <x:is>
          <x:t xml:space="preserve">Asia</x:t>
        </x:is>
      </x:c>
      <x:c r="E198" s="11" t="n">
        <x:v>40583164</x:v>
      </x:c>
      <x:c r="F198" s="8" t="n">
        <x:v>21606160663.0318</x:v>
      </x:c>
      <x:c r="G198" s="8" t="n">
        <x:v>1714830843.68747</x:v>
      </x:c>
      <x:c r="H198" s="11" t="n">
        <x:v>38</x:v>
      </x:c>
      <x:c r="I198" s="10" t="n"/>
      <x:c r="J198" s="10" t="n">
        <x:v>10.83595032338722</x:v>
      </x:c>
      <x:c r="K198" s="10" t="n">
        <x:v>33.80805098797846</x:v>
      </x:c>
      <x:c r="L198" s="10" t="n">
        <x:v>28.8158095261969</x:v>
      </x:c>
      <x:c r="M198" s="10" t="n">
        <x:v>68.35971997300396</x:v>
      </x:c>
      <x:c r="N198" s="10" t="n">
        <x:v>59.694283561693</x:v>
      </x:c>
      <x:c r="O198" s="10" t="n">
        <x:v>33.80805098797846</x:v>
      </x:c>
      <x:c r="P198" s="10" t="n">
        <x:v>27.31888661818679</x:v>
      </x:c>
      <x:c r="Q198" s="10" t="n">
        <x:v>69.9975758267105</x:v>
      </x:c>
      <x:c r="R198" s="10" t="n">
        <x:v>0</x:v>
      </x:c>
      <x:c r="S198" s="10" t="n">
        <x:v>46.43144293441706</x:v>
      </x:c>
      <x:c r="T198" s="10" t="n">
        <x:v>44.28619639951948</x:v>
      </x:c>
      <x:c r="U198" s="10" t="n">
        <x:v>45.35881966696827</x:v>
      </x:c>
      <x:c r="V198" s="10" t="n">
        <x:v>100</x:v>
      </x:c>
      <x:c r="W198" s="7" t="n">
        <x:v>90</x:v>
      </x:c>
      <x:c r="X198" s="7" t="n">
        <x:v>96</x:v>
      </x:c>
      <x:c r="Y198" s="7" t="n">
        <x:v>91</x:v>
      </x:c>
    </x:row>
    <x:row r="199">
      <x:c r="A199" t="inlineStr">
        <x:is>
          <x:t xml:space="preserve">ZMB</x:t>
        </x:is>
      </x:c>
      <x:c r="B199" t="inlineStr">
        <x:is>
          <x:t xml:space="preserve">Zambia</x:t>
        </x:is>
      </x:c>
      <x:c r="C199" t="inlineStr">
        <x:is>
          <x:t xml:space="preserve">Sub-Saharan Africa</x:t>
        </x:is>
      </x:c>
      <x:c r="D199" t="inlineStr">
        <x:is>
          <x:t xml:space="preserve">Africa</x:t>
        </x:is>
      </x:c>
      <x:c r="E199" s="11" t="n">
        <x:v>21314956</x:v>
      </x:c>
      <x:c r="F199" s="8" t="n">
        <x:v>25303185342.2511</x:v>
      </x:c>
      <x:c r="G199" s="8" t="n">
        <x:v>349668209.787907</x:v>
      </x:c>
      <x:c r="H199" s="11" t="n"/>
      <x:c r="I199" s="10" t="n"/>
      <x:c r="J199" s="10" t="n">
        <x:v>20.00597156082505</x:v>
      </x:c>
      <x:c r="K199" s="10" t="n">
        <x:v>33.81250538691967</x:v>
      </x:c>
      <x:c r="L199" s="10" t="n">
        <x:v>0</x:v>
      </x:c>
      <x:c r="M199" s="10" t="n">
        <x:v>63.34080831055407</x:v>
      </x:c>
      <x:c r="N199" s="10" t="n">
        <x:v>54.27222443584577</x:v>
      </x:c>
      <x:c r="O199" s="10" t="n">
        <x:v>33.81250538691967</x:v>
      </x:c>
      <x:c r="P199" s="10" t="n">
        <x:v>28.3384515645542</x:v>
      </x:c>
      <x:c r="Q199" s="10" t="n">
        <x:v>64.59584453347385</x:v>
      </x:c>
      <x:c r="R199" s="10" t="n">
        <x:v>0</x:v>
      </x:c>
      <x:c r="S199" s="10" t="n">
        <x:v>38.15396324410914</x:v>
      </x:c>
      <x:c r="T199" s="10" t="n">
        <x:v>43.21362969569078</x:v>
      </x:c>
      <x:c r="U199" s="10" t="n">
        <x:v>40.68379646989996</x:v>
      </x:c>
      <x:c r="V199" s="10" t="n">
        <x:v>100</x:v>
      </x:c>
      <x:c r="W199" s="7" t="n">
        <x:v>133</x:v>
      </x:c>
      <x:c r="X199" s="7" t="n">
        <x:v>107</x:v>
      </x:c>
      <x:c r="Y199" s="7" t="n">
        <x:v>119</x:v>
      </x:c>
    </x:row>
    <x:row r="200">
      <x:c r="A200" t="inlineStr">
        <x:is>
          <x:t xml:space="preserve">ZWE</x:t>
        </x:is>
      </x:c>
      <x:c r="B200" t="inlineStr">
        <x:is>
          <x:t xml:space="preserve">Zimbabwe</x:t>
        </x:is>
      </x:c>
      <x:c r="C200" t="inlineStr">
        <x:is>
          <x:t xml:space="preserve">Sub-Saharan Africa</x:t>
        </x:is>
      </x:c>
      <x:c r="D200" t="inlineStr">
        <x:is>
          <x:t xml:space="preserve">Africa</x:t>
        </x:is>
      </x:c>
      <x:c r="E200" s="11" t="n">
        <x:v>16634373</x:v>
      </x:c>
      <x:c r="F200" s="8" t="n">
        <x:v>41539411516.4448</x:v>
      </x:c>
      <x:c r="G200" s="8" t="n">
        <x:v>98394292.7162675</x:v>
      </x:c>
      <x:c r="H200" s="11" t="n"/>
      <x:c r="I200" s="10" t="n"/>
      <x:c r="J200" s="10" t="n">
        <x:v>5.127224204729329</x:v>
      </x:c>
      <x:c r="K200" s="10" t="n">
        <x:v>27.05725809274982</x:v>
      </x:c>
      <x:c r="L200" s="10" t="n">
        <x:v>0</x:v>
      </x:c>
      <x:c r="M200" s="10" t="n">
        <x:v>66.92917996136723</x:v>
      </x:c>
      <x:c r="N200" s="10" t="n">
        <x:v>54.12931328224627</x:v>
      </x:c>
      <x:c r="O200" s="10" t="n">
        <x:v>27.05725809274982</x:v>
      </x:c>
      <x:c r="P200" s="10" t="n">
        <x:v>30.21210932043467</x:v>
      </x:c>
      <x:c r="Q200" s="10" t="n">
        <x:v>62.51601690150709</x:v>
      </x:c>
      <x:c r="R200" s="10" t="n">
        <x:v>0</x:v>
      </x:c>
      <x:c r="S200" s="10" t="n">
        <x:v>38.19366162534619</x:v>
      </x:c>
      <x:c r="T200" s="10" t="n">
        <x:v>40.05053666990835</x:v>
      </x:c>
      <x:c r="U200" s="10" t="n">
        <x:v>39.12209914762727</x:v>
      </x:c>
      <x:c r="V200" s="10" t="n">
        <x:v>100</x:v>
      </x:c>
      <x:c r="W200" s="7" t="n">
        <x:v>132</x:v>
      </x:c>
      <x:c r="X200" s="7" t="n">
        <x:v>140</x:v>
      </x:c>
      <x:c r="Y200" s="7" t="n">
        <x:v>136</x:v>
      </x:c>
    </x:row>
    <x:row r="201">
      <x:c r="A201" t="inlineStr">
        <x:is>
          <x:t xml:space="preserve">COG</x:t>
        </x:is>
      </x:c>
      <x:c r="B201" t="inlineStr">
        <x:is>
          <x:t xml:space="preserve">Congo, Rep.</x:t>
        </x:is>
      </x:c>
      <x:c r="C201" t="inlineStr">
        <x:is>
          <x:t xml:space="preserve">Sub-Saharan Africa</x:t>
        </x:is>
      </x:c>
      <x:c r="D201" t="inlineStr">
        <x:is>
          <x:t xml:space="preserve">Africa</x:t>
        </x:is>
      </x:c>
      <x:c r="E201" s="11" t="n">
        <x:v>6332961</x:v>
      </x:c>
      <x:c r="F201" s="8" t="n">
        <x:v>15719986076.6464</x:v>
      </x:c>
      <x:c r="G201" s="8" t="n">
        <x:v>182044402.521739</x:v>
      </x:c>
      <x:c r="H201" s="11" t="n">
        <x:v>6</x:v>
      </x:c>
      <x:c r="I201" s="10" t="n"/>
      <x:c r="J201" s="10" t="n">
        <x:v>24.6616819089093</x:v>
      </x:c>
      <x:c r="K201" s="10" t="n">
        <x:v>37.49207243890332</x:v>
      </x:c>
      <x:c r="L201" s="10" t="n">
        <x:v>9.518930144116094</x:v>
      </x:c>
      <x:c r="M201" s="10" t="n">
        <x:v>60.99395210975592</x:v>
      </x:c>
      <x:c r="N201" s="10" t="n">
        <x:v>52.29023135121147</x:v>
      </x:c>
      <x:c r="O201" s="10" t="n">
        <x:v>37.49207243890332</x:v>
      </x:c>
      <x:c r="P201" s="10" t="n">
        <x:v>26.55568867237684</x:v>
      </x:c>
      <x:c r="Q201" s="10" t="n">
        <x:v>54.41520854921442</x:v>
      </x:c>
      <x:c r="R201" s="10" t="n">
        <x:v>0</x:v>
      </x:c>
      <x:c r="S201" s="10" t="n">
        <x:v>38.57082374814039</x:v>
      </x:c>
      <x:c r="T201" s="10" t="n">
        <x:v>42.16344912233205</x:v>
      </x:c>
      <x:c r="U201" s="10" t="n">
        <x:v>40.36713643523622</x:v>
      </x:c>
      <x:c r="V201" s="10" t="n">
        <x:v>100</x:v>
      </x:c>
      <x:c r="W201" s="7" t="n">
        <x:v>130</x:v>
      </x:c>
      <x:c r="X201" s="7" t="n">
        <x:v>116</x:v>
      </x:c>
      <x:c r="Y201" s="7" t="n">
        <x:v>125</x:v>
      </x:c>
    </x:row>
    <x:row r="202">
      <x:c r="A202" t="inlineStr">
        <x:is>
          <x:t xml:space="preserve">GMB</x:t>
        </x:is>
      </x:c>
      <x:c r="B202" t="inlineStr">
        <x:is>
          <x:t xml:space="preserve">Gambia, The</x:t>
        </x:is>
      </x:c>
      <x:c r="C202" t="inlineStr">
        <x:is>
          <x:t xml:space="preserve">Sub-Saharan Africa</x:t>
        </x:is>
      </x:c>
      <x:c r="D202" t="inlineStr">
        <x:is>
          <x:t xml:space="preserve">Africa</x:t>
        </x:is>
      </x:c>
      <x:c r="E202" s="11" t="n">
        <x:v>2759988</x:v>
      </x:c>
      <x:c r="F202" s="8" t="n">
        <x:v>2404888749.21907</x:v>
      </x:c>
      <x:c r="G202" s="8" t="n">
        <x:v>14433677.7042713</x:v>
      </x:c>
      <x:c r="H202" s="11" t="n"/>
      <x:c r="I202" s="10" t="n"/>
      <x:c r="J202" s="10" t="n">
        <x:v>26.11037161044455</x:v>
      </x:c>
      <x:c r="K202" s="10" t="n">
        <x:v>32.42431959390481</x:v>
      </x:c>
      <x:c r="L202" s="10" t="n">
        <x:v>0</x:v>
      </x:c>
      <x:c r="M202" s="10" t="n">
        <x:v>51.91795825396333</x:v>
      </x:c>
      <x:c r="N202" s="10" t="n">
        <x:v>44.96666579923543</x:v>
      </x:c>
      <x:c r="O202" s="10" t="n">
        <x:v>32.42431959390481</x:v>
      </x:c>
      <x:c r="P202" s="10" t="n">
        <x:v>17.02468499282667</x:v>
      </x:c>
      <x:c r="Q202" s="10" t="n">
        <x:v>47.44820639945003</x:v>
      </x:c>
      <x:c r="R202" s="10" t="n">
        <x:v>0</x:v>
      </x:c>
      <x:c r="S202" s="10" t="n">
        <x:v>31.06380700593976</x:v>
      </x:c>
      <x:c r="T202" s="10" t="n">
        <x:v>36.46528241523289</x:v>
      </x:c>
      <x:c r="U202" s="10" t="n">
        <x:v>33.76454471058633</x:v>
      </x:c>
      <x:c r="V202" s="10" t="n">
        <x:v>100</x:v>
      </x:c>
      <x:c r="W202" s="7" t="n">
        <x:v>171</x:v>
      </x:c>
      <x:c r="X202" s="7" t="n">
        <x:v>151</x:v>
      </x:c>
      <x:c r="Y202" s="7" t="n">
        <x:v>164</x:v>
      </x:c>
    </x:row>
    <x:row r="203">
      <x:c r="A203" t="inlineStr">
        <x:is>
          <x:t xml:space="preserve">MHL</x:t>
        </x:is>
      </x:c>
      <x:c r="B203" t="inlineStr">
        <x:is>
          <x:t xml:space="preserve">Marshall Islands</x:t>
        </x:is>
      </x:c>
      <x:c r="C203" t="inlineStr">
        <x:is>
          <x:t xml:space="preserve">East Asia &amp; Pacific</x:t>
        </x:is>
      </x:c>
      <x:c r="E203" s="11" t="n">
        <x:v>37548</x:v>
      </x:c>
      <x:c r="F203" s="8" t="n">
        <x:v>290108489.990234</x:v>
      </x:c>
      <x:c r="G203" s="8" t="n"/>
      <x:c r="H203" s="11" t="n"/>
      <x:c r="I203" s="10" t="n"/>
      <x:c r="J203" s="10" t="n"/>
      <x:c r="K203" s="10" t="n"/>
      <x:c r="L203" s="10" t="n">
        <x:v>0</x:v>
      </x:c>
      <x:c r="M203" s="10" t="n">
        <x:v>11.79685889684112</x:v>
      </x:c>
      <x:c r="N203" s="10" t="n"/>
      <x:c r="O203" s="10" t="n"/>
      <x:c r="P203" s="10" t="n">
        <x:v>11.79685889684112</x:v>
      </x:c>
      <x:c r="Q203" s="10" t="n">
        <x:v>11.39997918820775</x:v>
      </x:c>
      <x:c r="R203" s="10" t="n">
        <x:v>0</x:v>
      </x:c>
      <x:c r="S203" s="10" t="n">
        <x:v>7.234875724064202</x:v>
      </x:c>
      <x:c r="T203" s="10" t="n">
        <x:v>9.561775527271513</x:v>
      </x:c>
      <x:c r="U203" s="10" t="n">
        <x:v>8.398325625667857</x:v>
      </x:c>
      <x:c r="V203" s="10" t="n">
        <x:v>50</x:v>
      </x:c>
      <x:c r="W203" s="7" t="n">
        <x:v>216</x:v>
      </x:c>
      <x:c r="X203" s="7" t="n">
        <x:v>217</x:v>
      </x:c>
      <x:c r="Y203" s="7" t="n">
        <x:v>217</x:v>
      </x:c>
    </x:row>
    <x:row r="204">
      <x:c r="A204" t="inlineStr">
        <x:is>
          <x:t xml:space="preserve">NER</x:t>
        </x:is>
      </x:c>
      <x:c r="B204" t="inlineStr">
        <x:is>
          <x:t xml:space="preserve">Niger</x:t>
        </x:is>
      </x:c>
      <x:c r="C204" t="inlineStr">
        <x:is>
          <x:t xml:space="preserve">Sub-Saharan Africa</x:t>
        </x:is>
      </x:c>
      <x:c r="D204" t="inlineStr">
        <x:is>
          <x:t xml:space="preserve">Africa</x:t>
        </x:is>
      </x:c>
      <x:c r="E204" s="11" t="n">
        <x:v>27032412</x:v>
      </x:c>
      <x:c r="F204" s="8" t="n">
        <x:v>19876128485.7857</x:v>
      </x:c>
      <x:c r="G204" s="8" t="n">
        <x:v>435880522.487372</x:v>
      </x:c>
      <x:c r="H204" s="11" t="n"/>
      <x:c r="I204" s="10" t="n"/>
      <x:c r="J204" s="10" t="n">
        <x:v>15.60584165759996</x:v>
      </x:c>
      <x:c r="K204" s="10" t="n">
        <x:v>12.30907114688672</x:v>
      </x:c>
      <x:c r="L204" s="10" t="n">
        <x:v>0</x:v>
      </x:c>
      <x:c r="M204" s="10" t="n">
        <x:v>61.52062090406071</x:v>
      </x:c>
      <x:c r="N204" s="10" t="n">
        <x:v>54.11216508304575</x:v>
      </x:c>
      <x:c r="O204" s="10" t="n">
        <x:v>12.30907114688672</x:v>
      </x:c>
      <x:c r="P204" s="10" t="n">
        <x:v>26.61949591068802</x:v>
      </x:c>
      <x:c r="Q204" s="10" t="n">
        <x:v>66.58918530660601</x:v>
      </x:c>
      <x:c r="R204" s="10" t="n">
        <x:v>0</x:v>
      </x:c>
      <x:c r="S204" s="10" t="n">
        <x:v>34.5884952068488</x:v>
      </x:c>
      <x:c r="T204" s="10" t="n">
        <x:v>38.98994174796234</x:v>
      </x:c>
      <x:c r="U204" s="10" t="n">
        <x:v>36.78921847740557</x:v>
      </x:c>
      <x:c r="V204" s="10" t="n">
        <x:v>100</x:v>
      </x:c>
      <x:c r="W204" s="7" t="n">
        <x:v>155</x:v>
      </x:c>
      <x:c r="X204" s="7" t="n">
        <x:v>142</x:v>
      </x:c>
      <x:c r="Y204" s="7" t="n">
        <x:v>150</x:v>
      </x:c>
    </x:row>
    <x:row r="205">
      <x:c r="A205" t="inlineStr">
        <x:is>
          <x:t xml:space="preserve">PHL</x:t>
        </x:is>
      </x:c>
      <x:c r="B205" t="inlineStr">
        <x:is>
          <x:t xml:space="preserve">Philippines</x:t>
        </x:is>
      </x:c>
      <x:c r="C205" t="inlineStr">
        <x:is>
          <x:t xml:space="preserve">East Asia &amp; Pacific</x:t>
        </x:is>
      </x:c>
      <x:c r="D205" t="inlineStr">
        <x:is>
          <x:t xml:space="preserve">Asia</x:t>
        </x:is>
      </x:c>
      <x:c r="E205" s="11" t="n">
        <x:v>115843670</x:v>
      </x:c>
      <x:c r="F205" s="8" t="n">
        <x:v>461617509782.355</x:v>
      </x:c>
      <x:c r="G205" s="8" t="n">
        <x:v>6117535232.86185</x:v>
      </x:c>
      <x:c r="H205" s="11" t="n">
        <x:v>111</x:v>
      </x:c>
      <x:c r="I205" s="10" t="n">
        <x:v>33.7</x:v>
      </x:c>
      <x:c r="J205" s="10" t="n">
        <x:v>82.37804179264752</x:v>
      </x:c>
      <x:c r="K205" s="10" t="n">
        <x:v>60.52929168726152</x:v>
      </x:c>
      <x:c r="L205" s="10" t="n">
        <x:v>47.02547674458656</x:v>
      </x:c>
      <x:c r="M205" s="10" t="n">
        <x:v>78.44641481862904</x:v>
      </x:c>
      <x:c r="N205" s="10" t="n">
        <x:v>64.98417738425943</x:v>
      </x:c>
      <x:c r="O205" s="10" t="n">
        <x:v>60.52929168726152</x:v>
      </x:c>
      <x:c r="P205" s="10" t="n">
        <x:v>30.56856988279032</x:v>
      </x:c>
      <x:c r="Q205" s="10" t="n">
        <x:v>78.79618275654093</x:v>
      </x:c>
      <x:c r="R205" s="10" t="n">
        <x:v>0</x:v>
      </x:c>
      <x:c r="S205" s="10" t="n">
        <x:v>53.29891840669564</x:v>
      </x:c>
      <x:c r="T205" s="10" t="n">
        <x:v>47.07433855121965</x:v>
      </x:c>
      <x:c r="U205" s="10" t="n">
        <x:v>50.18662847895764</x:v>
      </x:c>
      <x:c r="V205" s="10" t="n">
        <x:v>100</x:v>
      </x:c>
      <x:c r="W205" s="7" t="n">
        <x:v>53</x:v>
      </x:c>
      <x:c r="X205" s="7" t="n">
        <x:v>73</x:v>
      </x:c>
      <x:c r="Y205" s="7" t="n">
        <x:v>59</x:v>
      </x:c>
    </x:row>
    <x:row r="206">
      <x:c r="A206" t="inlineStr">
        <x:is>
          <x:t xml:space="preserve">SDN</x:t>
        </x:is>
      </x:c>
      <x:c r="B206" t="inlineStr">
        <x:is>
          <x:t xml:space="preserve">Sudan</x:t>
        </x:is>
      </x:c>
      <x:c r="C206" t="inlineStr">
        <x:is>
          <x:t xml:space="preserve">Sub-Saharan Africa</x:t>
        </x:is>
      </x:c>
      <x:c r="D206" t="inlineStr">
        <x:is>
          <x:t xml:space="preserve">Africa</x:t>
        </x:is>
      </x:c>
      <x:c r="E206" s="11" t="n">
        <x:v>50448963</x:v>
      </x:c>
      <x:c r="F206" s="8" t="n">
        <x:v>49672435513.1126</x:v>
      </x:c>
      <x:c r="G206" s="8" t="n">
        <x:v>375212619.388697</x:v>
      </x:c>
      <x:c r="H206" s="11" t="n">
        <x:v>12</x:v>
      </x:c>
      <x:c r="I206" s="10" t="n"/>
      <x:c r="J206" s="10" t="n">
        <x:v>15.40028857455683</x:v>
      </x:c>
      <x:c r="K206" s="10" t="n">
        <x:v>35.63984527055133</x:v>
      </x:c>
      <x:c r="L206" s="10" t="n">
        <x:v>16.47349861026911</x:v>
      </x:c>
      <x:c r="M206" s="10" t="n">
        <x:v>72.52379295826199</x:v>
      </x:c>
      <x:c r="N206" s="10" t="n">
        <x:v>58.90360506026856</x:v>
      </x:c>
      <x:c r="O206" s="10" t="n">
        <x:v>35.63984527055133</x:v>
      </x:c>
      <x:c r="P206" s="10" t="n">
        <x:v>31.56992565452292</x:v>
      </x:c>
      <x:c r="Q206" s="10" t="n">
        <x:v>71.82298951936855</x:v>
      </x:c>
      <x:c r="R206" s="10" t="n">
        <x:v>0</x:v>
      </x:c>
      <x:c r="S206" s="10" t="n">
        <x:v>45.31445510620686</x:v>
      </x:c>
      <x:c r="T206" s="10" t="n">
        <x:v>46.19605112825055</x:v>
      </x:c>
      <x:c r="U206" s="10" t="n">
        <x:v>45.7552531172287</x:v>
      </x:c>
      <x:c r="V206" s="10" t="n">
        <x:v>100</x:v>
      </x:c>
      <x:c r="W206" s="7" t="n">
        <x:v>93</x:v>
      </x:c>
      <x:c r="X206" s="7" t="n">
        <x:v>78</x:v>
      </x:c>
      <x:c r="Y206" s="7" t="n">
        <x:v>89</x:v>
      </x:c>
    </x:row>
    <x:row r="207">
      <x:c r="A207" t="inlineStr">
        <x:is>
          <x:t xml:space="preserve">ROU</x:t>
        </x:is>
      </x:c>
      <x:c r="B207" t="inlineStr">
        <x:is>
          <x:t xml:space="preserve">Romania</x:t>
        </x:is>
      </x:c>
      <x:c r="C207" t="inlineStr">
        <x:is>
          <x:t xml:space="preserve">Europe &amp; Central Asia</x:t>
        </x:is>
      </x:c>
      <x:c r="D207" t="inlineStr">
        <x:is>
          <x:t xml:space="preserve">Europe</x:t>
        </x:is>
      </x:c>
      <x:c r="E207" s="11" t="n">
        <x:v>19051804</x:v>
      </x:c>
      <x:c r="F207" s="8" t="n">
        <x:v>382564217988.866</x:v>
      </x:c>
      <x:c r="G207" s="8" t="n">
        <x:v>8715729594.321899</x:v>
      </x:c>
      <x:c r="H207" s="11" t="n">
        <x:v>20</x:v>
      </x:c>
      <x:c r="I207" s="10" t="n"/>
      <x:c r="J207" s="10" t="n">
        <x:v>9.601283876889356</x:v>
      </x:c>
      <x:c r="K207" s="10" t="n">
        <x:v>66.30365728777926</x:v>
      </x:c>
      <x:c r="L207" s="10" t="n">
        <x:v>21.86124106004389</x:v>
      </x:c>
      <x:c r="M207" s="10" t="n">
        <x:v>77.84044374441733</x:v>
      </x:c>
      <x:c r="N207" s="10" t="n">
        <x:v>65.83339773825932</x:v>
      </x:c>
      <x:c r="O207" s="10" t="n">
        <x:v>66.30365728777926</x:v>
      </x:c>
      <x:c r="P207" s="10" t="n">
        <x:v>44.1227366114464</x:v>
      </x:c>
      <x:c r="Q207" s="10" t="n">
        <x:v>63.65425822018408</x:v>
      </x:c>
      <x:c r="R207" s="10" t="n">
        <x:v>0</x:v>
      </x:c>
      <x:c r="S207" s="10" t="n">
        <x:v>54.51582184764857</x:v>
      </x:c>
      <x:c r="T207" s="10" t="n">
        <x:v>52.94809221842543</x:v>
      </x:c>
      <x:c r="U207" s="10" t="n">
        <x:v>53.731957033037</x:v>
      </x:c>
      <x:c r="V207" s="10" t="n">
        <x:v>100</x:v>
      </x:c>
      <x:c r="W207" s="7" t="n">
        <x:v>48</x:v>
      </x:c>
      <x:c r="X207" s="7" t="n">
        <x:v>41</x:v>
      </x:c>
      <x:c r="Y207" s="7" t="n">
        <x:v>42</x:v>
      </x:c>
    </x:row>
    <x:row r="208">
      <x:c r="A208" t="inlineStr">
        <x:is>
          <x:t xml:space="preserve">RUS</x:t>
        </x:is>
      </x:c>
      <x:c r="B208" t="inlineStr">
        <x:is>
          <x:t xml:space="preserve">Russian Federation</x:t>
        </x:is>
      </x:c>
      <x:c r="C208" t="inlineStr">
        <x:is>
          <x:t xml:space="preserve">Europe &amp; Central Asia</x:t>
        </x:is>
      </x:c>
      <x:c r="D208" t="inlineStr">
        <x:is>
          <x:t xml:space="preserve">Europe</x:t>
        </x:is>
      </x:c>
      <x:c r="E208" s="11" t="n">
        <x:v>143533851</x:v>
      </x:c>
      <x:c r="F208" s="8" t="n">
        <x:v>2173835806671.66</x:v>
      </x:c>
      <x:c r="G208" s="8" t="n">
        <x:v>148967275140.483</x:v>
      </x:c>
      <x:c r="H208" s="11" t="n">
        <x:v>781</x:v>
      </x:c>
      <x:c r="I208" s="10" t="n">
        <x:v>242.3</x:v>
      </x:c>
      <x:c r="J208" s="10" t="n">
        <x:v>77.62144154378824</x:v>
      </x:c>
      <x:c r="K208" s="10" t="n">
        <x:v>55.6812499434453</x:v>
      </x:c>
      <x:c r="L208" s="10" t="n">
        <x:v>82.18672603524104</x:v>
      </x:c>
      <x:c r="M208" s="10" t="n">
        <x:v>92.13451939942085</x:v>
      </x:c>
      <x:c r="N208" s="10" t="n">
        <x:v>77.22902340277417</x:v>
      </x:c>
      <x:c r="O208" s="10" t="n">
        <x:v>55.6812499434453</x:v>
      </x:c>
      <x:c r="P208" s="10" t="n">
        <x:v>40.06074956946829</x:v>
      </x:c>
      <x:c r="Q208" s="10" t="n">
        <x:v>80.59408554697346</x:v>
      </x:c>
      <x:c r="R208" s="10" t="n">
        <x:v>100</x:v>
      </x:c>
      <x:c r="S208" s="10" t="n">
        <x:v>68.62921615262442</x:v>
      </x:c>
      <x:c r="T208" s="10" t="n">
        <x:v>68.0468049906186</x:v>
      </x:c>
      <x:c r="U208" s="10" t="n">
        <x:v>68.33801057162151</x:v>
      </x:c>
      <x:c r="V208" s="10" t="n">
        <x:v>100</x:v>
      </x:c>
      <x:c r="W208" s="7" t="n">
        <x:v>7</x:v>
      </x:c>
      <x:c r="X208" s="7" t="n">
        <x:v>6</x:v>
      </x:c>
      <x:c r="Y208" s="7" t="n">
        <x:v>5</x:v>
      </x:c>
    </x:row>
    <x:row r="209">
      <x:c r="A209" t="inlineStr">
        <x:is>
          <x:t xml:space="preserve">RWA</x:t>
        </x:is>
      </x:c>
      <x:c r="B209" t="inlineStr">
        <x:is>
          <x:t xml:space="preserve">Rwanda</x:t>
        </x:is>
      </x:c>
      <x:c r="C209" t="inlineStr">
        <x:is>
          <x:t xml:space="preserve">Sub-Saharan Africa</x:t>
        </x:is>
      </x:c>
      <x:c r="D209" t="inlineStr">
        <x:is>
          <x:t xml:space="preserve">Africa</x:t>
        </x:is>
      </x:c>
      <x:c r="E209" s="11" t="n">
        <x:v>14256567</x:v>
      </x:c>
      <x:c r="F209" s="8" t="n">
        <x:v>14251642235.0968</x:v>
      </x:c>
      <x:c r="G209" s="8" t="n">
        <x:v>175924380.585353</x:v>
      </x:c>
      <x:c r="H209" s="11" t="n"/>
      <x:c r="I209" s="10" t="n"/>
      <x:c r="J209" s="10" t="n">
        <x:v>7.720847327123817</x:v>
      </x:c>
      <x:c r="K209" s="10" t="n">
        <x:v>41.86117771050998</x:v>
      </x:c>
      <x:c r="L209" s="10" t="n">
        <x:v>0</x:v>
      </x:c>
      <x:c r="M209" s="10" t="n">
        <x:v>64.90240721852116</x:v>
      </x:c>
      <x:c r="N209" s="10" t="n">
        <x:v>54.40459356601908</x:v>
      </x:c>
      <x:c r="O209" s="10" t="n">
        <x:v>41.86117771050998</x:v>
      </x:c>
      <x:c r="P209" s="10" t="n">
        <x:v>25.24946087324093</x:v>
      </x:c>
      <x:c r="Q209" s="10" t="n">
        <x:v>61.22205977539919</x:v>
      </x:c>
      <x:c r="R209" s="10" t="n">
        <x:v>0</x:v>
      </x:c>
      <x:c r="S209" s="10" t="n">
        <x:v>39.3731148877277</x:v>
      </x:c>
      <x:c r="T209" s="10" t="n">
        <x:v>41.85412093174855</x:v>
      </x:c>
      <x:c r="U209" s="10" t="n">
        <x:v>40.61361790973812</x:v>
      </x:c>
      <x:c r="V209" s="10" t="n">
        <x:v>100</x:v>
      </x:c>
      <x:c r="W209" s="7" t="n">
        <x:v>124</x:v>
      </x:c>
      <x:c r="X209" s="7" t="n">
        <x:v>118</x:v>
      </x:c>
      <x:c r="Y209" s="7" t="n">
        <x:v>120</x:v>
      </x:c>
    </x:row>
    <x:row r="210">
      <x:c r="A210" t="inlineStr">
        <x:is>
          <x:t xml:space="preserve">REU</x:t>
        </x:is>
      </x:c>
      <x:c r="B210" t="inlineStr">
        <x:is>
          <x:t xml:space="preserve">Réunion</x:t>
        </x:is>
      </x:c>
      <x:c r="E210" s="11" t="n"/>
      <x:c r="F210" s="8" t="n"/>
      <x:c r="G210" s="8" t="n"/>
      <x:c r="H210" s="11" t="n"/>
      <x:c r="I210" s="10" t="n"/>
      <x:c r="J210" s="10" t="n"/>
      <x:c r="K210" s="10" t="n"/>
      <x:c r="L210" s="10" t="n">
        <x:v>0</x:v>
      </x:c>
      <x:c r="M210" s="10" t="n"/>
      <x:c r="N210" s="10" t="n"/>
      <x:c r="O210" s="10" t="n"/>
      <x:c r="P210" s="10" t="n"/>
      <x:c r="Q210" s="10" t="n"/>
      <x:c r="R210" s="10" t="n">
        <x:v>0</x:v>
      </x:c>
      <x:c r="S210" s="10" t="n">
        <x:v>0</x:v>
      </x:c>
      <x:c r="T210" s="10" t="n">
        <x:v>0</x:v>
      </x:c>
      <x:c r="U210" s="10" t="n">
        <x:v>0</x:v>
      </x:c>
      <x:c r="V210" s="10" t="n">
        <x:v>12</x:v>
      </x:c>
      <x:c r="W210" s="7" t="n">
        <x:v>222</x:v>
      </x:c>
      <x:c r="X210" s="7" t="n">
        <x:v>222</x:v>
      </x:c>
      <x:c r="Y210" s="7" t="n">
        <x:v>222</x:v>
      </x:c>
    </x:row>
    <x:row r="211">
      <x:c r="A211" t="inlineStr">
        <x:is>
          <x:t xml:space="preserve">BLM</x:t>
        </x:is>
      </x:c>
      <x:c r="B211" t="inlineStr">
        <x:is>
          <x:t xml:space="preserve">Saint Barthélemy</x:t>
        </x:is>
      </x:c>
      <x:c r="E211" s="11" t="n"/>
      <x:c r="F211" s="8" t="n"/>
      <x:c r="G211" s="8" t="n"/>
      <x:c r="H211" s="11" t="n"/>
      <x:c r="I211" s="10" t="n"/>
      <x:c r="J211" s="10" t="n"/>
      <x:c r="K211" s="10" t="n"/>
      <x:c r="L211" s="10" t="n">
        <x:v>0</x:v>
      </x:c>
      <x:c r="M211" s="10" t="n"/>
      <x:c r="N211" s="10" t="n"/>
      <x:c r="O211" s="10" t="n"/>
      <x:c r="P211" s="10" t="n"/>
      <x:c r="Q211" s="10" t="n"/>
      <x:c r="R211" s="10" t="n">
        <x:v>0</x:v>
      </x:c>
      <x:c r="S211" s="10" t="n">
        <x:v>0</x:v>
      </x:c>
      <x:c r="T211" s="10" t="n">
        <x:v>0</x:v>
      </x:c>
      <x:c r="U211" s="10" t="n">
        <x:v>0</x:v>
      </x:c>
      <x:c r="V211" s="10" t="n">
        <x:v>12</x:v>
      </x:c>
      <x:c r="W211" s="7" t="n">
        <x:v>222</x:v>
      </x:c>
      <x:c r="X211" s="7" t="n">
        <x:v>222</x:v>
      </x:c>
      <x:c r="Y211" s="7" t="n">
        <x:v>222</x:v>
      </x:c>
    </x:row>
    <x:row r="212">
      <x:c r="A212" t="inlineStr">
        <x:is>
          <x:t xml:space="preserve">SHN</x:t>
        </x:is>
      </x:c>
      <x:c r="B212" t="inlineStr">
        <x:is>
          <x:t xml:space="preserve">Saint Helena, Ascension and Tristan da Cunha</x:t>
        </x:is>
      </x:c>
      <x:c r="E212" s="11" t="n"/>
      <x:c r="F212" s="8" t="n"/>
      <x:c r="G212" s="8" t="n"/>
      <x:c r="H212" s="11" t="n"/>
      <x:c r="I212" s="10" t="n"/>
      <x:c r="J212" s="10" t="n"/>
      <x:c r="K212" s="10" t="n"/>
      <x:c r="L212" s="10" t="n">
        <x:v>0</x:v>
      </x:c>
      <x:c r="M212" s="10" t="n"/>
      <x:c r="N212" s="10" t="n"/>
      <x:c r="O212" s="10" t="n"/>
      <x:c r="P212" s="10" t="n"/>
      <x:c r="Q212" s="10" t="n"/>
      <x:c r="R212" s="10" t="n">
        <x:v>0</x:v>
      </x:c>
      <x:c r="S212" s="10" t="n">
        <x:v>0</x:v>
      </x:c>
      <x:c r="T212" s="10" t="n">
        <x:v>0</x:v>
      </x:c>
      <x:c r="U212" s="10" t="n">
        <x:v>0</x:v>
      </x:c>
      <x:c r="V212" s="10" t="n">
        <x:v>12</x:v>
      </x:c>
      <x:c r="W212" s="7" t="n">
        <x:v>222</x:v>
      </x:c>
      <x:c r="X212" s="7" t="n">
        <x:v>222</x:v>
      </x:c>
      <x:c r="Y212" s="7" t="n">
        <x:v>222</x:v>
      </x:c>
    </x:row>
    <x:row r="213">
      <x:c r="A213" t="inlineStr">
        <x:is>
          <x:t xml:space="preserve">KNA</x:t>
        </x:is>
      </x:c>
      <x:c r="B213" t="inlineStr">
        <x:is>
          <x:t xml:space="preserve">St. Kitts and Nevis</x:t>
        </x:is>
      </x:c>
      <x:c r="C213" t="inlineStr">
        <x:is>
          <x:t xml:space="preserve">Latin America &amp; Caribbean</x:t>
        </x:is>
      </x:c>
      <x:c r="E213" s="11" t="n">
        <x:v>46843</x:v>
      </x:c>
      <x:c r="F213" s="8" t="n">
        <x:v>1122388888.88889</x:v>
      </x:c>
      <x:c r="G213" s="8" t="n"/>
      <x:c r="H213" s="11" t="n"/>
      <x:c r="I213" s="10" t="n"/>
      <x:c r="J213" s="10" t="n"/>
      <x:c r="K213" s="10" t="n"/>
      <x:c r="L213" s="10" t="n">
        <x:v>0</x:v>
      </x:c>
      <x:c r="M213" s="10" t="n">
        <x:v>22.17029890867543</x:v>
      </x:c>
      <x:c r="N213" s="10" t="n"/>
      <x:c r="O213" s="10" t="n"/>
      <x:c r="P213" s="10" t="n">
        <x:v>22.17029890867543</x:v>
      </x:c>
      <x:c r="Q213" s="10" t="n">
        <x:v>13.25531719833923</x:v>
      </x:c>
      <x:c r="R213" s="10" t="n">
        <x:v>0</x:v>
      </x:c>
      <x:c r="S213" s="10" t="n">
        <x:v>12.40855107658682</x:v>
      </x:c>
      <x:c r="T213" s="10" t="n">
        <x:v>16.11320326383985</x:v>
      </x:c>
      <x:c r="U213" s="10" t="n">
        <x:v>14.26087717021333</x:v>
      </x:c>
      <x:c r="V213" s="10" t="n">
        <x:v>50</x:v>
      </x:c>
      <x:c r="W213" s="7" t="n">
        <x:v>207</x:v>
      </x:c>
      <x:c r="X213" s="7" t="n">
        <x:v>208</x:v>
      </x:c>
      <x:c r="Y213" s="7" t="n">
        <x:v>207</x:v>
      </x:c>
    </x:row>
    <x:row r="214">
      <x:c r="A214" t="inlineStr">
        <x:is>
          <x:t xml:space="preserve">LCA</x:t>
        </x:is>
      </x:c>
      <x:c r="B214" t="inlineStr">
        <x:is>
          <x:t xml:space="preserve">St. Lucia</x:t>
        </x:is>
      </x:c>
      <x:c r="C214" t="inlineStr">
        <x:is>
          <x:t xml:space="preserve">Latin America &amp; Caribbean</x:t>
        </x:is>
      </x:c>
      <x:c r="E214" s="11" t="n">
        <x:v>179744</x:v>
      </x:c>
      <x:c r="F214" s="8" t="n">
        <x:v>2549062962.96296</x:v>
      </x:c>
      <x:c r="G214" s="8" t="n"/>
      <x:c r="H214" s="11" t="n"/>
      <x:c r="I214" s="10" t="n"/>
      <x:c r="J214" s="10" t="n"/>
      <x:c r="K214" s="10" t="n"/>
      <x:c r="L214" s="10" t="n">
        <x:v>0</x:v>
      </x:c>
      <x:c r="M214" s="10" t="n">
        <x:v>28.45946277798244</x:v>
      </x:c>
      <x:c r="N214" s="10" t="n"/>
      <x:c r="O214" s="10" t="n"/>
      <x:c r="P214" s="10" t="n">
        <x:v>28.45946277798244</x:v>
      </x:c>
      <x:c r="Q214" s="10" t="n">
        <x:v>24.53547903678272</x:v>
      </x:c>
      <x:c r="R214" s="10" t="n">
        <x:v>0</x:v>
      </x:c>
      <x:c r="S214" s="10" t="n">
        <x:v>17.02236117312373</x:v>
      </x:c>
      <x:c r="T214" s="10" t="n">
        <x:v>22.39320051353115</x:v>
      </x:c>
      <x:c r="U214" s="10" t="n">
        <x:v>19.70778084332744</x:v>
      </x:c>
      <x:c r="V214" s="10" t="n">
        <x:v>50</x:v>
      </x:c>
      <x:c r="W214" s="7" t="n">
        <x:v>199</x:v>
      </x:c>
      <x:c r="X214" s="7" t="n">
        <x:v>198</x:v>
      </x:c>
      <x:c r="Y214" s="7" t="n">
        <x:v>200</x:v>
      </x:c>
    </x:row>
    <x:row r="215">
      <x:c r="A215" t="inlineStr">
        <x:is>
          <x:t xml:space="preserve">MAF</x:t>
        </x:is>
      </x:c>
      <x:c r="B215" t="inlineStr">
        <x:is>
          <x:t xml:space="preserve">St. Martin (French part)</x:t>
        </x:is>
      </x:c>
      <x:c r="C215" t="inlineStr">
        <x:is>
          <x:t xml:space="preserve">Latin America &amp; Caribbean</x:t>
        </x:is>
      </x:c>
      <x:c r="E215" s="11" t="n">
        <x:v>26129</x:v>
      </x:c>
      <x:c r="F215" s="8" t="n">
        <x:v>649206262.847519</x:v>
      </x:c>
      <x:c r="G215" s="8" t="n"/>
      <x:c r="H215" s="11" t="n"/>
      <x:c r="I215" s="10" t="n"/>
      <x:c r="J215" s="10" t="n"/>
      <x:c r="K215" s="10" t="n"/>
      <x:c r="L215" s="10" t="n">
        <x:v>0</x:v>
      </x:c>
      <x:c r="M215" s="10" t="n">
        <x:v>17.97277062882512</x:v>
      </x:c>
      <x:c r="N215" s="10" t="n"/>
      <x:c r="O215" s="10" t="n"/>
      <x:c r="P215" s="10" t="n">
        <x:v>17.97277062882512</x:v>
      </x:c>
      <x:c r="Q215" s="10" t="n">
        <x:v>8.358619667621829</x:v>
      </x:c>
      <x:c r="R215" s="10" t="n">
        <x:v>0</x:v>
      </x:c>
      <x:c r="S215" s="10" t="n">
        <x:v>9.712018067098686</x:v>
      </x:c>
      <x:c r="T215" s="10" t="n">
        <x:v>12.51995984149253</x:v>
      </x:c>
      <x:c r="U215" s="10" t="n">
        <x:v>11.11598895429561</x:v>
      </x:c>
      <x:c r="V215" s="10" t="n">
        <x:v>50</x:v>
      </x:c>
      <x:c r="W215" s="7" t="n">
        <x:v>213</x:v>
      </x:c>
      <x:c r="X215" s="7" t="n">
        <x:v>214</x:v>
      </x:c>
      <x:c r="Y215" s="7" t="n">
        <x:v>214</x:v>
      </x:c>
    </x:row>
    <x:row r="216">
      <x:c r="A216" t="inlineStr">
        <x:is>
          <x:t xml:space="preserve">SPM</x:t>
        </x:is>
      </x:c>
      <x:c r="B216" t="inlineStr">
        <x:is>
          <x:t xml:space="preserve">Saint Pierre and Miquelon</x:t>
        </x:is>
      </x:c>
      <x:c r="E216" s="11" t="n"/>
      <x:c r="F216" s="8" t="n"/>
      <x:c r="G216" s="8" t="n"/>
      <x:c r="H216" s="11" t="n"/>
      <x:c r="I216" s="10" t="n"/>
      <x:c r="J216" s="10" t="n"/>
      <x:c r="K216" s="10" t="n"/>
      <x:c r="L216" s="10" t="n">
        <x:v>0</x:v>
      </x:c>
      <x:c r="M216" s="10" t="n"/>
      <x:c r="N216" s="10" t="n"/>
      <x:c r="O216" s="10" t="n"/>
      <x:c r="P216" s="10" t="n"/>
      <x:c r="Q216" s="10" t="n"/>
      <x:c r="R216" s="10" t="n">
        <x:v>0</x:v>
      </x:c>
      <x:c r="S216" s="10" t="n">
        <x:v>0</x:v>
      </x:c>
      <x:c r="T216" s="10" t="n">
        <x:v>0</x:v>
      </x:c>
      <x:c r="U216" s="10" t="n">
        <x:v>0</x:v>
      </x:c>
      <x:c r="V216" s="10" t="n">
        <x:v>12</x:v>
      </x:c>
      <x:c r="W216" s="7" t="n">
        <x:v>222</x:v>
      </x:c>
      <x:c r="X216" s="7" t="n">
        <x:v>222</x:v>
      </x:c>
      <x:c r="Y216" s="7" t="n">
        <x:v>222</x:v>
      </x:c>
    </x:row>
    <x:row r="217">
      <x:c r="A217" t="inlineStr">
        <x:is>
          <x:t xml:space="preserve">VCT</x:t>
        </x:is>
      </x:c>
      <x:c r="B217" t="inlineStr">
        <x:is>
          <x:t xml:space="preserve">St. Vincent and the Grenadines</x:t>
        </x:is>
      </x:c>
      <x:c r="C217" t="inlineStr">
        <x:is>
          <x:t xml:space="preserve">Latin America &amp; Caribbean</x:t>
        </x:is>
      </x:c>
      <x:c r="E217" s="11" t="n">
        <x:v>100616</x:v>
      </x:c>
      <x:c r="F217" s="8" t="n">
        <x:v>1157207407.40741</x:v>
      </x:c>
      <x:c r="G217" s="8" t="n"/>
      <x:c r="H217" s="11" t="n"/>
      <x:c r="I217" s="10" t="n"/>
      <x:c r="J217" s="10" t="n"/>
      <x:c r="K217" s="10" t="n"/>
      <x:c r="L217" s="10" t="n">
        <x:v>0</x:v>
      </x:c>
      <x:c r="M217" s="10" t="n">
        <x:v>22.40453513681286</x:v>
      </x:c>
      <x:c r="N217" s="10" t="n"/>
      <x:c r="O217" s="10" t="n"/>
      <x:c r="P217" s="10" t="n">
        <x:v>22.40453513681286</x:v>
      </x:c>
      <x:c r="Q217" s="10" t="n">
        <x:v>19.66831662027813</x:v>
      </x:c>
      <x:c r="R217" s="10" t="n">
        <x:v>0</x:v>
      </x:c>
      <x:c r="S217" s="10" t="n">
        <x:v>13.45208084580653</x:v>
      </x:c>
      <x:c r="T217" s="10" t="n">
        <x:v>17.70911544908899</x:v>
      </x:c>
      <x:c r="U217" s="10" t="n">
        <x:v>15.58059814744776</x:v>
      </x:c>
      <x:c r="V217" s="10" t="n">
        <x:v>50</x:v>
      </x:c>
      <x:c r="W217" s="7" t="n">
        <x:v>206</x:v>
      </x:c>
      <x:c r="X217" s="7" t="n">
        <x:v>206</x:v>
      </x:c>
      <x:c r="Y217" s="7" t="n">
        <x:v>206</x:v>
      </x:c>
    </x:row>
    <x:row r="218">
      <x:c r="A218" t="inlineStr">
        <x:is>
          <x:t xml:space="preserve">SXM</x:t>
        </x:is>
      </x:c>
      <x:c r="B218" t="inlineStr">
        <x:is>
          <x:t xml:space="preserve">Sint Maarten (Dutch part)</x:t>
        </x:is>
      </x:c>
      <x:c r="C218" t="inlineStr">
        <x:is>
          <x:t xml:space="preserve">Latin America &amp; Caribbean</x:t>
        </x:is>
      </x:c>
      <x:c r="E218" s="11" t="n">
        <x:v>43350</x:v>
      </x:c>
      <x:c r="F218" s="8" t="n">
        <x:v>1797836665.95136</x:v>
      </x:c>
      <x:c r="G218" s="8" t="n"/>
      <x:c r="H218" s="11" t="n"/>
      <x:c r="I218" s="10" t="n"/>
      <x:c r="J218" s="10" t="n"/>
      <x:c r="K218" s="10" t="n"/>
      <x:c r="L218" s="10" t="n">
        <x:v>0</x:v>
      </x:c>
      <x:c r="M218" s="10" t="n">
        <x:v>25.78251612930539</x:v>
      </x:c>
      <x:c r="N218" s="10" t="n"/>
      <x:c r="O218" s="10" t="n"/>
      <x:c r="P218" s="10" t="n">
        <x:v>25.78251612930539</x:v>
      </x:c>
      <x:c r="Q218" s="10" t="n">
        <x:v>12.60526526292137</x:v>
      </x:c>
      <x:c r="R218" s="10" t="n">
        <x:v>0</x:v>
      </x:c>
      <x:c r="S218" s="10" t="n">
        <x:v>14.02159166300566</x:v>
      </x:c>
      <x:c r="T218" s="10" t="n">
        <x:v>18.09995618161713</x:v>
      </x:c>
      <x:c r="U218" s="10" t="n">
        <x:v>16.06077392231139</x:v>
      </x:c>
      <x:c r="V218" s="10" t="n">
        <x:v>50</x:v>
      </x:c>
      <x:c r="W218" s="7" t="n">
        <x:v>204</x:v>
      </x:c>
      <x:c r="X218" s="7" t="n">
        <x:v>205</x:v>
      </x:c>
      <x:c r="Y218" s="7" t="n">
        <x:v>204</x:v>
      </x:c>
    </x:row>
    <x:row r="219">
      <x:c r="A219" t="inlineStr">
        <x:is>
          <x:t xml:space="preserve">SVK</x:t>
        </x:is>
      </x:c>
      <x:c r="B219" t="inlineStr">
        <x:is>
          <x:t xml:space="preserve">Slovak Republic</x:t>
        </x:is>
      </x:c>
      <x:c r="C219" t="inlineStr">
        <x:is>
          <x:t xml:space="preserve">Europe &amp; Central Asia</x:t>
        </x:is>
      </x:c>
      <x:c r="D219" t="inlineStr">
        <x:is>
          <x:t xml:space="preserve">Europe</x:t>
        </x:is>
      </x:c>
      <x:c r="E219" s="11" t="n">
        <x:v>5422069</x:v>
      </x:c>
      <x:c r="F219" s="8" t="n">
        <x:v>140934076532.375</x:v>
      </x:c>
      <x:c r="G219" s="8" t="n">
        <x:v>2849224738.28021</x:v>
      </x:c>
      <x:c r="H219" s="11" t="n"/>
      <x:c r="I219" s="10" t="n"/>
      <x:c r="J219" s="10" t="n">
        <x:v>14.95325422937323</x:v>
      </x:c>
      <x:c r="K219" s="10" t="n">
        <x:v>73.90868187440459</x:v>
      </x:c>
      <x:c r="L219" s="10" t="n">
        <x:v>0</x:v>
      </x:c>
      <x:c r="M219" s="10" t="n">
        <x:v>68.04036124838908</x:v>
      </x:c>
      <x:c r="N219" s="10" t="n">
        <x:v>61.46432683894855</x:v>
      </x:c>
      <x:c r="O219" s="10" t="n">
        <x:v>73.90868187440459</x:v>
      </x:c>
      <x:c r="P219" s="10" t="n">
        <x:v>41.63745825677201</x:v>
      </x:c>
      <x:c r="Q219" s="10" t="n">
        <x:v>53.11255395561339</x:v>
      </x:c>
      <x:c r="R219" s="10" t="n">
        <x:v>0</x:v>
      </x:c>
      <x:c r="S219" s="10" t="n">
        <x:v>47.48149616509153</x:v>
      </x:c>
      <x:c r="T219" s="10" t="n">
        <x:v>50.55468817790016</x:v>
      </x:c>
      <x:c r="U219" s="10" t="n">
        <x:v>49.01809217149584</x:v>
      </x:c>
      <x:c r="V219" s="10" t="n">
        <x:v>100</x:v>
      </x:c>
      <x:c r="W219" s="7" t="n">
        <x:v>82</x:v>
      </x:c>
      <x:c r="X219" s="7" t="n">
        <x:v>58</x:v>
      </x:c>
      <x:c r="Y219" s="7" t="n">
        <x:v>70</x:v>
      </x:c>
    </x:row>
    <x:row r="220">
      <x:c r="A220" t="inlineStr">
        <x:is>
          <x:t xml:space="preserve">SLB</x:t>
        </x:is>
      </x:c>
      <x:c r="B220" t="inlineStr">
        <x:is>
          <x:t xml:space="preserve">Solomon Islands</x:t>
        </x:is>
      </x:c>
      <x:c r="C220" t="inlineStr">
        <x:is>
          <x:t xml:space="preserve">East Asia &amp; Pacific</x:t>
        </x:is>
      </x:c>
      <x:c r="D220" t="inlineStr">
        <x:is>
          <x:t xml:space="preserve">Oceania</x:t>
        </x:is>
      </x:c>
      <x:c r="E220" s="11" t="n">
        <x:v>819198</x:v>
      </x:c>
      <x:c r="F220" s="8" t="n">
        <x:v>1583964703.75061</x:v>
      </x:c>
      <x:c r="G220" s="8" t="n"/>
      <x:c r="H220" s="11" t="n"/>
      <x:c r="I220" s="10" t="n"/>
      <x:c r="J220" s="10" t="n">
        <x:v>68.40153188236339</x:v>
      </x:c>
      <x:c r="K220" s="10" t="n">
        <x:v>23.48968701599951</x:v>
      </x:c>
      <x:c r="L220" s="10" t="n">
        <x:v>0</x:v>
      </x:c>
      <x:c r="M220" s="10" t="n">
        <x:v>24.81143905101093</x:v>
      </x:c>
      <x:c r="N220" s="10" t="n"/>
      <x:c r="O220" s="10" t="n">
        <x:v>23.48968701599951</x:v>
      </x:c>
      <x:c r="P220" s="10" t="n">
        <x:v>15.14359865901074</x:v>
      </x:c>
      <x:c r="Q220" s="10" t="n">
        <x:v>37.25906477128829</x:v>
      </x:c>
      <x:c r="R220" s="10" t="n">
        <x:v>0</x:v>
      </x:c>
      <x:c r="S220" s="10" t="n">
        <x:v>17.3723176579096</x:v>
      </x:c>
      <x:c r="T220" s="10" t="n">
        <x:v>30.04470539240472</x:v>
      </x:c>
      <x:c r="U220" s="10" t="n">
        <x:v>23.70851152515716</x:v>
      </x:c>
      <x:c r="V220" s="10" t="n">
        <x:v>75</x:v>
      </x:c>
      <x:c r="W220" s="7" t="n">
        <x:v>197</x:v>
      </x:c>
      <x:c r="X220" s="7" t="n">
        <x:v>174</x:v>
      </x:c>
      <x:c r="Y220" s="7" t="n">
        <x:v>185</x:v>
      </x:c>
    </x:row>
    <x:row r="221">
      <x:c r="A221" t="inlineStr">
        <x:is>
          <x:t xml:space="preserve">SGS</x:t>
        </x:is>
      </x:c>
      <x:c r="B221" t="inlineStr">
        <x:is>
          <x:t xml:space="preserve">South Georgia and the South Sandwich Islands</x:t>
        </x:is>
      </x:c>
      <x:c r="E221" s="11" t="n"/>
      <x:c r="F221" s="8" t="n"/>
      <x:c r="G221" s="8" t="n"/>
      <x:c r="H221" s="11" t="n"/>
      <x:c r="I221" s="10" t="n"/>
      <x:c r="J221" s="10" t="n"/>
      <x:c r="K221" s="10" t="n"/>
      <x:c r="L221" s="10" t="n">
        <x:v>0</x:v>
      </x:c>
      <x:c r="M221" s="10" t="n"/>
      <x:c r="N221" s="10" t="n"/>
      <x:c r="O221" s="10" t="n"/>
      <x:c r="P221" s="10" t="n"/>
      <x:c r="Q221" s="10" t="n"/>
      <x:c r="R221" s="10" t="n">
        <x:v>0</x:v>
      </x:c>
      <x:c r="S221" s="10" t="n">
        <x:v>0</x:v>
      </x:c>
      <x:c r="T221" s="10" t="n">
        <x:v>0</x:v>
      </x:c>
      <x:c r="U221" s="10" t="n">
        <x:v>0</x:v>
      </x:c>
      <x:c r="V221" s="10" t="n">
        <x:v>12</x:v>
      </x:c>
      <x:c r="W221" s="7" t="n">
        <x:v>222</x:v>
      </x:c>
      <x:c r="X221" s="7" t="n">
        <x:v>222</x:v>
      </x:c>
      <x:c r="Y221" s="7" t="n">
        <x:v>222</x:v>
      </x:c>
    </x:row>
    <x:row r="222">
      <x:c r="A222" t="inlineStr">
        <x:is>
          <x:t xml:space="preserve">ISR</x:t>
        </x:is>
      </x:c>
      <x:c r="B222" t="inlineStr">
        <x:is>
          <x:t xml:space="preserve">Israel</x:t>
        </x:is>
      </x:c>
      <x:c r="C222" t="inlineStr">
        <x:is>
          <x:t xml:space="preserve">Middle East &amp; North Africa</x:t>
        </x:is>
      </x:c>
      <x:c r="D222" t="inlineStr">
        <x:is>
          <x:t xml:space="preserve">Asia</x:t>
        </x:is>
      </x:c>
      <x:c r="E222" s="11" t="n">
        <x:v>9974400</x:v>
      </x:c>
      <x:c r="F222" s="8" t="n">
        <x:v>540379921261.681</x:v>
      </x:c>
      <x:c r="G222" s="8" t="n">
        <x:v>46505298369.3376</x:v>
      </x:c>
      <x:c r="H222" s="11" t="n">
        <x:v>67</x:v>
      </x:c>
      <x:c r="I222" s="10" t="n">
        <x:v>32.9</x:v>
      </x:c>
      <x:c r="J222" s="10" t="n">
        <x:v>32.40228732090904</x:v>
      </x:c>
      <x:c r="K222" s="10" t="n">
        <x:v>83.11657302705328</x:v>
      </x:c>
      <x:c r="L222" s="10" t="n">
        <x:v>44.4781945283296</x:v>
      </x:c>
      <x:c r="M222" s="10" t="n">
        <x:v>81.30610814481139</x:v>
      </x:c>
      <x:c r="N222" s="10" t="n">
        <x:v>74.03836717425956</x:v>
      </x:c>
      <x:c r="O222" s="10" t="n">
        <x:v>83.11657302705328</x:v>
      </x:c>
      <x:c r="P222" s="10" t="n">
        <x:v>48.78059076561111</x:v>
      </x:c>
      <x:c r="Q222" s="10" t="n">
        <x:v>58.22572024187378</x:v>
      </x:c>
      <x:c r="R222" s="10" t="n">
        <x:v>12.37650259111508</x:v>
      </x:c>
      <x:c r="S222" s="10" t="n">
        <x:v>63.62567937761835</x:v>
      </x:c>
      <x:c r="T222" s="10" t="n">
        <x:v>61.67045458479586</x:v>
      </x:c>
      <x:c r="U222" s="10" t="n">
        <x:v>62.64806698120711</x:v>
      </x:c>
      <x:c r="V222" s="10" t="n">
        <x:v>100</x:v>
      </x:c>
      <x:c r="W222" s="7" t="n">
        <x:v>16</x:v>
      </x:c>
      <x:c r="X222" s="7" t="n">
        <x:v>10</x:v>
      </x:c>
      <x:c r="Y222" s="7" t="n">
        <x:v>12</x:v>
      </x:c>
    </x:row>
    <x:row r="223">
      <x:c r="A223" t="inlineStr">
        <x:is>
          <x:t xml:space="preserve">KWT</x:t>
        </x:is>
      </x:c>
      <x:c r="B223" t="inlineStr">
        <x:is>
          <x:t xml:space="preserve">Kuwait</x:t>
        </x:is>
      </x:c>
      <x:c r="C223" t="inlineStr">
        <x:is>
          <x:t xml:space="preserve">Middle East &amp; North Africa</x:t>
        </x:is>
      </x:c>
      <x:c r="D223" t="inlineStr">
        <x:is>
          <x:t xml:space="preserve">Asia</x:t>
        </x:is>
      </x:c>
      <x:c r="E223" s="11" t="n">
        <x:v>4897263</x:v>
      </x:c>
      <x:c r="F223" s="8" t="n">
        <x:v>160227273053.334</x:v>
      </x:c>
      <x:c r="G223" s="8" t="n">
        <x:v>7792925565.71038</x:v>
      </x:c>
      <x:c r="H223" s="11" t="n">
        <x:v>123</x:v>
      </x:c>
      <x:c r="I223" s="10" t="n"/>
      <x:c r="J223" s="10" t="n">
        <x:v>8.795391855183794</x:v>
      </x:c>
      <x:c r="K223" s="10" t="n">
        <x:v>94.23068779926338</x:v>
      </x:c>
      <x:c r="L223" s="10" t="n">
        <x:v>41.81092803713246</x:v>
      </x:c>
      <x:c r="M223" s="10" t="n">
        <x:v>70.52592408853087</x:v>
      </x:c>
      <x:c r="N223" s="10" t="n">
        <x:v>67.54493654900347</x:v>
      </x:c>
      <x:c r="O223" s="10" t="n">
        <x:v>94.23068779926338</x:v>
      </x:c>
      <x:c r="P223" s="10" t="n">
        <x:v>57.01359433575772</x:v>
      </x:c>
      <x:c r="Q223" s="10" t="n">
        <x:v>52.25859571239061</x:v>
      </x:c>
      <x:c r="R223" s="10" t="n">
        <x:v>0</x:v>
      </x:c>
      <x:c r="S223" s="10" t="n">
        <x:v>62.78715390158035</x:v>
      </x:c>
      <x:c r="T223" s="10" t="n">
        <x:v>55.24183428832133</x:v>
      </x:c>
      <x:c r="U223" s="10" t="n">
        <x:v>59.01449409495084</x:v>
      </x:c>
      <x:c r="V223" s="10" t="n">
        <x:v>100</x:v>
      </x:c>
      <x:c r="W223" s="7" t="n">
        <x:v>19</x:v>
      </x:c>
      <x:c r="X223" s="7" t="n">
        <x:v>29</x:v>
      </x:c>
      <x:c r="Y223" s="7" t="n">
        <x:v>21</x:v>
      </x:c>
    </x:row>
    <x:row r="224">
      <x:c r="A224" t="inlineStr">
        <x:is>
          <x:t xml:space="preserve">QAT</x:t>
        </x:is>
      </x:c>
      <x:c r="B224" t="inlineStr">
        <x:is>
          <x:t xml:space="preserve">Qatar</x:t>
        </x:is>
      </x:c>
      <x:c r="C224" t="inlineStr">
        <x:is>
          <x:t xml:space="preserve">Middle East &amp; North Africa</x:t>
        </x:is>
      </x:c>
      <x:c r="D224" t="inlineStr">
        <x:is>
          <x:t xml:space="preserve">Asia</x:t>
        </x:is>
      </x:c>
      <x:c r="E224" s="11" t="n">
        <x:v>2857822</x:v>
      </x:c>
      <x:c r="F224" s="8" t="n">
        <x:v>219162637362.637</x:v>
      </x:c>
      <x:c r="G224" s="8" t="n">
        <x:v>15412087912.0879</x:v>
      </x:c>
      <x:c r="H224" s="11" t="n">
        <x:v>123</x:v>
      </x:c>
      <x:c r="I224" s="10" t="n"/>
      <x:c r="J224" s="10" t="n">
        <x:v>2.714033334635531</x:v>
      </x:c>
      <x:c r="K224" s="10" t="n">
        <x:v>100</x:v>
      </x:c>
      <x:c r="L224" s="10" t="n">
        <x:v>41.81092803713246</x:v>
      </x:c>
      <x:c r="M224" s="10" t="n">
        <x:v>71.14196759601724</x:v>
      </x:c>
      <x:c r="N224" s="10" t="n">
        <x:v>77.41318876443327</x:v>
      </x:c>
      <x:c r="O224" s="10" t="n">
        <x:v>100</x:v>
      </x:c>
      <x:c r="P224" s="10" t="n">
        <x:v>66.44140323455419</x:v>
      </x:c>
      <x:c r="Q224" s="10" t="n">
        <x:v>47.74040705973298</x:v>
      </x:c>
      <x:c r="R224" s="10" t="n">
        <x:v>0</x:v>
      </x:c>
      <x:c r="S224" s="10" t="n">
        <x:v>66.8122182673448</x:v>
      </x:c>
      <x:c r="T224" s="10" t="n">
        <x:v>56.04013298275762</x:v>
      </x:c>
      <x:c r="U224" s="10" t="n">
        <x:v>61.42617562505121</x:v>
      </x:c>
      <x:c r="V224" s="10" t="n">
        <x:v>100</x:v>
      </x:c>
      <x:c r="W224" s="7" t="n">
        <x:v>11</x:v>
      </x:c>
      <x:c r="X224" s="7" t="n">
        <x:v>26</x:v>
      </x:c>
      <x:c r="Y224" s="7" t="n">
        <x:v>17</x:v>
      </x:c>
    </x:row>
    <x:row r="225">
      <x:c r="A225" t="inlineStr">
        <x:is>
          <x:t xml:space="preserve">OMN</x:t>
        </x:is>
      </x:c>
      <x:c r="B225" t="inlineStr">
        <x:is>
          <x:t xml:space="preserve">Oman</x:t>
        </x:is>
      </x:c>
      <x:c r="C225" t="inlineStr">
        <x:is>
          <x:t xml:space="preserve">Middle East &amp; North Africa</x:t>
        </x:is>
      </x:c>
      <x:c r="D225" t="inlineStr">
        <x:is>
          <x:t xml:space="preserve">Asia</x:t>
        </x:is>
      </x:c>
      <x:c r="E225" s="11" t="n">
        <x:v>5281538</x:v>
      </x:c>
      <x:c r="F225" s="8" t="n">
        <x:v>107137198769.386</x:v>
      </x:c>
      <x:c r="G225" s="8" t="n">
        <x:v>5988296488.94668</x:v>
      </x:c>
      <x:c r="H225" s="11" t="n">
        <x:v>22</x:v>
      </x:c>
      <x:c r="I225" s="10" t="n"/>
      <x:c r="J225" s="10" t="n">
        <x:v>24.25036907009512</x:v>
      </x:c>
      <x:c r="K225" s="10" t="n">
        <x:v>66.83209313354129</x:v>
      </x:c>
      <x:c r="L225" s="10" t="n">
        <x:v>22.88325945795487</x:v>
      </x:c>
      <x:c r="M225" s="10" t="n">
        <x:v>72.17043432611331</x:v>
      </x:c>
      <x:c r="N225" s="10" t="n">
        <x:v>64.26010700409965</x:v>
      </x:c>
      <x:c r="O225" s="10" t="n">
        <x:v>66.83209313354129</x:v>
      </x:c>
      <x:c r="P225" s="10" t="n">
        <x:v>44.2979077140705</x:v>
      </x:c>
      <x:c r="Q225" s="10" t="n">
        <x:v>52.89227067747038</x:v>
      </x:c>
      <x:c r="R225" s="10" t="n">
        <x:v>0</x:v>
      </x:c>
      <x:c r="S225" s="10" t="n">
        <x:v>52.18419923922742</x:v>
      </x:c>
      <x:c r="T225" s="10" t="n">
        <x:v>52.43869324972842</x:v>
      </x:c>
      <x:c r="U225" s="10" t="n">
        <x:v>52.31144624447792</x:v>
      </x:c>
      <x:c r="V225" s="10" t="n">
        <x:v>100</x:v>
      </x:c>
      <x:c r="W225" s="7" t="n">
        <x:v>57</x:v>
      </x:c>
      <x:c r="X225" s="7" t="n">
        <x:v>46</x:v>
      </x:c>
      <x:c r="Y225" s="7" t="n">
        <x:v>49</x:v>
      </x:c>
    </x:row>
    <x:row r="226">
      <x:c r="A226" t="inlineStr">
        <x:is>
          <x:t xml:space="preserve">SJM</x:t>
        </x:is>
      </x:c>
      <x:c r="B226" t="inlineStr">
        <x:is>
          <x:t xml:space="preserve">Svalbard and Jan Mayen</x:t>
        </x:is>
      </x:c>
      <x:c r="E226" s="11" t="n"/>
      <x:c r="F226" s="8" t="n"/>
      <x:c r="G226" s="8" t="n"/>
      <x:c r="H226" s="11" t="n"/>
      <x:c r="I226" s="10" t="n"/>
      <x:c r="J226" s="10" t="n"/>
      <x:c r="K226" s="10" t="n"/>
      <x:c r="L226" s="10" t="n">
        <x:v>0</x:v>
      </x:c>
      <x:c r="M226" s="10" t="n"/>
      <x:c r="N226" s="10" t="n"/>
      <x:c r="O226" s="10" t="n"/>
      <x:c r="P226" s="10" t="n"/>
      <x:c r="Q226" s="10" t="n"/>
      <x:c r="R226" s="10" t="n">
        <x:v>0</x:v>
      </x:c>
      <x:c r="S226" s="10" t="n">
        <x:v>0</x:v>
      </x:c>
      <x:c r="T226" s="10" t="n">
        <x:v>0</x:v>
      </x:c>
      <x:c r="U226" s="10" t="n">
        <x:v>0</x:v>
      </x:c>
      <x:c r="V226" s="10" t="n">
        <x:v>12</x:v>
      </x:c>
      <x:c r="W226" s="7" t="n">
        <x:v>222</x:v>
      </x:c>
      <x:c r="X226" s="7" t="n">
        <x:v>222</x:v>
      </x:c>
      <x:c r="Y226" s="7" t="n">
        <x:v>222</x:v>
      </x:c>
    </x:row>
    <x:row r="227">
      <x:c r="A227" t="inlineStr">
        <x:is>
          <x:t xml:space="preserve">CHE</x:t>
        </x:is>
      </x:c>
      <x:c r="B227" t="inlineStr">
        <x:is>
          <x:t xml:space="preserve">Switzerland</x:t>
        </x:is>
      </x:c>
      <x:c r="C227" t="inlineStr">
        <x:is>
          <x:t xml:space="preserve">Europe &amp; Central Asia</x:t>
        </x:is>
      </x:c>
      <x:c r="D227" t="inlineStr">
        <x:is>
          <x:t xml:space="preserve">Europe</x:t>
        </x:is>
      </x:c>
      <x:c r="E227" s="11" t="n">
        <x:v>9005582</x:v>
      </x:c>
      <x:c r="F227" s="8" t="n">
        <x:v>936564198048.516</x:v>
      </x:c>
      <x:c r="G227" s="8" t="n">
        <x:v>6722303543.86997</x:v>
      </x:c>
      <x:c r="H227" s="11" t="n"/>
      <x:c r="I227" s="10" t="n"/>
      <x:c r="J227" s="10" t="n">
        <x:v>11.61704450836663</x:v>
      </x:c>
      <x:c r="K227" s="10" t="n">
        <x:v>86.33951450985316</x:v>
      </x:c>
      <x:c r="L227" s="10" t="n">
        <x:v>0</x:v>
      </x:c>
      <x:c r="M227" s="10" t="n">
        <x:v>71.55005510228862</x:v>
      </x:c>
      <x:c r="N227" s="10" t="n">
        <x:v>67.33510827874973</x:v>
      </x:c>
      <x:c r="O227" s="10" t="n">
        <x:v>86.33951450985316</x:v>
      </x:c>
      <x:c r="P227" s="10" t="n">
        <x:v>56.21915514436303</x:v>
      </x:c>
      <x:c r="Q227" s="10" t="n">
        <x:v>57.36860613345597</x:v>
      </x:c>
      <x:c r="R227" s="10" t="n">
        <x:v>0</x:v>
      </x:c>
      <x:c r="S227" s="10" t="n">
        <x:v>53.56903889847094</x:v>
      </x:c>
      <x:c r="T227" s="10" t="n">
        <x:v>55.20331692364923</x:v>
      </x:c>
      <x:c r="U227" s="10" t="n">
        <x:v>54.38617791106008</x:v>
      </x:c>
      <x:c r="V227" s="10" t="n">
        <x:v>100</x:v>
      </x:c>
      <x:c r="W227" s="7" t="n">
        <x:v>52</x:v>
      </x:c>
      <x:c r="X227" s="7" t="n">
        <x:v>30</x:v>
      </x:c>
      <x:c r="Y227" s="7" t="n">
        <x:v>39</x:v>
      </x:c>
    </x:row>
    <x:row r="228">
      <x:c r="A228" t="inlineStr">
        <x:is>
          <x:t xml:space="preserve">SYR</x:t>
        </x:is>
      </x:c>
      <x:c r="B228" t="inlineStr">
        <x:is>
          <x:t xml:space="preserve">Syrian Arab Republic</x:t>
        </x:is>
      </x:c>
      <x:c r="C228" t="inlineStr">
        <x:is>
          <x:t xml:space="preserve">Middle East &amp; North Africa</x:t>
        </x:is>
      </x:c>
      <x:c r="D228" t="inlineStr">
        <x:is>
          <x:t xml:space="preserve">Asia</x:t>
        </x:is>
      </x:c>
      <x:c r="E228" s="11" t="n">
        <x:v>24672760</x:v>
      </x:c>
      <x:c r="F228" s="8" t="n">
        <x:v>23622827079.5047</x:v>
      </x:c>
      <x:c r="G228" s="8" t="n">
        <x:v>2494887483.1484</x:v>
      </x:c>
      <x:c r="H228" s="11" t="n">
        <x:v>47</x:v>
      </x:c>
      <x:c r="I228" s="10" t="n"/>
      <x:c r="J228" s="10" t="n">
        <x:v>10.83978254096896</x:v>
      </x:c>
      <x:c r="K228" s="10" t="n">
        <x:v>37.57626004378672</x:v>
      </x:c>
      <x:c r="L228" s="10" t="n">
        <x:v>31.14852473875452</x:v>
      </x:c>
      <x:c r="M228" s="10" t="n">
        <x:v>76.09548749259631</x:v>
      </x:c>
      <x:c r="N228" s="10" t="n">
        <x:v>63.89182647390341</x:v>
      </x:c>
      <x:c r="O228" s="10" t="n">
        <x:v>37.57626004378672</x:v>
      </x:c>
      <x:c r="P228" s="10" t="n">
        <x:v>27.76332226447867</x:v>
      </x:c>
      <x:c r="Q228" s="10" t="n">
        <x:v>65.82300602637594</x:v>
      </x:c>
      <x:c r="R228" s="10" t="n">
        <x:v>0</x:v>
      </x:c>
      <x:c r="S228" s="10" t="n">
        <x:v>49.21505950110055</x:v>
      </x:c>
      <x:c r="T228" s="10" t="n">
        <x:v>46.33604974606857</x:v>
      </x:c>
      <x:c r="U228" s="10" t="n">
        <x:v>47.77555462358457</x:v>
      </x:c>
      <x:c r="V228" s="10" t="n">
        <x:v>100</x:v>
      </x:c>
      <x:c r="W228" s="7" t="n">
        <x:v>74</x:v>
      </x:c>
      <x:c r="X228" s="7" t="n">
        <x:v>76</x:v>
      </x:c>
      <x:c r="Y228" s="7" t="n">
        <x:v>75</x:v>
      </x:c>
    </x:row>
    <x:row r="229">
      <x:c r="A229" t="inlineStr">
        <x:is>
          <x:t xml:space="preserve">TWN</x:t>
        </x:is>
      </x:c>
      <x:c r="B229" t="inlineStr">
        <x:is>
          <x:t xml:space="preserve">Taiwan</x:t>
        </x:is>
      </x:c>
      <x:c r="D229" t="inlineStr">
        <x:is>
          <x:t xml:space="preserve">Asia</x:t>
        </x:is>
      </x:c>
      <x:c r="E229" s="11" t="n"/>
      <x:c r="F229" s="8" t="n"/>
      <x:c r="G229" s="8" t="n"/>
      <x:c r="H229" s="11" t="n">
        <x:v>93</x:v>
      </x:c>
      <x:c r="I229" s="10" t="n">
        <x:v>74.59999999999999</x:v>
      </x:c>
      <x:c r="J229" s="10" t="n">
        <x:v>9.819072320103661</x:v>
      </x:c>
      <x:c r="K229" s="10" t="n">
        <x:v>91.40593504418845</x:v>
      </x:c>
      <x:c r="L229" s="10" t="n">
        <x:v>56.41834794666693</x:v>
      </x:c>
      <x:c r="M229" s="10" t="n"/>
      <x:c r="N229" s="10" t="n"/>
      <x:c r="O229" s="10" t="n">
        <x:v>91.40593504418845</x:v>
      </x:c>
      <x:c r="P229" s="10" t="n"/>
      <x:c r="Q229" s="10" t="n"/>
      <x:c r="R229" s="10" t="n">
        <x:v>0</x:v>
      </x:c>
      <x:c r="S229" s="10" t="n">
        <x:v>56.14491951454858</x:v>
      </x:c>
      <x:c r="T229" s="10" t="n">
        <x:v>28.91406388080478</x:v>
      </x:c>
      <x:c r="U229" s="10" t="n">
        <x:v>42.52949169767668</x:v>
      </x:c>
      <x:c r="V229" s="10" t="n">
        <x:v>38</x:v>
      </x:c>
      <x:c r="W229" s="7" t="n">
        <x:v>38</x:v>
      </x:c>
      <x:c r="X229" s="7" t="n">
        <x:v>178</x:v>
      </x:c>
      <x:c r="Y229" s="7" t="n">
        <x:v>110</x:v>
      </x:c>
    </x:row>
    <x:row r="230">
      <x:c r="A230" t="inlineStr">
        <x:is>
          <x:t xml:space="preserve">TZA</x:t>
        </x:is>
      </x:c>
      <x:c r="B230" t="inlineStr">
        <x:is>
          <x:t xml:space="preserve">Tanzania</x:t>
        </x:is>
      </x:c>
      <x:c r="C230" t="inlineStr">
        <x:is>
          <x:t xml:space="preserve">Sub-Saharan Africa</x:t>
        </x:is>
      </x:c>
      <x:c r="D230" t="inlineStr">
        <x:is>
          <x:t xml:space="preserve">Africa</x:t>
        </x:is>
      </x:c>
      <x:c r="E230" s="11" t="n">
        <x:v>68560157</x:v>
      </x:c>
      <x:c r="F230" s="8" t="n">
        <x:v>78844405385.2195</x:v>
      </x:c>
      <x:c r="G230" s="8" t="n">
        <x:v>920849885.868755</x:v>
      </x:c>
      <x:c r="H230" s="11" t="n">
        <x:v>12</x:v>
      </x:c>
      <x:c r="I230" s="10" t="n"/>
      <x:c r="J230" s="10" t="n">
        <x:v>6.386696595044494</x:v>
      </x:c>
      <x:c r="K230" s="10" t="n">
        <x:v>34.35924971841489</x:v>
      </x:c>
      <x:c r="L230" s="10" t="n">
        <x:v>16.47349861026911</x:v>
      </x:c>
      <x:c r="M230" s="10" t="n">
        <x:v>67.82104728193242</x:v>
      </x:c>
      <x:c r="N230" s="10" t="n">
        <x:v>57.53719728917798</x:v>
      </x:c>
      <x:c r="O230" s="10" t="n">
        <x:v>34.35924971841489</x:v>
      </x:c>
      <x:c r="P230" s="10" t="n">
        <x:v>33.30843637844287</x:v>
      </x:c>
      <x:c r="Q230" s="10" t="n">
        <x:v>74.39615877689234</x:v>
      </x:c>
      <x:c r="R230" s="10" t="n">
        <x:v>0</x:v>
      </x:c>
      <x:c r="S230" s="10" t="n">
        <x:v>44.87141223518032</x:v>
      </x:c>
      <x:c r="T230" s="10" t="n">
        <x:v>44.45189589302913</x:v>
      </x:c>
      <x:c r="U230" s="10" t="n">
        <x:v>44.66165406410472</x:v>
      </x:c>
      <x:c r="V230" s="10" t="n">
        <x:v>100</x:v>
      </x:c>
      <x:c r="W230" s="7" t="n">
        <x:v>94</x:v>
      </x:c>
      <x:c r="X230" s="7" t="n">
        <x:v>95</x:v>
      </x:c>
      <x:c r="Y230" s="7" t="n">
        <x:v>98</x:v>
      </x:c>
    </x:row>
    <x:row r="231">
      <x:c r="A231" t="inlineStr">
        <x:is>
          <x:t xml:space="preserve">TGO</x:t>
        </x:is>
      </x:c>
      <x:c r="B231" t="inlineStr">
        <x:is>
          <x:t xml:space="preserve">Togo</x:t>
        </x:is>
      </x:c>
      <x:c r="C231" t="inlineStr">
        <x:is>
          <x:t xml:space="preserve">Sub-Saharan Africa</x:t>
        </x:is>
      </x:c>
      <x:c r="D231" t="inlineStr">
        <x:is>
          <x:t xml:space="preserve">Africa</x:t>
        </x:is>
      </x:c>
      <x:c r="E231" s="11" t="n">
        <x:v>9515236</x:v>
      </x:c>
      <x:c r="F231" s="8" t="n">
        <x:v>10651180146.531</x:v>
      </x:c>
      <x:c r="G231" s="8" t="n">
        <x:v>195347349.222552</x:v>
      </x:c>
      <x:c r="H231" s="11" t="n"/>
      <x:c r="I231" s="10" t="n"/>
      <x:c r="J231" s="10" t="n">
        <x:v>19.72864306849169</x:v>
      </x:c>
      <x:c r="K231" s="10" t="n">
        <x:v>29.89831990381788</x:v>
      </x:c>
      <x:c r="L231" s="10" t="n">
        <x:v>0</x:v>
      </x:c>
      <x:c r="M231" s="10" t="n">
        <x:v>59.93165819743628</x:v>
      </x:c>
      <x:c r="N231" s="10" t="n">
        <x:v>52.10778290158124</x:v>
      </x:c>
      <x:c r="O231" s="10" t="n">
        <x:v>29.89831990381788</x:v>
      </x:c>
      <x:c r="P231" s="10" t="n">
        <x:v>23.83194123810319</x:v>
      </x:c>
      <x:c r="Q231" s="10" t="n">
        <x:v>57.83039085196607</x:v>
      </x:c>
      <x:c r="R231" s="10" t="n">
        <x:v>0</x:v>
      </x:c>
      <x:c r="S231" s="10" t="n">
        <x:v>35.38889197903903</x:v>
      </x:c>
      <x:c r="T231" s="10" t="n">
        <x:v>40.18231863015231</x:v>
      </x:c>
      <x:c r="U231" s="10" t="n">
        <x:v>37.78560530459567</x:v>
      </x:c>
      <x:c r="V231" s="10" t="n">
        <x:v>100</x:v>
      </x:c>
      <x:c r="W231" s="7" t="n">
        <x:v>153</x:v>
      </x:c>
      <x:c r="X231" s="7" t="n">
        <x:v>139</x:v>
      </x:c>
      <x:c r="Y231" s="7" t="n">
        <x:v>145</x:v>
      </x:c>
    </x:row>
    <x:row r="232">
      <x:c r="A232" t="inlineStr">
        <x:is>
          <x:t xml:space="preserve">TKL</x:t>
        </x:is>
      </x:c>
      <x:c r="B232" t="inlineStr">
        <x:is>
          <x:t xml:space="preserve">Tokelau</x:t>
        </x:is>
      </x:c>
      <x:c r="E232" s="11" t="n"/>
      <x:c r="F232" s="8" t="n"/>
      <x:c r="G232" s="8" t="n"/>
      <x:c r="H232" s="11" t="n"/>
      <x:c r="I232" s="10" t="n"/>
      <x:c r="J232" s="10" t="n"/>
      <x:c r="K232" s="10" t="n"/>
      <x:c r="L232" s="10" t="n">
        <x:v>0</x:v>
      </x:c>
      <x:c r="M232" s="10" t="n"/>
      <x:c r="N232" s="10" t="n"/>
      <x:c r="O232" s="10" t="n"/>
      <x:c r="P232" s="10" t="n"/>
      <x:c r="Q232" s="10" t="n"/>
      <x:c r="R232" s="10" t="n">
        <x:v>0</x:v>
      </x:c>
      <x:c r="S232" s="10" t="n">
        <x:v>0</x:v>
      </x:c>
      <x:c r="T232" s="10" t="n">
        <x:v>0</x:v>
      </x:c>
      <x:c r="U232" s="10" t="n">
        <x:v>0</x:v>
      </x:c>
      <x:c r="V232" s="10" t="n">
        <x:v>12</x:v>
      </x:c>
      <x:c r="W232" s="7" t="n">
        <x:v>222</x:v>
      </x:c>
      <x:c r="X232" s="7" t="n">
        <x:v>222</x:v>
      </x:c>
      <x:c r="Y232" s="7" t="n">
        <x:v>222</x:v>
      </x:c>
    </x:row>
    <x:row r="233">
      <x:c r="A233" t="inlineStr">
        <x:is>
          <x:t xml:space="preserve">TKM</x:t>
        </x:is>
      </x:c>
      <x:c r="B233" t="inlineStr">
        <x:is>
          <x:t xml:space="preserve">Turkmenistan</x:t>
        </x:is>
      </x:c>
      <x:c r="C233" t="inlineStr">
        <x:is>
          <x:t xml:space="preserve">Europe &amp; Central Asia</x:t>
        </x:is>
      </x:c>
      <x:c r="D233" t="inlineStr">
        <x:is>
          <x:t xml:space="preserve">Asia</x:t>
        </x:is>
      </x:c>
      <x:c r="E233" s="11" t="n">
        <x:v>7494498</x:v>
      </x:c>
      <x:c r="F233" s="8" t="n">
        <x:v>51387209872.2994</x:v>
      </x:c>
      <x:c r="G233" s="8" t="n">
        <x:v>111923076.923077</x:v>
      </x:c>
      <x:c r="H233" s="11" t="n">
        <x:v>44</x:v>
      </x:c>
      <x:c r="I233" s="10" t="n">
        <x:v>2.3</x:v>
      </x:c>
      <x:c r="J233" s="10" t="n">
        <x:v>24.12902645512052</x:v>
      </x:c>
      <x:c r="K233" s="10" t="n">
        <x:v>51.49594220383855</x:v>
      </x:c>
      <x:c r="L233" s="10" t="n">
        <x:v>12.16938783689193</x:v>
      </x:c>
      <x:c r="M233" s="10" t="n">
        <x:v>67.7354552069261</x:v>
      </x:c>
      <x:c r="N233" s="10" t="n">
        <x:v>54.61359756907242</x:v>
      </x:c>
      <x:c r="O233" s="10" t="n">
        <x:v>51.49594220383855</x:v>
      </x:c>
      <x:c r="P233" s="10" t="n">
        <x:v>34.32941984103801</x:v>
      </x:c>
      <x:c r="Q233" s="10" t="n">
        <x:v>55.82784344820661</x:v>
      </x:c>
      <x:c r="R233" s="10" t="n">
        <x:v>0</x:v>
      </x:c>
      <x:c r="S233" s="10" t="n">
        <x:v>43.97246674856456</x:v>
      </x:c>
      <x:c r="T233" s="10" t="n">
        <x:v>46.54436324443547</x:v>
      </x:c>
      <x:c r="U233" s="10" t="n">
        <x:v>45.25841499650002</x:v>
      </x:c>
      <x:c r="V233" s="10" t="n">
        <x:v>100</x:v>
      </x:c>
      <x:c r="W233" s="7" t="n">
        <x:v>101</x:v>
      </x:c>
      <x:c r="X233" s="7" t="n">
        <x:v>75</x:v>
      </x:c>
      <x:c r="Y233" s="7" t="n">
        <x:v>94</x:v>
      </x:c>
    </x:row>
    <x:row r="234">
      <x:c r="A234" t="inlineStr">
        <x:is>
          <x:t xml:space="preserve">TCA</x:t>
        </x:is>
      </x:c>
      <x:c r="B234" t="inlineStr">
        <x:is>
          <x:t xml:space="preserve">Turks and Caicos Islands</x:t>
        </x:is>
      </x:c>
      <x:c r="C234" t="inlineStr">
        <x:is>
          <x:t xml:space="preserve">Latin America &amp; Caribbean</x:t>
        </x:is>
      </x:c>
      <x:c r="E234" s="11" t="n">
        <x:v>46535</x:v>
      </x:c>
      <x:c r="F234" s="8" t="n">
        <x:v>1745378000</x:v>
      </x:c>
      <x:c r="G234" s="8" t="n"/>
      <x:c r="H234" s="11" t="n"/>
      <x:c r="I234" s="10" t="n"/>
      <x:c r="J234" s="10" t="n"/>
      <x:c r="K234" s="10" t="n"/>
      <x:c r="L234" s="10" t="n">
        <x:v>0</x:v>
      </x:c>
      <x:c r="M234" s="10" t="n">
        <x:v>25.55546720081152</x:v>
      </x:c>
      <x:c r="N234" s="10" t="n"/>
      <x:c r="O234" s="10" t="n"/>
      <x:c r="P234" s="10" t="n">
        <x:v>25.55546720081152</x:v>
      </x:c>
      <x:c r="Q234" s="10" t="n">
        <x:v>13.19998051881217</x:v>
      </x:c>
      <x:c r="R234" s="10" t="n">
        <x:v>0</x:v>
      </x:c>
      <x:c r="S234" s="10" t="n">
        <x:v>14.00076347948358</x:v>
      </x:c>
      <x:c r="T234" s="10" t="n">
        <x:v>18.10095346384593</x:v>
      </x:c>
      <x:c r="U234" s="10" t="n">
        <x:v>16.05085847166476</x:v>
      </x:c>
      <x:c r="V234" s="10" t="n">
        <x:v>50</x:v>
      </x:c>
      <x:c r="W234" s="7" t="n">
        <x:v>205</x:v>
      </x:c>
      <x:c r="X234" s="7" t="n">
        <x:v>204</x:v>
      </x:c>
      <x:c r="Y234" s="7" t="n">
        <x:v>205</x:v>
      </x:c>
    </x:row>
    <x:row r="235">
      <x:c r="A235" t="inlineStr">
        <x:is>
          <x:t xml:space="preserve">TUV</x:t>
        </x:is>
      </x:c>
      <x:c r="B235" t="inlineStr">
        <x:is>
          <x:t xml:space="preserve">Tuvalu</x:t>
        </x:is>
      </x:c>
      <x:c r="C235" t="inlineStr">
        <x:is>
          <x:t xml:space="preserve">East Asia &amp; Pacific</x:t>
        </x:is>
      </x:c>
      <x:c r="E235" s="11" t="n">
        <x:v>9646</x:v>
      </x:c>
      <x:c r="F235" s="8" t="n">
        <x:v>62280311.5852172</x:v>
      </x:c>
      <x:c r="G235" s="8" t="n"/>
      <x:c r="H235" s="11" t="n"/>
      <x:c r="I235" s="10" t="n"/>
      <x:c r="J235" s="10" t="n"/>
      <x:c r="K235" s="10" t="n"/>
      <x:c r="L235" s="10" t="n">
        <x:v>0</x:v>
      </x:c>
      <x:c r="M235" s="10" t="n">
        <x:v>0</x:v>
      </x:c>
      <x:c r="N235" s="10" t="n"/>
      <x:c r="O235" s="10" t="n"/>
      <x:c r="P235" s="10" t="n">
        <x:v>0</x:v>
      </x:c>
      <x:c r="Q235" s="10" t="n">
        <x:v>0</x:v>
      </x:c>
      <x:c r="R235" s="10" t="n">
        <x:v>0</x:v>
      </x:c>
      <x:c r="S235" s="10" t="n">
        <x:v>0</x:v>
      </x:c>
      <x:c r="T235" s="10" t="n">
        <x:v>0</x:v>
      </x:c>
      <x:c r="U235" s="10" t="n">
        <x:v>0</x:v>
      </x:c>
      <x:c r="V235" s="10" t="n">
        <x:v>50</x:v>
      </x:c>
      <x:c r="W235" s="7" t="n">
        <x:v>222</x:v>
      </x:c>
      <x:c r="X235" s="7" t="n">
        <x:v>222</x:v>
      </x:c>
      <x:c r="Y235" s="7" t="n">
        <x:v>222</x:v>
      </x:c>
    </x:row>
    <x:row r="236">
      <x:c r="A236" t="inlineStr">
        <x:is>
          <x:t xml:space="preserve">UKR</x:t>
        </x:is>
      </x:c>
      <x:c r="B236" t="inlineStr">
        <x:is>
          <x:t xml:space="preserve">Ukraine</x:t>
        </x:is>
      </x:c>
      <x:c r="C236" t="inlineStr">
        <x:is>
          <x:t xml:space="preserve">Europe &amp; Central Asia</x:t>
        </x:is>
      </x:c>
      <x:c r="D236" t="inlineStr">
        <x:is>
          <x:t xml:space="preserve">Europe</x:t>
        </x:is>
      </x:c>
      <x:c r="E236" s="11" t="n">
        <x:v>37860221</x:v>
      </x:c>
      <x:c r="F236" s="8" t="n">
        <x:v>190741262414.705</x:v>
      </x:c>
      <x:c r="G236" s="8" t="n">
        <x:v>64704990025.4782</x:v>
      </x:c>
      <x:c r="H236" s="11" t="n">
        <x:v>104</x:v>
      </x:c>
      <x:c r="I236" s="10" t="n">
        <x:v>8.6</x:v>
      </x:c>
      <x:c r="J236" s="10" t="n">
        <x:v>21.51303834902002</x:v>
      </x:c>
      <x:c r="K236" s="10" t="n">
        <x:v>51.55268352474084</x:v>
      </x:c>
      <x:c r="L236" s="10" t="n">
        <x:v>29.93689277755115</x:v>
      </x:c>
      <x:c r="M236" s="10" t="n">
        <x:v>82.42092254871659</x:v>
      </x:c>
      <x:c r="N236" s="10" t="n">
        <x:v>74.78335451605133</x:v>
      </x:c>
      <x:c r="O236" s="10" t="n">
        <x:v>51.55268352474084</x:v>
      </x:c>
      <x:c r="P236" s="10" t="n">
        <x:v>38.41875147079361</x:v>
      </x:c>
      <x:c r="Q236" s="10" t="n">
        <x:v>69.41497457862006</x:v>
      </x:c>
      <x:c r="R236" s="10" t="n">
        <x:v>0</x:v>
      </x:c>
      <x:c r="S236" s="10" t="n">
        <x:v>55.69334039494081</x:v>
      </x:c>
      <x:c r="T236" s="10" t="n">
        <x:v>54.65210736180012</x:v>
      </x:c>
      <x:c r="U236" s="10" t="n">
        <x:v>55.17272387837046</x:v>
      </x:c>
      <x:c r="V236" s="10" t="n">
        <x:v>100</x:v>
      </x:c>
      <x:c r="W236" s="7" t="n">
        <x:v>40</x:v>
      </x:c>
      <x:c r="X236" s="7" t="n">
        <x:v>34</x:v>
      </x:c>
      <x:c r="Y236" s="7" t="n">
        <x:v>37</x:v>
      </x:c>
    </x:row>
    <x:row r="237">
      <x:c r="A237" t="inlineStr">
        <x:is>
          <x:t xml:space="preserve">COM</x:t>
        </x:is>
      </x:c>
      <x:c r="B237" t="inlineStr">
        <x:is>
          <x:t xml:space="preserve">Comoros</x:t>
        </x:is>
      </x:c>
      <x:c r="C237" t="inlineStr">
        <x:is>
          <x:t xml:space="preserve">Sub-Saharan Africa</x:t>
        </x:is>
      </x:c>
      <x:c r="E237" s="11" t="n">
        <x:v>866628</x:v>
      </x:c>
      <x:c r="F237" s="8" t="n">
        <x:v>1440991455.45188</x:v>
      </x:c>
      <x:c r="G237" s="8" t="n"/>
      <x:c r="H237" s="11" t="n"/>
      <x:c r="I237" s="10" t="n"/>
      <x:c r="J237" s="10" t="n"/>
      <x:c r="K237" s="10" t="n"/>
      <x:c r="L237" s="10" t="n">
        <x:v>0</x:v>
      </x:c>
      <x:c r="M237" s="10" t="n">
        <x:v>24.08612289217711</x:v>
      </x:c>
      <x:c r="N237" s="10" t="n"/>
      <x:c r="O237" s="10" t="n"/>
      <x:c r="P237" s="10" t="n">
        <x:v>24.08612289217711</x:v>
      </x:c>
      <x:c r="Q237" s="10" t="n">
        <x:v>37.73120299753028</x:v>
      </x:c>
      <x:c r="R237" s="10" t="n">
        <x:v>0</x:v>
      </x:c>
      <x:c r="S237" s="10" t="n">
        <x:v>16.87434216685176</x:v>
      </x:c>
      <x:c r="T237" s="10" t="n">
        <x:v>22.80798239027062</x:v>
      </x:c>
      <x:c r="U237" s="10" t="n">
        <x:v>19.84116227856119</x:v>
      </x:c>
      <x:c r="V237" s="10" t="n">
        <x:v>50</x:v>
      </x:c>
      <x:c r="W237" s="7" t="n">
        <x:v>200</x:v>
      </x:c>
      <x:c r="X237" s="7" t="n">
        <x:v>196</x:v>
      </x:c>
      <x:c r="Y237" s="7" t="n">
        <x:v>198</x:v>
      </x:c>
    </x:row>
    <x:row r="238">
      <x:c r="A238" t="inlineStr">
        <x:is>
          <x:t xml:space="preserve">ARE</x:t>
        </x:is>
      </x:c>
      <x:c r="B238" t="inlineStr">
        <x:is>
          <x:t xml:space="preserve">United Arab Emirates</x:t>
        </x:is>
      </x:c>
      <x:c r="C238" t="inlineStr">
        <x:is>
          <x:t xml:space="preserve">Middle East &amp; North Africa</x:t>
        </x:is>
      </x:c>
      <x:c r="D238" t="inlineStr">
        <x:is>
          <x:t xml:space="preserve">Asia</x:t>
        </x:is>
      </x:c>
      <x:c r="E238" s="11" t="n">
        <x:v>10986400</x:v>
      </x:c>
      <x:c r="F238" s="8" t="n">
        <x:v>552324846834.5811</x:v>
      </x:c>
      <x:c r="G238" s="8" t="n">
        <x:v>22755071477.1954</x:v>
      </x:c>
      <x:c r="H238" s="11" t="n">
        <x:v>79</x:v>
      </x:c>
      <x:c r="I238" s="10" t="n"/>
      <x:c r="J238" s="10" t="n">
        <x:v>18.58736159262072</x:v>
      </x:c>
      <x:c r="K238" s="10" t="n">
        <x:v>89.83163923953707</x:v>
      </x:c>
      <x:c r="L238" s="10" t="n">
        <x:v>36.88737249912877</x:v>
      </x:c>
      <x:c r="M238" s="10" t="n">
        <x:v>76.61703734717733</x:v>
      </x:c>
      <x:c r="N238" s="10" t="n">
        <x:v>72.69968579667689</x:v>
      </x:c>
      <x:c r="O238" s="10" t="n">
        <x:v>89.83163923953707</x:v>
      </x:c>
      <x:c r="P238" s="10" t="n">
        <x:v>63.74120448051058</x:v>
      </x:c>
      <x:c r="Q238" s="10" t="n">
        <x:v>59.0363547387217</x:v>
      </x:c>
      <x:c r="R238" s="10" t="n">
        <x:v>0</x:v>
      </x:c>
      <x:c r="S238" s="10" t="n">
        <x:v>64.26968587151713</x:v>
      </x:c>
      <x:c r="T238" s="10" t="n">
        <x:v>59.53335761665714</x:v>
      </x:c>
      <x:c r="U238" s="10" t="n">
        <x:v>61.90152174408713</x:v>
      </x:c>
      <x:c r="V238" s="10" t="n">
        <x:v>100</x:v>
      </x:c>
      <x:c r="W238" s="7" t="n">
        <x:v>15</x:v>
      </x:c>
      <x:c r="X238" s="7" t="n">
        <x:v>14</x:v>
      </x:c>
      <x:c r="Y238" s="7" t="n">
        <x:v>15</x:v>
      </x:c>
    </x:row>
    <x:row r="239">
      <x:c r="A239" t="inlineStr">
        <x:is>
          <x:t xml:space="preserve">GBR</x:t>
        </x:is>
      </x:c>
      <x:c r="B239" t="inlineStr">
        <x:is>
          <x:t xml:space="preserve">United Kingdom</x:t>
        </x:is>
      </x:c>
      <x:c r="C239" t="inlineStr">
        <x:is>
          <x:t xml:space="preserve">Europe &amp; Central Asia</x:t>
        </x:is>
      </x:c>
      <x:c r="D239" t="inlineStr">
        <x:is>
          <x:t xml:space="preserve">Europe</x:t>
        </x:is>
      </x:c>
      <x:c r="E239" s="11" t="n">
        <x:v>69226000</x:v>
      </x:c>
      <x:c r="F239" s="8" t="n">
        <x:v>3686033044482.13</x:v>
      </x:c>
      <x:c r="G239" s="8" t="n">
        <x:v>81763173069.67439</x:v>
      </x:c>
      <x:c r="H239" s="11" t="n">
        <x:v>117</x:v>
      </x:c>
      <x:c r="I239" s="10" t="n">
        <x:v>88.3</x:v>
      </x:c>
      <x:c r="J239" s="10" t="n">
        <x:v>41.15760762079267</x:v>
      </x:c>
      <x:c r="K239" s="10" t="n">
        <x:v>83.74697413752658</x:v>
      </x:c>
      <x:c r="L239" s="10" t="n">
        <x:v>61.55292586901392</x:v>
      </x:c>
      <x:c r="M239" s="10" t="n">
        <x:v>83.55316778152527</x:v>
      </x:c>
      <x:c r="N239" s="10" t="n">
        <x:v>80.98596232334945</x:v>
      </x:c>
      <x:c r="O239" s="10" t="n">
        <x:v>83.74697413752658</x:v>
      </x:c>
      <x:c r="P239" s="10" t="n">
        <x:v>59.06965016164033</x:v>
      </x:c>
      <x:c r="Q239" s="10" t="n">
        <x:v>74.47723328068297</x:v>
      </x:c>
      <x:c r="R239" s="10" t="n">
        <x:v>31.82027195027288</x:v>
      </x:c>
      <x:c r="S239" s="10" t="n">
        <x:v>72.0504848389206</x:v>
      </x:c>
      <x:c r="T239" s="10" t="n">
        <x:v>69.02784891440037</x:v>
      </x:c>
      <x:c r="U239" s="10" t="n">
        <x:v>70.53916687666049</x:v>
      </x:c>
      <x:c r="V239" s="10" t="n">
        <x:v>100</x:v>
      </x:c>
      <x:c r="W239" s="7" t="n">
        <x:v>3</x:v>
      </x:c>
      <x:c r="X239" s="7" t="n">
        <x:v>2</x:v>
      </x:c>
      <x:c r="Y239" s="7" t="n">
        <x:v>3</x:v>
      </x:c>
    </x:row>
    <x:row r="240">
      <x:c r="A240" t="inlineStr">
        <x:is>
          <x:t xml:space="preserve">MEX</x:t>
        </x:is>
      </x:c>
      <x:c r="B240" t="inlineStr">
        <x:is>
          <x:t xml:space="preserve">Mexico</x:t>
        </x:is>
      </x:c>
      <x:c r="C240" t="inlineStr">
        <x:is>
          <x:t xml:space="preserve">Latin America &amp; Caribbean</x:t>
        </x:is>
      </x:c>
      <x:c r="D240" t="inlineStr">
        <x:is>
          <x:t xml:space="preserve">North America</x:t>
        </x:is>
      </x:c>
      <x:c r="E240" s="11" t="n">
        <x:v>130861007</x:v>
      </x:c>
      <x:c r="F240" s="8" t="n">
        <x:v>1856365616165.94</x:v>
      </x:c>
      <x:c r="G240" s="8" t="n">
        <x:v>16726425452.0934</x:v>
      </x:c>
      <x:c r="H240" s="11" t="n">
        <x:v>194</x:v>
      </x:c>
      <x:c r="I240" s="10" t="n"/>
      <x:c r="J240" s="10" t="n">
        <x:v>41.2394969932278</x:v>
      </x:c>
      <x:c r="K240" s="10" t="n">
        <x:v>62.62081611139381</x:v>
      </x:c>
      <x:c r="L240" s="10" t="n">
        <x:v>46.89696820249893</x:v>
      </x:c>
      <x:c r="M240" s="10" t="n">
        <x:v>84.07997174688221</x:v>
      </x:c>
      <x:c r="N240" s="10" t="n">
        <x:v>68.78184893242648</x:v>
      </x:c>
      <x:c r="O240" s="10" t="n">
        <x:v>62.62081611139381</x:v>
      </x:c>
      <x:c r="P240" s="10" t="n">
        <x:v>50.99492714820302</x:v>
      </x:c>
      <x:c r="Q240" s="10" t="n">
        <x:v>79.81869256856353</x:v>
      </x:c>
      <x:c r="R240" s="10" t="n">
        <x:v>0</x:v>
      </x:c>
      <x:c r="S240" s="10" t="n">
        <x:v>61.80888793101981</x:v>
      </x:c>
      <x:c r="T240" s="10" t="n">
        <x:v>61.76849929506707</x:v>
      </x:c>
      <x:c r="U240" s="10" t="n">
        <x:v>61.78869361304344</x:v>
      </x:c>
      <x:c r="V240" s="10" t="n">
        <x:v>100</x:v>
      </x:c>
      <x:c r="W240" s="7" t="n">
        <x:v>23</x:v>
      </x:c>
      <x:c r="X240" s="7" t="n">
        <x:v>9</x:v>
      </x:c>
      <x:c r="Y240" s="7" t="n">
        <x:v>16</x:v>
      </x:c>
    </x:row>
    <x:row r="241">
      <x:c r="A241" t="inlineStr">
        <x:is>
          <x:t xml:space="preserve">UMI</x:t>
        </x:is>
      </x:c>
      <x:c r="B241" t="inlineStr">
        <x:is>
          <x:t xml:space="preserve">United States Minor Outlying Islands</x:t>
        </x:is>
      </x:c>
      <x:c r="E241" s="11" t="n"/>
      <x:c r="F241" s="8" t="n"/>
      <x:c r="G241" s="8" t="n"/>
      <x:c r="H241" s="11" t="n"/>
      <x:c r="I241" s="10" t="n"/>
      <x:c r="J241" s="10" t="n"/>
      <x:c r="K241" s="10" t="n"/>
      <x:c r="L241" s="10" t="n">
        <x:v>0</x:v>
      </x:c>
      <x:c r="M241" s="10" t="n"/>
      <x:c r="N241" s="10" t="n"/>
      <x:c r="O241" s="10" t="n"/>
      <x:c r="P241" s="10" t="n"/>
      <x:c r="Q241" s="10" t="n"/>
      <x:c r="R241" s="10" t="n">
        <x:v>0</x:v>
      </x:c>
      <x:c r="S241" s="10" t="n">
        <x:v>0</x:v>
      </x:c>
      <x:c r="T241" s="10" t="n">
        <x:v>0</x:v>
      </x:c>
      <x:c r="U241" s="10" t="n">
        <x:v>0</x:v>
      </x:c>
      <x:c r="V241" s="10" t="n">
        <x:v>12</x:v>
      </x:c>
      <x:c r="W241" s="7" t="n">
        <x:v>222</x:v>
      </x:c>
      <x:c r="X241" s="7" t="n">
        <x:v>222</x:v>
      </x:c>
      <x:c r="Y241" s="7" t="n">
        <x:v>222</x:v>
      </x:c>
    </x:row>
    <x:row r="242">
      <x:c r="A242" t="inlineStr">
        <x:is>
          <x:t xml:space="preserve">USA</x:t>
        </x:is>
      </x:c>
      <x:c r="B242" t="inlineStr">
        <x:is>
          <x:t xml:space="preserve">United States</x:t>
        </x:is>
      </x:c>
      <x:c r="C242" t="inlineStr">
        <x:is>
          <x:t xml:space="preserve">North America</x:t>
        </x:is>
      </x:c>
      <x:c r="D242" t="inlineStr">
        <x:is>
          <x:t xml:space="preserve">North America</x:t>
        </x:is>
      </x:c>
      <x:c r="E242" s="11" t="n">
        <x:v>340110988</x:v>
      </x:c>
      <x:c r="F242" s="8" t="n">
        <x:v>28750956130731.2</x:v>
      </x:c>
      <x:c r="G242" s="8" t="n">
        <x:v>997309000000</x:v>
      </x:c>
      <x:c r="H242" s="11" t="n">
        <x:v>472</x:v>
      </x:c>
      <x:c r="I242" s="10" t="n">
        <x:v>323.9</x:v>
      </x:c>
      <x:c r="J242" s="10" t="n">
        <x:v>63.72264242861768</x:v>
      </x:c>
      <x:c r="K242" s="10" t="n">
        <x:v>75.28733665674866</x:v>
      </x:c>
      <x:c r="L242" s="10" t="n">
        <x:v>97.74070896423123</x:v>
      </x:c>
      <x:c r="M242" s="10" t="n">
        <x:v>97.01172392718206</x:v>
      </x:c>
      <x:c r="N242" s="10" t="n">
        <x:v>94.62976773393299</x:v>
      </x:c>
      <x:c r="O242" s="10" t="n">
        <x:v>75.28733665674866</x:v>
      </x:c>
      <x:c r="P242" s="10" t="n">
        <x:v>92.68000000000001</x:v>
      </x:c>
      <x:c r="Q242" s="10" t="n">
        <x:v>87.83085981940211</x:v>
      </x:c>
      <x:c r="R242" s="10" t="n">
        <x:v>92.49502422122613</x:v>
      </x:c>
      <x:c r="S242" s="10" t="n">
        <x:v>88.81379452675029</x:v>
      </x:c>
      <x:c r="T242" s="10" t="n">
        <x:v>84.88639571677506</x:v>
      </x:c>
      <x:c r="U242" s="10" t="n">
        <x:v>86.85009512176268</x:v>
      </x:c>
      <x:c r="V242" s="10" t="n">
        <x:v>100</x:v>
      </x:c>
      <x:c r="W242" s="7" t="n">
        <x:v>1</x:v>
      </x:c>
      <x:c r="X242" s="7" t="n">
        <x:v>1</x:v>
      </x:c>
      <x:c r="Y242" s="7" t="n">
        <x:v>1</x:v>
      </x:c>
    </x:row>
    <x:row r="243">
      <x:c r="A243" t="inlineStr">
        <x:is>
          <x:t xml:space="preserve">VEN</x:t>
        </x:is>
      </x:c>
      <x:c r="B243" t="inlineStr">
        <x:is>
          <x:t xml:space="preserve">Venezuela, RB</x:t>
        </x:is>
      </x:c>
      <x:c r="C243" t="inlineStr">
        <x:is>
          <x:t xml:space="preserve">Latin America &amp; Caribbean</x:t>
        </x:is>
      </x:c>
      <x:c r="D243" t="inlineStr">
        <x:is>
          <x:t xml:space="preserve">South America</x:t>
        </x:is>
      </x:c>
      <x:c r="E243" s="11" t="n">
        <x:v>28405543</x:v>
      </x:c>
      <x:c r="F243" s="8" t="n">
        <x:v>119802963257.783</x:v>
      </x:c>
      <x:c r="G243" s="8" t="n">
        <x:v>0</x:v>
      </x:c>
      <x:c r="H243" s="11" t="n">
        <x:v>32</x:v>
      </x:c>
      <x:c r="I243" s="10" t="n"/>
      <x:c r="J243" s="10" t="n">
        <x:v>28.0005116033947</x:v>
      </x:c>
      <x:c r="K243" s="10" t="n">
        <x:v>55.77370092803577</x:v>
      </x:c>
      <x:c r="L243" s="10" t="n">
        <x:v>26.93904783878836</x:v>
      </x:c>
      <x:c r="M243" s="10" t="n">
        <x:v>55.38930997836756</x:v>
      </x:c>
      <x:c r="N243" s="10" t="n">
        <x:v>25.06785930519327</x:v>
      </x:c>
      <x:c r="O243" s="10" t="n">
        <x:v>55.77370092803577</x:v>
      </x:c>
      <x:c r="P243" s="10" t="n">
        <x:v>37.67562744767061</x:v>
      </x:c>
      <x:c r="Q243" s="10" t="n">
        <x:v>67.00481662464649</x:v>
      </x:c>
      <x:c r="R243" s="10" t="n">
        <x:v>0</x:v>
      </x:c>
      <x:c r="S243" s="10" t="n">
        <x:v>41.072788987115</x:v>
      </x:c>
      <x:c r="T243" s="10" t="n">
        <x:v>38.12501686943092</x:v>
      </x:c>
      <x:c r="U243" s="10" t="n">
        <x:v>39.59890292827296</x:v>
      </x:c>
      <x:c r="V243" s="10" t="n">
        <x:v>100</x:v>
      </x:c>
      <x:c r="W243" s="7" t="n">
        <x:v>112</x:v>
      </x:c>
      <x:c r="X243" s="7" t="n">
        <x:v>146</x:v>
      </x:c>
      <x:c r="Y243" s="7" t="n">
        <x:v>132</x:v>
      </x:c>
    </x:row>
    <x:row r="244">
      <x:c r="A244" t="inlineStr">
        <x:is>
          <x:t xml:space="preserve">VNM</x:t>
        </x:is>
      </x:c>
      <x:c r="B244" t="inlineStr">
        <x:is>
          <x:t xml:space="preserve">Viet Nam</x:t>
        </x:is>
      </x:c>
      <x:c r="C244" t="inlineStr">
        <x:is>
          <x:t xml:space="preserve">East Asia &amp; Pacific</x:t>
        </x:is>
      </x:c>
      <x:c r="D244" t="inlineStr">
        <x:is>
          <x:t xml:space="preserve">Asia</x:t>
        </x:is>
      </x:c>
      <x:c r="E244" s="11" t="n">
        <x:v>100987686</x:v>
      </x:c>
      <x:c r="F244" s="8" t="n">
        <x:v>476388230307.175</x:v>
      </x:c>
      <x:c r="G244" s="8" t="n">
        <x:v>5500000000</x:v>
      </x:c>
      <x:c r="H244" s="11" t="n">
        <x:v>97</x:v>
      </x:c>
      <x:c r="I244" s="10" t="n"/>
      <x:c r="J244" s="10" t="n">
        <x:v>40.7248410044019</x:v>
      </x:c>
      <x:c r="K244" s="10" t="n">
        <x:v>55.9623944776021</x:v>
      </x:c>
      <x:c r="L244" s="10" t="n">
        <x:v>39.16730238884861</x:v>
      </x:c>
      <x:c r="M244" s="10" t="n">
        <x:v>82.92237609513967</x:v>
      </x:c>
      <x:c r="N244" s="10" t="n">
        <x:v>66.84371082315114</x:v>
      </x:c>
      <x:c r="O244" s="10" t="n">
        <x:v>55.9623944776021</x:v>
      </x:c>
      <x:c r="P244" s="10" t="n">
        <x:v>31.80516607817041</x:v>
      </x:c>
      <x:c r="Q244" s="10" t="n">
        <x:v>77.64491870498217</x:v>
      </x:c>
      <x:c r="R244" s="10" t="n">
        <x:v>0</x:v>
      </x:c>
      <x:c r="S244" s="10" t="n">
        <x:v>54.24231845399078</x:v>
      </x:c>
      <x:c r="T244" s="10" t="n">
        <x:v>42.89540111171748</x:v>
      </x:c>
      <x:c r="U244" s="10" t="n">
        <x:v>48.56885978285413</x:v>
      </x:c>
      <x:c r="V244" s="10" t="n">
        <x:v>100</x:v>
      </x:c>
      <x:c r="W244" s="7" t="n">
        <x:v>50</x:v>
      </x:c>
      <x:c r="X244" s="7" t="n">
        <x:v>112</x:v>
      </x:c>
      <x:c r="Y244" s="7" t="n">
        <x:v>72</x:v>
      </x:c>
    </x:row>
    <x:row r="245">
      <x:c r="A245" t="inlineStr">
        <x:is>
          <x:t xml:space="preserve">VIR</x:t>
        </x:is>
      </x:c>
      <x:c r="B245" t="inlineStr">
        <x:is>
          <x:t xml:space="preserve">Virgin Islands (US)</x:t>
        </x:is>
      </x:c>
      <x:c r="C245" t="inlineStr">
        <x:is>
          <x:t xml:space="preserve">Latin America &amp; Caribbean</x:t>
        </x:is>
      </x:c>
      <x:c r="E245" s="11" t="n">
        <x:v>104377</x:v>
      </x:c>
      <x:c r="F245" s="8" t="n">
        <x:v>4672000000</x:v>
      </x:c>
      <x:c r="G245" s="8" t="n"/>
      <x:c r="H245" s="11" t="n"/>
      <x:c r="I245" s="10" t="n"/>
      <x:c r="J245" s="10" t="n"/>
      <x:c r="K245" s="10" t="n"/>
      <x:c r="L245" s="10" t="n">
        <x:v>0</x:v>
      </x:c>
      <x:c r="M245" s="10" t="n">
        <x:v>33.10473582310567</x:v>
      </x:c>
      <x:c r="N245" s="10" t="n"/>
      <x:c r="O245" s="10" t="n"/>
      <x:c r="P245" s="10" t="n">
        <x:v>33.10473582310567</x:v>
      </x:c>
      <x:c r="Q245" s="10" t="n">
        <x:v>19.97615550335667</x:v>
      </x:c>
      <x:c r="R245" s="10" t="n">
        <x:v>0</x:v>
      </x:c>
      <x:c r="S245" s="10" t="n">
        <x:v>18.55513409868365</x:v>
      </x:c>
      <x:c r="T245" s="10" t="n">
        <x:v>24.10192469168895</x:v>
      </x:c>
      <x:c r="U245" s="10" t="n">
        <x:v>21.3285293951863</x:v>
      </x:c>
      <x:c r="V245" s="10" t="n">
        <x:v>50</x:v>
      </x:c>
      <x:c r="W245" s="7" t="n">
        <x:v>193</x:v>
      </x:c>
      <x:c r="X245" s="7" t="n">
        <x:v>191</x:v>
      </x:c>
      <x:c r="Y245" s="7" t="n">
        <x:v>192</x:v>
      </x:c>
    </x:row>
    <x:row r="246">
      <x:c r="A246" t="inlineStr">
        <x:is>
          <x:t xml:space="preserve">WLF</x:t>
        </x:is>
      </x:c>
      <x:c r="B246" t="inlineStr">
        <x:is>
          <x:t xml:space="preserve">Wallis and Futuna</x:t>
        </x:is>
      </x:c>
      <x:c r="E246" s="11" t="n"/>
      <x:c r="F246" s="8" t="n"/>
      <x:c r="G246" s="8" t="n"/>
      <x:c r="H246" s="11" t="n"/>
      <x:c r="I246" s="10" t="n"/>
      <x:c r="J246" s="10" t="n"/>
      <x:c r="K246" s="10" t="n"/>
      <x:c r="L246" s="10" t="n">
        <x:v>0</x:v>
      </x:c>
      <x:c r="M246" s="10" t="n"/>
      <x:c r="N246" s="10" t="n"/>
      <x:c r="O246" s="10" t="n"/>
      <x:c r="P246" s="10" t="n"/>
      <x:c r="Q246" s="10" t="n"/>
      <x:c r="R246" s="10" t="n">
        <x:v>0</x:v>
      </x:c>
      <x:c r="S246" s="10" t="n">
        <x:v>0</x:v>
      </x:c>
      <x:c r="T246" s="10" t="n">
        <x:v>0</x:v>
      </x:c>
      <x:c r="U246" s="10" t="n">
        <x:v>0</x:v>
      </x:c>
      <x:c r="V246" s="10" t="n">
        <x:v>12</x:v>
      </x:c>
      <x:c r="W246" s="7" t="n">
        <x:v>222</x:v>
      </x:c>
      <x:c r="X246" s="7" t="n">
        <x:v>222</x:v>
      </x:c>
      <x:c r="Y246" s="7" t="n">
        <x:v>222</x:v>
      </x:c>
    </x:row>
    <x:row r="247">
      <x:c r="A247" t="inlineStr">
        <x:is>
          <x:t xml:space="preserve">ESH</x:t>
        </x:is>
      </x:c>
      <x:c r="B247" t="inlineStr">
        <x:is>
          <x:t xml:space="preserve">Western Sahara</x:t>
        </x:is>
      </x:c>
      <x:c r="D247" t="inlineStr">
        <x:is>
          <x:t xml:space="preserve">Africa</x:t>
        </x:is>
      </x:c>
      <x:c r="E247" s="11" t="n"/>
      <x:c r="F247" s="8" t="n"/>
      <x:c r="G247" s="8" t="n"/>
      <x:c r="H247" s="11" t="n"/>
      <x:c r="I247" s="10" t="n"/>
      <x:c r="J247" s="10" t="n">
        <x:v>45.9098237461916</x:v>
      </x:c>
      <x:c r="K247" s="10" t="n">
        <x:v>12.16386771951232</x:v>
      </x:c>
      <x:c r="L247" s="10" t="n">
        <x:v>0</x:v>
      </x:c>
      <x:c r="M247" s="10" t="n"/>
      <x:c r="N247" s="10" t="n"/>
      <x:c r="O247" s="10" t="n">
        <x:v>12.16386771951232</x:v>
      </x:c>
      <x:c r="P247" s="10" t="n">
        <x:v>0.4677041598974223</x:v>
      </x:c>
      <x:c r="Q247" s="10" t="n"/>
      <x:c r="R247" s="10" t="n">
        <x:v>0</x:v>
      </x:c>
      <x:c r="S247" s="10" t="n">
        <x:v>6.763542535067335</x:v>
      </x:c>
      <x:c r="T247" s="10" t="n">
        <x:v>17.51564827169066</x:v>
      </x:c>
      <x:c r="U247" s="10" t="n">
        <x:v>12.139595403379</x:v>
      </x:c>
      <x:c r="V247" s="10" t="n">
        <x:v>50</x:v>
      </x:c>
      <x:c r="W247" s="7" t="n">
        <x:v>217</x:v>
      </x:c>
      <x:c r="X247" s="7" t="n">
        <x:v>207</x:v>
      </x:c>
      <x:c r="Y247" s="7" t="n">
        <x:v>212</x:v>
      </x:c>
    </x:row>
    <x:row r="248">
      <x:c r="A248" t="inlineStr">
        <x:is>
          <x:t xml:space="preserve">ERI</x:t>
        </x:is>
      </x:c>
      <x:c r="B248" t="inlineStr">
        <x:is>
          <x:t xml:space="preserve">Eritrea</x:t>
        </x:is>
      </x:c>
      <x:c r="C248" t="inlineStr">
        <x:is>
          <x:t xml:space="preserve">Sub-Saharan Africa</x:t>
        </x:is>
      </x:c>
      <x:c r="D248" t="inlineStr">
        <x:is>
          <x:t xml:space="preserve">Africa</x:t>
        </x:is>
      </x:c>
      <x:c r="E248" s="11" t="n">
        <x:v>3535603</x:v>
      </x:c>
      <x:c r="F248" s="8" t="n">
        <x:v>2065001626.01626</x:v>
      </x:c>
      <x:c r="G248" s="8" t="n">
        <x:v>181583668.998912</x:v>
      </x:c>
      <x:c r="H248" s="11" t="n">
        <x:v>23</x:v>
      </x:c>
      <x:c r="I248" s="10" t="n"/>
      <x:c r="J248" s="10" t="n">
        <x:v>26.44235696516155</x:v>
      </x:c>
      <x:c r="K248" s="10" t="n">
        <x:v>24.7896692254294</x:v>
      </x:c>
      <x:c r="L248" s="10" t="n">
        <x:v>23.36139355406589</x:v>
      </x:c>
      <x:c r="M248" s="10" t="n">
        <x:v>69.36135496430418</x:v>
      </x:c>
      <x:c r="N248" s="10" t="n">
        <x:v>58.3128362114393</x:v>
      </x:c>
      <x:c r="O248" s="10" t="n">
        <x:v>24.7896692254294</x:v>
      </x:c>
      <x:c r="P248" s="10" t="n">
        <x:v>16.3032625863008</x:v>
      </x:c>
      <x:c r="Q248" s="10" t="n">
        <x:v>49.52568271395803</x:v>
      </x:c>
      <x:c r="R248" s="10" t="n">
        <x:v>0</x:v>
      </x:c>
      <x:c r="S248" s="10" t="n">
        <x:v>40.00853351430169</x:v>
      </x:c>
      <x:c r="T248" s="10" t="n">
        <x:v>40.73455329678278</x:v>
      </x:c>
      <x:c r="U248" s="10" t="n">
        <x:v>40.37154340554223</x:v>
      </x:c>
      <x:c r="V248" s="10" t="n">
        <x:v>100</x:v>
      </x:c>
      <x:c r="W248" s="7" t="n">
        <x:v>117</x:v>
      </x:c>
      <x:c r="X248" s="7" t="n">
        <x:v>131</x:v>
      </x:c>
      <x:c r="Y248" s="7" t="n">
        <x:v>124</x:v>
      </x:c>
    </x:row>
    <x:row r="249">
      <x:c r="A249" t="inlineStr">
        <x:is>
          <x:t xml:space="preserve">PSE</x:t>
        </x:is>
      </x:c>
      <x:c r="B249" t="inlineStr">
        <x:is>
          <x:t xml:space="preserve">West Bank and Gaza</x:t>
        </x:is>
      </x:c>
      <x:c r="C249" t="inlineStr">
        <x:is>
          <x:t xml:space="preserve">Middle East &amp; North Africa</x:t>
        </x:is>
      </x:c>
      <x:c r="D249" t="inlineStr">
        <x:is>
          <x:t xml:space="preserve">Asia</x:t>
        </x:is>
      </x:c>
      <x:c r="E249" s="11" t="n">
        <x:v>5289152</x:v>
      </x:c>
      <x:c r="F249" s="8" t="n">
        <x:v>13711100000</x:v>
      </x:c>
      <x:c r="G249" s="8" t="n"/>
      <x:c r="H249" s="11" t="n"/>
      <x:c r="I249" s="10" t="n"/>
      <x:c r="J249" s="10" t="n">
        <x:v>13.51715246881794</x:v>
      </x:c>
      <x:c r="K249" s="10" t="n">
        <x:v>59.03615559553948</x:v>
      </x:c>
      <x:c r="L249" s="10" t="n">
        <x:v>0</x:v>
      </x:c>
      <x:c r="M249" s="10" t="n">
        <x:v>8.862730072064338</x:v>
      </x:c>
      <x:c r="N249" s="10" t="n">
        <x:v>0</x:v>
      </x:c>
      <x:c r="O249" s="10" t="n">
        <x:v>59.03615559553948</x:v>
      </x:c>
      <x:c r="P249" s="10" t="n">
        <x:v>25.63819195915399</x:v>
      </x:c>
      <x:c r="Q249" s="10" t="n">
        <x:v>52.90435505271765</x:v>
      </x:c>
      <x:c r="R249" s="10" t="n">
        <x:v>0</x:v>
      </x:c>
      <x:c r="S249" s="10" t="n">
        <x:v>21.56584539857321</x:v>
      </x:c>
      <x:c r="T249" s="10" t="n">
        <x:v>25.94585182749788</x:v>
      </x:c>
      <x:c r="U249" s="10" t="n">
        <x:v>23.75584861303555</x:v>
      </x:c>
      <x:c r="V249" s="10" t="n">
        <x:v>88</x:v>
      </x:c>
      <x:c r="W249" s="7" t="n">
        <x:v>182</x:v>
      </x:c>
      <x:c r="X249" s="7" t="n">
        <x:v>186</x:v>
      </x:c>
      <x:c r="Y249" s="7" t="n">
        <x:v>184</x:v>
      </x:c>
    </x:row>
    <x:row r="250">
      <x:c r="A250" t="inlineStr">
        <x:is>
          <x:t xml:space="preserve">ALA</x:t>
        </x:is>
      </x:c>
      <x:c r="B250" t="inlineStr">
        <x:is>
          <x:t xml:space="preserve">Åland Islands</x:t>
        </x:is>
      </x:c>
      <x:c r="E250" s="11" t="n"/>
      <x:c r="F250" s="8" t="n"/>
      <x:c r="G250" s="8" t="n"/>
      <x:c r="H250" s="11" t="n"/>
      <x:c r="I250" s="10" t="n"/>
      <x:c r="J250" s="10" t="n"/>
      <x:c r="K250" s="10" t="n"/>
      <x:c r="L250" s="10" t="n">
        <x:v>0</x:v>
      </x:c>
      <x:c r="M250" s="10" t="n"/>
      <x:c r="N250" s="10" t="n"/>
      <x:c r="O250" s="10" t="n"/>
      <x:c r="P250" s="10" t="n"/>
      <x:c r="Q250" s="10" t="n"/>
      <x:c r="R250" s="10" t="n">
        <x:v>0</x:v>
      </x:c>
      <x:c r="S250" s="10" t="n">
        <x:v>0</x:v>
      </x:c>
      <x:c r="T250" s="10" t="n">
        <x:v>0</x:v>
      </x:c>
      <x:c r="U250" s="10" t="n">
        <x:v>0</x:v>
      </x:c>
      <x:c r="V250" s="10" t="n">
        <x:v>12</x:v>
      </x:c>
      <x:c r="W250" s="7" t="n">
        <x:v>222</x:v>
      </x:c>
      <x:c r="X250" s="7" t="n">
        <x:v>222</x:v>
      </x:c>
      <x:c r="Y250" s="7" t="n">
        <x:v>222</x:v>
      </x:c>
    </x:row>
    <x:row r="251">
      <x:c r="A251" t="inlineStr">
        <x:is>
          <x:t xml:space="preserve">CHI</x:t>
        </x:is>
      </x:c>
      <x:c r="B251" t="inlineStr">
        <x:is>
          <x:t xml:space="preserve">Channel Islands</x:t>
        </x:is>
      </x:c>
      <x:c r="C251" t="inlineStr">
        <x:is>
          <x:t xml:space="preserve">Europe &amp; Central Asia</x:t>
        </x:is>
      </x:c>
      <x:c r="E251" s="11" t="n">
        <x:v>168126</x:v>
      </x:c>
      <x:c r="F251" s="8" t="n">
        <x:v>12507320838.3932</x:v>
      </x:c>
      <x:c r="G251" s="8" t="n"/>
      <x:c r="H251" s="11" t="n"/>
      <x:c r="I251" s="10" t="n"/>
      <x:c r="J251" s="10" t="n"/>
      <x:c r="K251" s="10" t="n"/>
      <x:c r="L251" s="10" t="n">
        <x:v>0</x:v>
      </x:c>
      <x:c r="M251" s="10" t="n">
        <x:v>40.65485397513772</x:v>
      </x:c>
      <x:c r="N251" s="10" t="n"/>
      <x:c r="O251" s="10" t="n"/>
      <x:c r="P251" s="10" t="n">
        <x:v>40.65485397513772</x:v>
      </x:c>
      <x:c r="Q251" s="10" t="n">
        <x:v>23.97496290233227</x:v>
      </x:c>
      <x:c r="R251" s="10" t="n">
        <x:v>0</x:v>
      </x:c>
      <x:c r="S251" s="10" t="n">
        <x:v>22.70592557404071</x:v>
      </x:c>
      <x:c r="T251" s="10" t="n">
        <x:v>29.47217800856598</x:v>
      </x:c>
      <x:c r="U251" s="10" t="n">
        <x:v>26.08905179130335</x:v>
      </x:c>
      <x:c r="V251" s="10" t="n">
        <x:v>50</x:v>
      </x:c>
      <x:c r="W251" s="7" t="n">
        <x:v>181</x:v>
      </x:c>
      <x:c r="X251" s="7" t="n">
        <x:v>176</x:v>
      </x:c>
      <x:c r="Y251" s="7" t="n">
        <x:v>179</x:v>
      </x:c>
    </x:row>
    <x:row r="252">
      <x:c r="A252" t="inlineStr">
        <x:is>
          <x:t xml:space="preserve">XKX</x:t>
        </x:is>
      </x:c>
      <x:c r="B252" t="inlineStr">
        <x:is>
          <x:t xml:space="preserve">Kosovo</x:t>
        </x:is>
      </x:c>
      <x:c r="C252" t="inlineStr">
        <x:is>
          <x:t xml:space="preserve">Europe &amp; Central Asia</x:t>
        </x:is>
      </x:c>
      <x:c r="E252" s="11" t="n">
        <x:v>1594353</x:v>
      </x:c>
      <x:c r="F252" s="8" t="n">
        <x:v>11197246322.588</x:v>
      </x:c>
      <x:c r="G252" s="8" t="n">
        <x:v>165554668.553169</x:v>
      </x:c>
      <x:c r="H252" s="11" t="n"/>
      <x:c r="I252" s="10" t="n"/>
      <x:c r="J252" s="10" t="n"/>
      <x:c r="K252" s="10" t="n"/>
      <x:c r="L252" s="10" t="n">
        <x:v>0</x:v>
      </x:c>
      <x:c r="M252" s="10" t="n">
        <x:v>58.93407401963331</x:v>
      </x:c>
      <x:c r="N252" s="10" t="n">
        <x:v>68.49785865826772</x:v>
      </x:c>
      <x:c r="O252" s="10" t="n"/>
      <x:c r="P252" s="10" t="n">
        <x:v>39.80650474236451</x:v>
      </x:c>
      <x:c r="Q252" s="10" t="n">
        <x:v>42.84494553359882</x:v>
      </x:c>
      <x:c r="R252" s="10" t="n">
        <x:v>0</x:v>
      </x:c>
      <x:c r="S252" s="10" t="n">
        <x:v>39.43117963425821</x:v>
      </x:c>
      <x:c r="T252" s="10" t="n">
        <x:v>46.16098911501817</x:v>
      </x:c>
      <x:c r="U252" s="10" t="n">
        <x:v>42.79608437463819</x:v>
      </x:c>
      <x:c r="V252" s="10" t="n">
        <x:v>75</x:v>
      </x:c>
      <x:c r="W252" s="7" t="n">
        <x:v>123</x:v>
      </x:c>
      <x:c r="X252" s="7" t="n">
        <x:v>79</x:v>
      </x:c>
      <x:c r="Y252" s="7" t="n">
        <x:v>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2" customWidth="1"/>
    <x:col min="3" max="3" width="10" customWidth="1"/>
    <x:col min="4" max="4" width="60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Component</x:t>
        </x:is>
      </x:c>
      <x:c r="C1" s="1" t="inlineStr">
        <x:is>
          <x:t xml:space="preserve">Weight</x:t>
        </x:is>
      </x:c>
      <x:c r="D1" s="1" t="inlineStr">
        <x:is>
          <x:t xml:space="preserve">Notes</x:t>
        </x:is>
      </x:c>
    </x:row>
    <x:row r="2">
      <x:c r="A2" s="2" t="inlineStr">
        <x:is>
          <x:t xml:space="preserve">NAVAL_SUBSCORE</x:t>
        </x:is>
      </x:c>
      <x:c r="B2" s="2" t="inlineStr">
        <x:is>
          <x:t xml:space="preserve">TvR_norm</x:t>
        </x:is>
      </x:c>
      <x:c r="C2" s="3" t="n">
        <x:v>0.6</x:v>
      </x:c>
      <x:c r="D2" s="2" t="inlineStr">
        <x:is>
          <x:t xml:space="preserve">WDMMW TrueValueRating (log-minmax normalized)</x:t>
        </x:is>
      </x:c>
    </x:row>
    <x:row r="3">
      <x:c r="A3" s="2" t="inlineStr">
        <x:is>
          <x:t xml:space="preserve">NAVAL_SUBSCORE</x:t>
        </x:is>
      </x:c>
      <x:c r="B3" s="2" t="inlineStr">
        <x:is>
          <x:t xml:space="preserve">NavalAssets_norm</x:t>
        </x:is>
      </x:c>
      <x:c r="C3" s="3" t="n">
        <x:v>0.25</x:v>
      </x:c>
      <x:c r="D3" s="2" t="inlineStr">
        <x:is>
          <x:t xml:space="preserve">WPR total naval assets (log-minmax normalized)</x:t>
        </x:is>
      </x:c>
    </x:row>
    <x:row r="4">
      <x:c r="A4" s="2" t="inlineStr">
        <x:is>
          <x:t xml:space="preserve">NAVAL_SUBSCORE</x:t>
        </x:is>
      </x:c>
      <x:c r="B4" s="2" t="inlineStr">
        <x:is>
          <x:t xml:space="preserve">CarrierPoints_norm</x:t>
        </x:is>
      </x:c>
      <x:c r="C4" s="3" t="n">
        <x:v>0.15</x:v>
      </x:c>
      <x:c r="D4" s="2" t="inlineStr">
        <x:is>
          <x:t xml:space="preserve">(2*aircraft carriers + 1*helicopter carriers) (minmax normalized)</x:t>
        </x:is>
      </x:c>
    </x:row>
    <x:row r="5">
      <x:c r="A5" s="2" t="inlineStr">
        <x:is>
          <x:t xml:space="preserve">LAND_SUBSCORE</x:t>
        </x:is>
      </x:c>
      <x:c r="B5" s="2" t="inlineStr">
        <x:is>
          <x:t xml:space="preserve">LandPersonnel_norm</x:t>
        </x:is>
      </x:c>
      <x:c r="C5" s="3" t="n">
        <x:v>0.55</x:v>
      </x:c>
      <x:c r="D5" s="2" t="inlineStr">
        <x:is>
          <x:t xml:space="preserve">Estimated land personnel (log-minmax normalized)</x:t>
        </x:is>
      </x:c>
    </x:row>
    <x:row r="6">
      <x:c r="A6" s="2" t="inlineStr">
        <x:is>
          <x:t xml:space="preserve">LAND_SUBSCORE</x:t>
        </x:is>
      </x:c>
      <x:c r="B6" s="2" t="inlineStr">
        <x:is>
          <x:t xml:space="preserve">MilExp_norm</x:t>
        </x:is>
      </x:c>
      <x:c r="C6" s="3" t="n">
        <x:v>0.3</x:v>
      </x:c>
      <x:c r="D6" s="2" t="inlineStr">
        <x:is>
          <x:t xml:space="preserve">Military expenditure (log-minmax normalized)</x:t>
        </x:is>
      </x:c>
    </x:row>
    <x:row r="7">
      <x:c r="A7" s="2" t="inlineStr">
        <x:is>
          <x:t xml:space="preserve">LAND_SUBSCORE</x:t>
        </x:is>
      </x:c>
      <x:c r="B7" s="2" t="inlineStr">
        <x:is>
          <x:t xml:space="preserve">GDP_norm</x:t>
        </x:is>
      </x:c>
      <x:c r="C7" s="3" t="n">
        <x:v>0.15</x:v>
      </x:c>
      <x:c r="D7" s="2" t="inlineStr">
        <x:is>
          <x:t xml:space="preserve">GDP (log-minmax normalized)</x:t>
        </x:is>
      </x:c>
    </x:row>
    <x:row r="8">
      <x:c r="A8" s="2" t="inlineStr">
        <x:is>
          <x:t xml:space="preserve">AIR_SUBSCORE</x:t>
        </x:is>
      </x:c>
      <x:c r="B8" s="2" t="inlineStr">
        <x:is>
          <x:t xml:space="preserve">MilExp_norm</x:t>
        </x:is>
      </x:c>
      <x:c r="C8" s="3" t="n">
        <x:v>0.5</x:v>
      </x:c>
      <x:c r="D8" s="2" t="inlineStr">
        <x:is>
          <x:t xml:space="preserve">Military expenditure (log-minmax normalized)</x:t>
        </x:is>
      </x:c>
    </x:row>
    <x:row r="9">
      <x:c r="A9" s="2" t="inlineStr">
        <x:is>
          <x:t xml:space="preserve">AIR_SUBSCORE</x:t>
        </x:is>
      </x:c>
      <x:c r="B9" s="2" t="inlineStr">
        <x:is>
          <x:t xml:space="preserve">AirPersonnel_norm</x:t>
        </x:is>
      </x:c>
      <x:c r="C9" s="3" t="n">
        <x:v>0.3</x:v>
      </x:c>
      <x:c r="D9" s="2" t="inlineStr">
        <x:is>
          <x:t xml:space="preserve">Estimated air personnel (log-minmax normalized)</x:t>
        </x:is>
      </x:c>
    </x:row>
    <x:row r="10">
      <x:c r="A10" s="2" t="inlineStr">
        <x:is>
          <x:t xml:space="preserve">AIR_SUBSCORE</x:t>
        </x:is>
      </x:c>
      <x:c r="B10" s="2" t="inlineStr">
        <x:is>
          <x:t xml:space="preserve">SpendPerPers_norm</x:t>
        </x:is>
      </x:c>
      <x:c r="C10" s="3" t="n">
        <x:v>0.2</x:v>
      </x:c>
      <x:c r="D10" s="2" t="inlineStr">
        <x:is>
          <x:t xml:space="preserve">Military spend per personnel (minmax normalized)</x:t>
        </x:is>
      </x:c>
    </x:row>
    <x:row r="11">
      <x:c r="A11" s="2" t="inlineStr">
        <x:is>
          <x:t xml:space="preserve">ECON_SUBSCORE</x:t>
        </x:is>
      </x:c>
      <x:c r="B11" s="2" t="inlineStr">
        <x:is>
          <x:t xml:space="preserve">GDP_norm</x:t>
        </x:is>
      </x:c>
      <x:c r="C11" s="3" t="n">
        <x:v>0.6</x:v>
      </x:c>
      <x:c r="D11" s="2" t="inlineStr">
        <x:is>
          <x:t xml:space="preserve">GDP (log-minmax normalized)</x:t>
        </x:is>
      </x:c>
    </x:row>
    <x:row r="12">
      <x:c r="A12" s="2" t="inlineStr">
        <x:is>
          <x:t xml:space="preserve">ECON_SUBSCORE</x:t>
        </x:is>
      </x:c>
      <x:c r="B12" s="2" t="inlineStr">
        <x:is>
          <x:t xml:space="preserve">GDPpc_norm</x:t>
        </x:is>
      </x:c>
      <x:c r="C12" s="3" t="n">
        <x:v>0.4</x:v>
      </x:c>
      <x:c r="D12" s="2" t="inlineStr">
        <x:is>
          <x:t xml:space="preserve">GDP per capita proxy (minmax normalized; from terrain workbook if available)</x:t>
        </x:is>
      </x:c>
    </x:row>
    <x:row r="13">
      <x:c r="A13" s="2" t="inlineStr">
        <x:is>
          <x:t xml:space="preserve">OFFENSE_INDEX</x:t>
        </x:is>
      </x:c>
      <x:c r="B13" s="2" t="inlineStr">
        <x:is>
          <x:t xml:space="preserve">Naval_Score</x:t>
        </x:is>
      </x:c>
      <x:c r="C13" s="3" t="n">
        <x:v>0.18</x:v>
      </x:c>
      <x:c r="D13" s="2" t="inlineStr">
        <x:is>
          <x:t xml:space="preserve">Power projection at sea</x:t>
        </x:is>
      </x:c>
    </x:row>
    <x:row r="14">
      <x:c r="A14" s="2" t="inlineStr">
        <x:is>
          <x:t xml:space="preserve">OFFENSE_INDEX</x:t>
        </x:is>
      </x:c>
      <x:c r="B14" s="2" t="inlineStr">
        <x:is>
          <x:t xml:space="preserve">Air_Score</x:t>
        </x:is>
      </x:c>
      <x:c r="C14" s="3" t="n">
        <x:v>0.18</x:v>
      </x:c>
      <x:c r="D14" s="2" t="inlineStr">
        <x:is>
          <x:t xml:space="preserve">Air power proxy</x:t>
        </x:is>
      </x:c>
    </x:row>
    <x:row r="15">
      <x:c r="A15" s="2" t="inlineStr">
        <x:is>
          <x:t xml:space="preserve">OFFENSE_INDEX</x:t>
        </x:is>
      </x:c>
      <x:c r="B15" s="2" t="inlineStr">
        <x:is>
          <x:t xml:space="preserve">Land_Score</x:t>
        </x:is>
      </x:c>
      <x:c r="C15" s="3" t="n">
        <x:v>0.14</x:v>
      </x:c>
      <x:c r="D15" s="2" t="inlineStr">
        <x:is>
          <x:t xml:space="preserve">Land power proxy</x:t>
        </x:is>
      </x:c>
    </x:row>
    <x:row r="16">
      <x:c r="A16" s="2" t="inlineStr">
        <x:is>
          <x:t xml:space="preserve">OFFENSE_INDEX</x:t>
        </x:is>
      </x:c>
      <x:c r="B16" s="2" t="inlineStr">
        <x:is>
          <x:t xml:space="preserve">Logistics_Score</x:t>
        </x:is>
      </x:c>
      <x:c r="C16" s="3" t="n">
        <x:v>0.14</x:v>
      </x:c>
      <x:c r="D16" s="2" t="inlineStr">
        <x:is>
          <x:t xml:space="preserve">Transport proxy</x:t>
        </x:is>
      </x:c>
    </x:row>
    <x:row r="17">
      <x:c r="A17" s="2" t="inlineStr">
        <x:is>
          <x:t xml:space="preserve">OFFENSE_INDEX</x:t>
        </x:is>
      </x:c>
      <x:c r="B17" s="2" t="inlineStr">
        <x:is>
          <x:t xml:space="preserve">Economy_Score</x:t>
        </x:is>
      </x:c>
      <x:c r="C17" s="3" t="n">
        <x:v>0.12</x:v>
      </x:c>
      <x:c r="D17" s="2" t="inlineStr">
        <x:is>
          <x:t xml:space="preserve">Economic base</x:t>
        </x:is>
      </x:c>
    </x:row>
    <x:row r="18">
      <x:c r="A18" s="2" t="inlineStr">
        <x:is>
          <x:t xml:space="preserve">OFFENSE_INDEX</x:t>
        </x:is>
      </x:c>
      <x:c r="B18" s="2" t="inlineStr">
        <x:is>
          <x:t xml:space="preserve">Population_Score</x:t>
        </x:is>
      </x:c>
      <x:c r="C18" s="3" t="n">
        <x:v>0.08</x:v>
      </x:c>
      <x:c r="D18" s="2" t="inlineStr">
        <x:is>
          <x:t xml:space="preserve">Manpower reserve</x:t>
        </x:is>
      </x:c>
    </x:row>
    <x:row r="19">
      <x:c r="A19" s="2" t="inlineStr">
        <x:is>
          <x:t xml:space="preserve">OFFENSE_INDEX</x:t>
        </x:is>
      </x:c>
      <x:c r="B19" s="2" t="inlineStr">
        <x:is>
          <x:t xml:space="preserve">Diplomacy_Score</x:t>
        </x:is>
      </x:c>
      <x:c r="C19" s="3" t="n">
        <x:v>0.06</x:v>
      </x:c>
      <x:c r="D19" s="2" t="inlineStr">
        <x:is>
          <x:t xml:space="preserve">Lowy DI (if available)</x:t>
        </x:is>
      </x:c>
    </x:row>
    <x:row r="20">
      <x:c r="A20" s="2" t="inlineStr">
        <x:is>
          <x:t xml:space="preserve">OFFENSE_INDEX</x:t>
        </x:is>
      </x:c>
      <x:c r="B20" s="2" t="inlineStr">
        <x:is>
          <x:t xml:space="preserve">FutureResources_Score</x:t>
        </x:is>
      </x:c>
      <x:c r="C20" s="3" t="n">
        <x:v>0.04</x:v>
      </x:c>
      <x:c r="D20" s="2" t="inlineStr">
        <x:is>
          <x:t xml:space="preserve">Lowy FR (if available)</x:t>
        </x:is>
      </x:c>
    </x:row>
    <x:row r="21">
      <x:c r="A21" s="2" t="inlineStr">
        <x:is>
          <x:t xml:space="preserve">OFFENSE_INDEX</x:t>
        </x:is>
      </x:c>
      <x:c r="B21" s="2" t="inlineStr">
        <x:is>
          <x:t xml:space="preserve">Terrain_Ease</x:t>
        </x:is>
      </x:c>
      <x:c r="C21" s="3" t="n">
        <x:v>0.03</x:v>
      </x:c>
      <x:c r="D21" s="2" t="inlineStr">
        <x:is>
          <x:t xml:space="preserve">(100 - terrain score)</x:t>
        </x:is>
      </x:c>
    </x:row>
    <x:row r="22">
      <x:c r="A22" s="2" t="inlineStr">
        <x:is>
          <x:t xml:space="preserve">OFFENSE_INDEX</x:t>
        </x:is>
      </x:c>
      <x:c r="B22" s="2" t="inlineStr">
        <x:is>
          <x:t xml:space="preserve">Nuclear_Score</x:t>
        </x:is>
      </x:c>
      <x:c r="C22" s="3" t="n">
        <x:v>0.03</x:v>
      </x:c>
      <x:c r="D22" s="2" t="inlineStr">
        <x:is>
          <x:t xml:space="preserve">Deterrence escalation dominance</x:t>
        </x:is>
      </x:c>
    </x:row>
    <x:row r="23">
      <x:c r="A23" s="2" t="inlineStr">
        <x:is>
          <x:t xml:space="preserve">DEFENSE_INDEX</x:t>
        </x:is>
      </x:c>
      <x:c r="B23" s="2" t="inlineStr">
        <x:is>
          <x:t xml:space="preserve">Land_Score</x:t>
        </x:is>
      </x:c>
      <x:c r="C23" s="3" t="n">
        <x:v>0.18</x:v>
      </x:c>
      <x:c r="D23" s="2" t="inlineStr">
        <x:is>
          <x:t xml:space="preserve">Ground defense capacity proxy</x:t>
        </x:is>
      </x:c>
    </x:row>
    <x:row r="24">
      <x:c r="A24" s="2" t="inlineStr">
        <x:is>
          <x:t xml:space="preserve">DEFENSE_INDEX</x:t>
        </x:is>
      </x:c>
      <x:c r="B24" s="2" t="inlineStr">
        <x:is>
          <x:t xml:space="preserve">Terrain_Defense</x:t>
        </x:is>
      </x:c>
      <x:c r="C24" s="3" t="n">
        <x:v>0.12</x:v>
      </x:c>
      <x:c r="D24" s="2" t="inlineStr">
        <x:is>
          <x:t xml:space="preserve">Terrain advantage</x:t>
        </x:is>
      </x:c>
    </x:row>
    <x:row r="25">
      <x:c r="A25" s="2" t="inlineStr">
        <x:is>
          <x:t xml:space="preserve">DEFENSE_INDEX</x:t>
        </x:is>
      </x:c>
      <x:c r="B25" s="2" t="inlineStr">
        <x:is>
          <x:t xml:space="preserve">Logistics_Score</x:t>
        </x:is>
      </x:c>
      <x:c r="C25" s="3" t="n">
        <x:v>0.12</x:v>
      </x:c>
      <x:c r="D25" s="2" t="inlineStr">
        <x:is>
          <x:t xml:space="preserve">Sustainment / internal mobility</x:t>
        </x:is>
      </x:c>
    </x:row>
    <x:row r="26">
      <x:c r="A26" s="2" t="inlineStr">
        <x:is>
          <x:t xml:space="preserve">DEFENSE_INDEX</x:t>
        </x:is>
      </x:c>
      <x:c r="B26" s="2" t="inlineStr">
        <x:is>
          <x:t xml:space="preserve">Resilience_Score</x:t>
        </x:is>
      </x:c>
      <x:c r="C26" s="3" t="n">
        <x:v>0.12</x:v>
      </x:c>
      <x:c r="D26" s="2" t="inlineStr">
        <x:is>
          <x:t xml:space="preserve">Lowy RE (if available)</x:t>
        </x:is>
      </x:c>
    </x:row>
    <x:row r="27">
      <x:c r="A27" s="2" t="inlineStr">
        <x:is>
          <x:t xml:space="preserve">DEFENSE_INDEX</x:t>
        </x:is>
      </x:c>
      <x:c r="B27" s="2" t="inlineStr">
        <x:is>
          <x:t xml:space="preserve">Networks_Score</x:t>
        </x:is>
      </x:c>
      <x:c r="C27" s="3" t="n">
        <x:v>0.1</x:v>
      </x:c>
      <x:c r="D27" s="2" t="inlineStr">
        <x:is>
          <x:t xml:space="preserve">Lowy DN (if available)</x:t>
        </x:is>
      </x:c>
    </x:row>
    <x:row r="28">
      <x:c r="A28" s="2" t="inlineStr">
        <x:is>
          <x:t xml:space="preserve">DEFENSE_INDEX</x:t>
        </x:is>
      </x:c>
      <x:c r="B28" s="2" t="inlineStr">
        <x:is>
          <x:t xml:space="preserve">Population_Score</x:t>
        </x:is>
      </x:c>
      <x:c r="C28" s="3" t="n">
        <x:v>0.1</x:v>
      </x:c>
      <x:c r="D28" s="2" t="inlineStr">
        <x:is>
          <x:t xml:space="preserve">Manpower reserve</x:t>
        </x:is>
      </x:c>
    </x:row>
    <x:row r="29">
      <x:c r="A29" s="2" t="inlineStr">
        <x:is>
          <x:t xml:space="preserve">DEFENSE_INDEX</x:t>
        </x:is>
      </x:c>
      <x:c r="B29" s="2" t="inlineStr">
        <x:is>
          <x:t xml:space="preserve">MilitaryCapability_Score</x:t>
        </x:is>
      </x:c>
      <x:c r="C29" s="3" t="n">
        <x:v>0.1</x:v>
      </x:c>
      <x:c r="D29" s="2" t="inlineStr">
        <x:is>
          <x:t xml:space="preserve">Lowy MC if available else MilExp_norm</x:t>
        </x:is>
      </x:c>
    </x:row>
    <x:row r="30">
      <x:c r="A30" s="2" t="inlineStr">
        <x:is>
          <x:t xml:space="preserve">DEFENSE_INDEX</x:t>
        </x:is>
      </x:c>
      <x:c r="B30" s="2" t="inlineStr">
        <x:is>
          <x:t xml:space="preserve">Nuclear_Score</x:t>
        </x:is>
      </x:c>
      <x:c r="C30" s="3" t="n">
        <x:v>0.08</x:v>
      </x:c>
      <x:c r="D30" s="2" t="inlineStr">
        <x:is>
          <x:t xml:space="preserve">Deterrence</x:t>
        </x:is>
      </x:c>
    </x:row>
    <x:row r="31">
      <x:c r="A31" s="2" t="inlineStr">
        <x:is>
          <x:t xml:space="preserve">DEFENSE_INDEX</x:t>
        </x:is>
      </x:c>
      <x:c r="B31" s="2" t="inlineStr">
        <x:is>
          <x:t xml:space="preserve">Economy_Score</x:t>
        </x:is>
      </x:c>
      <x:c r="C31" s="3" t="n">
        <x:v>0.08</x:v>
      </x:c>
      <x:c r="D31" s="2" t="inlineStr">
        <x:is>
          <x:t xml:space="preserve">Economic base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22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2" customWidth="1"/>
    <x:col min="25" max="25" width="12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2" customWidth="1"/>
    <x:col min="36" max="36" width="12" customWidth="1"/>
    <x:col min="37" max="37" width="12" customWidth="1"/>
    <x:col min="38" max="38" width="12" customWidth="1"/>
    <x:col min="39" max="39" width="12" customWidth="1"/>
    <x:col min="40" max="40" width="12" customWidth="1"/>
    <x:col min="41" max="41" width="12" customWidth="1"/>
    <x:col min="42" max="42" width="12" customWidth="1"/>
    <x:col min="43" max="43" width="12" customWidth="1"/>
    <x:col min="44" max="44" width="16" customWidth="1"/>
    <x:col min="45" max="45" width="12" customWidth="1"/>
    <x:col min="46" max="46" width="16" customWidth="1"/>
    <x:col min="47" max="47" width="12" customWidth="1"/>
    <x:col min="48" max="48" width="16" customWidth="1"/>
    <x:col min="49" max="49" width="12" customWidth="1"/>
    <x:col min="50" max="50" width="16" customWidth="1"/>
    <x:col min="51" max="51" width="12" customWidth="1"/>
    <x:col min="52" max="52" width="16" customWidth="1"/>
    <x:col min="53" max="53" width="12" customWidth="1"/>
    <x:col min="54" max="54" width="16" customWidth="1"/>
    <x:col min="55" max="55" width="12" customWidth="1"/>
    <x:col min="56" max="56" width="16" customWidth="1"/>
    <x:col min="57" max="57" width="12" customWidth="1"/>
    <x:col min="58" max="58" width="12" customWidth="1"/>
    <x:col min="59" max="59" width="16" customWidth="1"/>
    <x:col min="60" max="60" width="12" customWidth="1"/>
    <x:col min="61" max="61" width="16" customWidth="1"/>
    <x:col min="62" max="62" width="12" customWidth="1"/>
    <x:col min="63" max="63" width="16" customWidth="1"/>
    <x:col min="64" max="64" width="12" customWidth="1"/>
    <x:col min="65" max="65" width="12" customWidth="1"/>
    <x:col min="66" max="66" width="16" customWidth="1"/>
    <x:col min="67" max="67" width="16" customWidth="1"/>
    <x:col min="68" max="68" width="12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12" customWidth="1"/>
    <x:col min="83" max="83" width="16" customWidth="1"/>
    <x:col min="84" max="84" width="16" customWidth="1"/>
    <x:col min="85" max="85" width="12" customWidth="1"/>
  </x:cols>
  <x:sheetData>
    <x:row r="1">
      <x:c r="A1" s="1" t="inlineStr">
        <x:is>
          <x:t xml:space="preserve">ISO3</x:t>
        </x:is>
      </x:c>
      <x:c r="B1" s="1" t="inlineStr">
        <x:is>
          <x:t xml:space="preserve">Country_Display</x:t>
        </x:is>
      </x:c>
      <x:c r="C1" s="1" t="inlineStr">
        <x:is>
          <x:t xml:space="preserve">Region</x:t>
        </x:is>
      </x:c>
      <x:c r="D1" s="1" t="inlineStr">
        <x:is>
          <x:t xml:space="preserve">Income group</x:t>
        </x:is>
      </x:c>
      <x:c r="E1" s="1" t="inlineStr">
        <x:is>
          <x:t xml:space="preserve">Continent</x:t>
        </x:is>
      </x:c>
      <x:c r="F1" s="1" t="inlineStr">
        <x:is>
          <x:t xml:space="preserve">Population year</x:t>
        </x:is>
      </x:c>
      <x:c r="G1" s="1" t="inlineStr">
        <x:is>
          <x:t xml:space="preserve">Population (people)</x:t>
        </x:is>
      </x:c>
      <x:c r="H1" s="1" t="inlineStr">
        <x:is>
          <x:t xml:space="preserve">Armed forces personnel year</x:t>
        </x:is>
      </x:c>
      <x:c r="I1" s="1" t="inlineStr">
        <x:is>
          <x:t xml:space="preserve">Armed forces personnel (total)</x:t>
        </x:is>
      </x:c>
      <x:c r="J1" s="1" t="inlineStr">
        <x:is>
          <x:t xml:space="preserve">Land personnel (est)</x:t>
        </x:is>
      </x:c>
      <x:c r="K1" s="1" t="inlineStr">
        <x:is>
          <x:t xml:space="preserve">Air personnel (est)</x:t>
        </x:is>
      </x:c>
      <x:c r="L1" s="1" t="inlineStr">
        <x:is>
          <x:t xml:space="preserve">Navy personnel (est)</x:t>
        </x:is>
      </x:c>
      <x:c r="M1" s="1" t="inlineStr">
        <x:is>
          <x:t xml:space="preserve">Military expenditure year</x:t>
        </x:is>
      </x:c>
      <x:c r="N1" s="1" t="inlineStr">
        <x:is>
          <x:t xml:space="preserve">Military expenditure (current US$)</x:t>
        </x:is>
      </x:c>
      <x:c r="O1" s="1" t="inlineStr">
        <x:is>
          <x:t xml:space="preserve">Military expenditure (% GDP)</x:t>
        </x:is>
      </x:c>
      <x:c r="P1" s="1" t="inlineStr">
        <x:is>
          <x:t xml:space="preserve">Military spend per personnel (US$)</x:t>
        </x:is>
      </x:c>
      <x:c r="Q1" s="1" t="inlineStr">
        <x:is>
          <x:t xml:space="preserve">GDP (current US$) year</x:t>
        </x:is>
      </x:c>
      <x:c r="R1" s="1" t="inlineStr">
        <x:is>
          <x:t xml:space="preserve">GDP (current US$)</x:t>
        </x:is>
      </x:c>
      <x:c r="S1" s="1" t="inlineStr">
        <x:is>
          <x:t xml:space="preserve">Active satellites (UCS)</x:t>
        </x:is>
      </x:c>
      <x:c r="T1" s="1" t="inlineStr">
        <x:is>
          <x:t xml:space="preserve">Military satellites (UCS)</x:t>
        </x:is>
      </x:c>
      <x:c r="U1" s="1" t="inlineStr">
        <x:is>
          <x:t xml:space="preserve">Nuclear weapons status (FAS)</x:t>
        </x:is>
      </x:c>
      <x:c r="V1" s="1" t="inlineStr">
        <x:is>
          <x:t xml:space="preserve">Estimated warheads (total inventory)</x:t>
        </x:is>
      </x:c>
      <x:c r="W1" s="1" t="inlineStr">
        <x:is>
          <x:t xml:space="preserve">Nuclear test history</x:t>
        </x:is>
      </x:c>
      <x:c r="X1" s="1" t="inlineStr">
        <x:is>
          <x:t xml:space="preserve">terrain_score_0_100</x:t>
        </x:is>
      </x:c>
      <x:c r="Y1" s="1" t="inlineStr">
        <x:is>
          <x:t xml:space="preserve">transport_score_0_100</x:t>
        </x:is>
      </x:c>
      <x:c r="Z1" s="1" t="inlineStr">
        <x:is>
          <x:t xml:space="preserve">area_km2</x:t>
        </x:is>
      </x:c>
      <x:c r="AA1" s="1" t="inlineStr">
        <x:is>
          <x:t xml:space="preserve">pop_density_per_km2</x:t>
        </x:is>
      </x:c>
      <x:c r="AB1" s="1" t="inlineStr">
        <x:is>
          <x:t xml:space="preserve">gdp_per_cap_usd</x:t>
        </x:is>
      </x:c>
      <x:c r="AC1" s="1" t="inlineStr">
        <x:is>
          <x:t xml:space="preserve">Total_Naval_Assets_2024</x:t>
        </x:is>
      </x:c>
      <x:c r="AD1" s="1" t="inlineStr">
        <x:is>
          <x:t xml:space="preserve">Aircraft_Carriers_2025</x:t>
        </x:is>
      </x:c>
      <x:c r="AE1" s="1" t="inlineStr">
        <x:is>
          <x:t xml:space="preserve">Helicopter_Carriers_2025</x:t>
        </x:is>
      </x:c>
      <x:c r="AF1" s="1" t="inlineStr">
        <x:is>
          <x:t xml:space="preserve">TvR</x:t>
        </x:is>
      </x:c>
      <x:c r="AG1" s="1" t="inlineStr">
        <x:is>
          <x:t xml:space="preserve">Units_Tracked</x:t>
        </x:is>
      </x:c>
      <x:c r="AH1" s="1" t="inlineStr">
        <x:is>
          <x:t xml:space="preserve">WDMMW_Rank_2026</x:t>
        </x:is>
      </x:c>
      <x:c r="AI1" s="1" t="inlineStr">
        <x:is>
          <x:t xml:space="preserve">CP score</x:t>
        </x:is>
      </x:c>
      <x:c r="AJ1" s="1" t="inlineStr">
        <x:is>
          <x:t xml:space="preserve">EC score</x:t>
        </x:is>
      </x:c>
      <x:c r="AK1" s="1" t="inlineStr">
        <x:is>
          <x:t xml:space="preserve">MC score</x:t>
        </x:is>
      </x:c>
      <x:c r="AL1" s="1" t="inlineStr">
        <x:is>
          <x:t xml:space="preserve">RE score</x:t>
        </x:is>
      </x:c>
      <x:c r="AM1" s="1" t="inlineStr">
        <x:is>
          <x:t xml:space="preserve">FR score</x:t>
        </x:is>
      </x:c>
      <x:c r="AN1" s="1" t="inlineStr">
        <x:is>
          <x:t xml:space="preserve">ER score</x:t>
        </x:is>
      </x:c>
      <x:c r="AO1" s="1" t="inlineStr">
        <x:is>
          <x:t xml:space="preserve">DN score</x:t>
        </x:is>
      </x:c>
      <x:c r="AP1" s="1" t="inlineStr">
        <x:is>
          <x:t xml:space="preserve">DI score</x:t>
        </x:is>
      </x:c>
      <x:c r="AQ1" s="1" t="inlineStr">
        <x:is>
          <x:t xml:space="preserve">CI score</x:t>
        </x:is>
      </x:c>
      <x:c r="AR1" s="1" t="inlineStr">
        <x:is>
          <x:t xml:space="preserve">log_pop</x:t>
        </x:is>
      </x:c>
      <x:c r="AS1" s="1" t="inlineStr">
        <x:is>
          <x:t xml:space="preserve">pop_norm</x:t>
        </x:is>
      </x:c>
      <x:c r="AT1" s="1" t="inlineStr">
        <x:is>
          <x:t xml:space="preserve">log_gdp</x:t>
        </x:is>
      </x:c>
      <x:c r="AU1" s="1" t="inlineStr">
        <x:is>
          <x:t xml:space="preserve">gdp_norm</x:t>
        </x:is>
      </x:c>
      <x:c r="AV1" s="1" t="inlineStr">
        <x:is>
          <x:t xml:space="preserve">log_milexp</x:t>
        </x:is>
      </x:c>
      <x:c r="AW1" s="1" t="inlineStr">
        <x:is>
          <x:t xml:space="preserve">milexp_norm</x:t>
        </x:is>
      </x:c>
      <x:c r="AX1" s="1" t="inlineStr">
        <x:is>
          <x:t xml:space="preserve">log_personnel</x:t>
        </x:is>
      </x:c>
      <x:c r="AY1" s="1" t="inlineStr">
        <x:is>
          <x:t xml:space="preserve">personnel_norm</x:t>
        </x:is>
      </x:c>
      <x:c r="AZ1" s="1" t="inlineStr">
        <x:is>
          <x:t xml:space="preserve">log_landpers</x:t>
        </x:is>
      </x:c>
      <x:c r="BA1" s="1" t="inlineStr">
        <x:is>
          <x:t xml:space="preserve">landpers_norm</x:t>
        </x:is>
      </x:c>
      <x:c r="BB1" s="1" t="inlineStr">
        <x:is>
          <x:t xml:space="preserve">log_airpers</x:t>
        </x:is>
      </x:c>
      <x:c r="BC1" s="1" t="inlineStr">
        <x:is>
          <x:t xml:space="preserve">airpers_norm</x:t>
        </x:is>
      </x:c>
      <x:c r="BD1" s="1" t="inlineStr">
        <x:is>
          <x:t xml:space="preserve">log_navypers</x:t>
        </x:is>
      </x:c>
      <x:c r="BE1" s="1" t="inlineStr">
        <x:is>
          <x:t xml:space="preserve">navypers_norm</x:t>
        </x:is>
      </x:c>
      <x:c r="BF1" s="1" t="inlineStr">
        <x:is>
          <x:t xml:space="preserve">spendperpers_norm</x:t>
        </x:is>
      </x:c>
      <x:c r="BG1" s="1" t="inlineStr">
        <x:is>
          <x:t xml:space="preserve">log_tvr</x:t>
        </x:is>
      </x:c>
      <x:c r="BH1" s="1" t="inlineStr">
        <x:is>
          <x:t xml:space="preserve">tvr_norm</x:t>
        </x:is>
      </x:c>
      <x:c r="BI1" s="1" t="inlineStr">
        <x:is>
          <x:t xml:space="preserve">log_navalassets</x:t>
        </x:is>
      </x:c>
      <x:c r="BJ1" s="1" t="inlineStr">
        <x:is>
          <x:t xml:space="preserve">navalassets_norm</x:t>
        </x:is>
      </x:c>
      <x:c r="BK1" s="1" t="inlineStr">
        <x:is>
          <x:t xml:space="preserve">carrier_points</x:t>
        </x:is>
      </x:c>
      <x:c r="BL1" s="1" t="inlineStr">
        <x:is>
          <x:t xml:space="preserve">carrier_norm</x:t>
        </x:is>
      </x:c>
      <x:c r="BM1" s="1" t="inlineStr">
        <x:is>
          <x:t xml:space="preserve">gdp_pc_norm</x:t>
        </x:is>
      </x:c>
      <x:c r="BN1" s="1" t="inlineStr">
        <x:is>
          <x:t xml:space="preserve">terrain_defense</x:t>
        </x:is>
      </x:c>
      <x:c r="BO1" s="1" t="inlineStr">
        <x:is>
          <x:t xml:space="preserve">terrain_ease</x:t>
        </x:is>
      </x:c>
      <x:c r="BP1" s="1" t="inlineStr">
        <x:is>
          <x:t xml:space="preserve">naval_score</x:t>
        </x:is>
      </x:c>
      <x:c r="BQ1" s="1" t="inlineStr">
        <x:is>
          <x:t xml:space="preserve">land_score</x:t>
        </x:is>
      </x:c>
      <x:c r="BR1" s="1" t="inlineStr">
        <x:is>
          <x:t xml:space="preserve">air_score</x:t>
        </x:is>
      </x:c>
      <x:c r="BS1" s="1" t="inlineStr">
        <x:is>
          <x:t xml:space="preserve">logistics_score</x:t>
        </x:is>
      </x:c>
      <x:c r="BT1" s="1" t="inlineStr">
        <x:is>
          <x:t xml:space="preserve">population_score</x:t>
        </x:is>
      </x:c>
      <x:c r="BU1" s="1" t="inlineStr">
        <x:is>
          <x:t xml:space="preserve">economy_score</x:t>
        </x:is>
      </x:c>
      <x:c r="BV1" s="1" t="inlineStr">
        <x:is>
          <x:t xml:space="preserve">nuclear_score</x:t>
        </x:is>
      </x:c>
      <x:c r="BW1" s="1" t="inlineStr">
        <x:is>
          <x:t xml:space="preserve">diplomacy_score</x:t>
        </x:is>
      </x:c>
      <x:c r="BX1" s="1" t="inlineStr">
        <x:is>
          <x:t xml:space="preserve">networks_score</x:t>
        </x:is>
      </x:c>
      <x:c r="BY1" s="1" t="inlineStr">
        <x:is>
          <x:t xml:space="preserve">resilience_score</x:t>
        </x:is>
      </x:c>
      <x:c r="BZ1" s="1" t="inlineStr">
        <x:is>
          <x:t xml:space="preserve">future_resources_score</x:t>
        </x:is>
      </x:c>
      <x:c r="CA1" s="1" t="inlineStr">
        <x:is>
          <x:t xml:space="preserve">milcap_score</x:t>
        </x:is>
      </x:c>
      <x:c r="CB1" s="1" t="inlineStr">
        <x:is>
          <x:t xml:space="preserve">offense_index</x:t>
        </x:is>
      </x:c>
      <x:c r="CC1" s="1" t="inlineStr">
        <x:is>
          <x:t xml:space="preserve">defense_index</x:t>
        </x:is>
      </x:c>
      <x:c r="CD1" s="1" t="inlineStr">
        <x:is>
          <x:t xml:space="preserve">overall_index</x:t>
        </x:is>
      </x:c>
      <x:c r="CE1" s="1" t="inlineStr">
        <x:is>
          <x:t xml:space="preserve">data_confidence</x:t>
        </x:is>
      </x:c>
      <x:c r="CF1" s="1" t="inlineStr">
        <x:is>
          <x:t xml:space="preserve">log_warheads</x:t>
        </x:is>
      </x:c>
      <x:c r="CG1" s="1" t="inlineStr">
        <x:is>
          <x:t xml:space="preserve">warheads_norm</x:t>
        </x:is>
      </x:c>
    </x:row>
    <x:row r="2">
      <x:c r="A2" t="inlineStr">
        <x:is>
          <x:t xml:space="preserve">ASM</x:t>
        </x:is>
      </x:c>
      <x:c r="B2" t="inlineStr">
        <x:is>
          <x:t xml:space="preserve">American Samoa</x:t>
        </x:is>
      </x:c>
      <x:c r="C2" t="inlineStr">
        <x:is>
          <x:t xml:space="preserve">East Asia &amp; Pacific</x:t>
        </x:is>
      </x:c>
      <x:c r="D2" t="inlineStr">
        <x:is>
          <x:t xml:space="preserve">High income</x:t>
        </x:is>
      </x:c>
      <x:c r="F2" t="n">
        <x:v>2024</x:v>
      </x:c>
      <x:c r="G2" t="n">
        <x:v>46765</x:v>
      </x:c>
      <x:c r="N2" s="8" t="n"/>
      <x:c r="O2" s="9" t="n"/>
      <x:c r="P2" s="8" t="n"/>
      <x:c r="Q2" t="n">
        <x:v>2022</x:v>
      </x:c>
      <x:c r="R2" s="8" t="n">
        <x:v>871000000</x:v>
      </x:c>
      <x:c r="S2" t="n">
        <x:v>0</x:v>
      </x:c>
      <x:c r="T2" t="n">
        <x:v>0</x:v>
      </x:c>
      <x:c r="U2" t="inlineStr">
        <x:is>
          <x:t xml:space="preserve">No</x:t>
        </x:is>
      </x:c>
      <x:c r="W2" t="inlineStr">
        <x:is>
          <x:t xml:space="preserve">No</x:t>
        </x:is>
      </x:c>
      <x:c r="AB2" s="8" t="n"/>
      <x:c r="AR2">
        <x:f>IF(G2="","",LOG10(G2+1))</x:f>
        <x:v>4.669930225323987</x:v>
      </x:c>
      <x:c r="AS2" s="10">
        <x:f>IF(AR2="","",IF(MAX($AR$2:$AR$252)-MIN($AR$2:$AR$252)=0,"",(AR2-MIN($AR$2:$AR$252))/(MAX($AR$2:$AR$252)-MIN($AR$2:$AR$252))*100))</x:f>
        <x:v>55.815289257478064</x:v>
      </x:c>
      <x:c r="AT2">
        <x:f>IF(R2="","",LOG10(R2+1))</x:f>
        <x:v>8.940018155506278</x:v>
      </x:c>
      <x:c r="AU2" s="10">
        <x:f>IF(AT2="","",IF(MAX($AT$2:$AT$252)-MIN($AT$2:$AT$252)=0,"",(AT2-MIN($AT$2:$AT$252))/(MAX($AT$2:$AT$252)-MIN($AT$2:$AT$252))*100))</x:f>
        <x:v>70.55626469281555</x:v>
      </x:c>
      <x:c r="AV2">
        <x:f>IF(N2="","",LOG10(N2+1))</x:f>
      </x:c>
      <x:c r="AW2" s="10">
        <x:f>IF(AV2="","",IF(MAX($AV$2:$AV$252)-MIN($AV$2:$AV$252)=0,"",(AV2-MIN($AV$2:$AV$252))/(MAX($AV$2:$AV$252)-MIN($AV$2:$AV$252))*100))</x:f>
      </x:c>
      <x:c r="AX2">
        <x:f>IF(I2="","",LOG10(I2+1))</x:f>
      </x:c>
      <x:c r="AY2" s="10">
        <x:f>IF(AX2="","",IF(MAX($AX$2:$AX$252)-MIN($AX$2:$AX$252)=0,"",(AX2-MIN($AX$2:$AX$252))/(MAX($AX$2:$AX$252)-MIN($AX$2:$AX$252))*100))</x:f>
      </x:c>
      <x:c r="AZ2">
        <x:f>IF(J2="","",LOG10(J2+1))</x:f>
      </x:c>
      <x:c r="BA2" s="10">
        <x:f>IF(AZ2="","",IF(MAX($AZ$2:$AZ$252)-MIN($AZ$2:$AZ$252)=0,"",(AZ2-MIN($AZ$2:$AZ$252))/(MAX($AZ$2:$AZ$252)-MIN($AZ$2:$AZ$252))*100))</x:f>
      </x:c>
      <x:c r="BB2">
        <x:f>IF(K2="","",LOG10(K2+1))</x:f>
      </x:c>
      <x:c r="BC2" s="10">
        <x:f>IF(BB2="","",IF(MAX($BB$2:$BB$252)-MIN($BB$2:$BB$252)=0,"",(BB2-MIN($BB$2:$BB$252))/(MAX($BB$2:$BB$252)-MIN($BB$2:$BB$252))*100))</x:f>
      </x:c>
      <x:c r="BD2">
        <x:f>IF(L2="","",LOG10(L2+1))</x:f>
      </x:c>
      <x:c r="BE2" s="10">
        <x:f>IF(BD2="","",IF(MAX($BD$2:$BD$252)-MIN($BD$2:$BD$252)=0,"",(BD2-MIN($BD$2:$BD$252))/(MAX($BD$2:$BD$252)-MIN($BD$2:$BD$252))*100))</x:f>
      </x:c>
      <x:c r="BF2" s="10">
        <x:f>IF(P2="","",IF(MAX($P$2:$P$252)-MIN($P$2:$P$252)=0,"",(P2-MIN($P$2:$P$252))/(MAX($P$2:$P$252)-MIN($P$2:$P$252))*100))</x:f>
      </x:c>
      <x:c r="BG2">
        <x:f>IF(AF2="","",LOG10(AF2+1))</x:f>
      </x:c>
      <x:c r="BH2" s="10">
        <x:f>IF(BG2="","",IF(MAX($BG$2:$BG$252)-MIN($BG$2:$BG$252)=0,"",(BG2-MIN($BG$2:$BG$252))/(MAX($BG$2:$BG$252)-MIN($BG$2:$BG$252))*100))</x:f>
      </x:c>
      <x:c r="BI2">
        <x:f>IF(AC2="","",LOG10(AC2+1))</x:f>
      </x:c>
      <x:c r="BJ2" s="10">
        <x:f>IF(BI2="","",IF(MAX($BI$2:$BI$252)-MIN($BI$2:$BI$252)=0,"",(BI2-MIN($BI$2:$BI$252))/(MAX($BI$2:$BI$252)-MIN($BI$2:$BI$252))*100))</x:f>
      </x:c>
      <x:c r="BK2">
        <x:f>IF(AD2="","",(AD2*2)+(AE2*1))</x:f>
      </x:c>
      <x:c r="BL2" s="10">
        <x:f>IF(BK2="","",IF(MAX($BK$2:$BK$252)-MIN($BK$2:$BK$252)=0,"",(BK2-MIN($BK$2:$BK$252))/(MAX($BK$2:$BK$252)-MIN($BK$2:$BK$252))*100))</x:f>
      </x:c>
      <x:c r="BM2" s="10">
        <x:f>IF(AB2="","",IF(MAX($AB$2:$AB$252)-MIN($AB$2:$AB$252)=0,"",(AB2-MIN($AB$2:$AB$252))/(MAX($AB$2:$AB$252)-MIN($AB$2:$AB$252))*100))</x:f>
      </x:c>
      <x:c r="BN2" s="10">
        <x:f>IF(X2="","",X2)</x:f>
      </x:c>
      <x:c r="BO2" s="10">
        <x:f>IF(X2="","",100-X2)</x:f>
      </x:c>
      <x:c r="BP2" s="10">
        <x:f>IF((Weights!$C$2*IF(BH2="",0,1)+Weights!$C$3*IF(BJ2="",0,1)+Weights!$C$4*IF(BL2="",0,1))=0,"",(Weights!$C$2*IF(BH2="",0,BH2)+Weights!$C$3*IF(BJ2="",0,BJ2)+Weights!$C$4*IF(BL2="",0,BL2))/(Weights!$C$2*IF(BH2="",0,1)+Weights!$C$3*IF(BJ2="",0,1)+Weights!$C$4*IF(BL2="",0,1)))</x:f>
      </x:c>
      <x:c r="BQ2" s="10">
        <x:f>IF((Weights!$C$5*IF(BA2="",0,1)+Weights!$C$6*IF(AW2="",0,1)+Weights!$C$7*IF(AU2="",0,1))=0,"",(Weights!$C$5*IF(BA2="",0,BA2)+Weights!$C$6*IF(AW2="",0,AW2)+Weights!$C$7*IF(AU2="",0,AU2))/(Weights!$C$5*IF(BA2="",0,1)+Weights!$C$6*IF(AW2="",0,1)+Weights!$C$7*IF(AU2="",0,1)))</x:f>
      </x:c>
      <x:c r="BR2" s="10">
        <x:f>IF((Weights!$C$8*IF(AW2="",0,1)+Weights!$C$9*IF(BC2="",0,1)+Weights!$C$10*IF(BF2="",0,1))=0,"",(Weights!$C$8*IF(AW2="",0,AW2)+Weights!$C$9*IF(BC2="",0,BC2)+Weights!$C$10*IF(BF2="",0,BF2))/(Weights!$C$8*IF(AW2="",0,1)+Weights!$C$9*IF(BC2="",0,1)+Weights!$C$10*IF(BF2="",0,1)))</x:f>
      </x:c>
      <x:c r="BS2" s="10">
        <x:f>IF(Y2="","",Y2)</x:f>
      </x:c>
      <x:c r="BT2" s="10">
        <x:f>IF(AS2="","",AS2)</x:f>
      </x:c>
      <x:c r="BU2" s="10">
        <x:f>IF(AJ2&lt;&gt;"",(0.6*AJ2+0.4*AU2),IF((Weights!$C$11*IF(AU2="",0,1)+Weights!$C$12*IF(BM2="",0,1))=0,"",(Weights!$C$11*IF(AU2="",0,AU2)+Weights!$C$12*IF(BM2="",0,BM2))/(Weights!$C$11*IF(AU2="",0,1)+Weights!$C$12*IF(BM2="",0,1))))</x:f>
      </x:c>
      <x:c r="BV2" s="10">
        <x:f>IF(CG2="",0,CG2)</x:f>
      </x:c>
      <x:c r="BW2" s="10">
        <x:f>IF(AP2="","",AP2)</x:f>
      </x:c>
      <x:c r="BX2" s="10">
        <x:f>IF(AO2="","",AO2)</x:f>
      </x:c>
      <x:c r="BY2" s="10">
        <x:f>IF(AL2="","",AL2)</x:f>
      </x:c>
      <x:c r="BZ2" s="10">
        <x:f>IF(AM2="","",AM2)</x:f>
      </x:c>
      <x:c r="CA2" s="10">
        <x:f>IF(AK2&lt;&gt;"",AK2,AW2)</x:f>
      </x:c>
      <x:c r="CB2" s="10">
        <x:f>IF((Weights!$C$13*IF(BP2="",0,1)+Weights!$C$14*IF(BR2="",0,1)+Weights!$C$15*IF(BQ2="",0,1)+Weights!$C$16*IF(BS2="",0,1)+Weights!$C$17*IF(BU2="",0,1)+Weights!$C$18*IF(BT2="",0,1)+Weights!$C$19*IF(BW2="",0,1)+Weights!$C$20*IF(BZ2="",0,1)+Weights!$C$21*IF(BO2="",0,1)+Weights!$C$22)=0,"",(Weights!$C$13*IF(BP2="",0,BP2)+Weights!$C$14*IF(BR2="",0,BR2)+Weights!$C$15*IF(BQ2="",0,BQ2)+Weights!$C$16*IF(BS2="",0,BS2)+Weights!$C$17*IF(BU2="",0,BU2)+Weights!$C$18*IF(BT2="",0,BT2)+Weights!$C$19*IF(BW2="",0,BW2)+Weights!$C$20*IF(BZ2="",0,BZ2)+Weights!$C$21*IF(BO2="",0,BO2)+Weights!$C$22*BV2)/(Weights!$C$13*IF(BP2="",0,1)+Weights!$C$14*IF(BR2="",0,1)+Weights!$C$15*IF(BQ2="",0,1)+Weights!$C$16*IF(BS2="",0,1)+Weights!$C$17*IF(BU2="",0,1)+Weights!$C$18*IF(BT2="",0,1)+Weights!$C$19*IF(BW2="",0,1)+Weights!$C$20*IF(BZ2="",0,1)+Weights!$C$21*IF(BO2="",0,1)+Weights!$C$22))</x:f>
      </x:c>
      <x:c r="CC2" s="10">
        <x:f>IF((Weights!$C$23*IF(BQ2="",0,1)+Weights!$C$24*IF(BN2="",0,1)+Weights!$C$25*IF(BS2="",0,1)+Weights!$C$26*IF(BY2="",0,1)+Weights!$C$27*IF(BX2="",0,1)+Weights!$C$28*IF(BT2="",0,1)+Weights!$C$29*IF(CA2="",0,1)+Weights!$C$30+Weights!$C$31*IF(BU2="",0,1))=0,"",(Weights!$C$23*IF(BQ2="",0,BQ2)+Weights!$C$24*IF(BN2="",0,BN2)+Weights!$C$25*IF(BS2="",0,BS2)+Weights!$C$26*IF(BY2="",0,BY2)+Weights!$C$27*IF(BX2="",0,BX2)+Weights!$C$28*IF(BT2="",0,BT2)+Weights!$C$29*IF(CA2="",0,CA2)+Weights!$C$30*BV2+Weights!$C$31*IF(BU2="",0,BU2))/(Weights!$C$23*IF(BQ2="",0,1)+Weights!$C$24*IF(BN2="",0,1)+Weights!$C$25*IF(BS2="",0,1)+Weights!$C$26*IF(BY2="",0,1)+Weights!$C$27*IF(BX2="",0,1)+Weights!$C$28*IF(BT2="",0,1)+Weights!$C$29*IF(CA2="",0,1)+Weights!$C$30+Weights!$C$31*IF(BU2="",0,1)))</x:f>
      </x:c>
      <x:c r="CD2" s="10">
        <x:f>IF(AND(CB2="",CC2=""),"",IF(CB2="",CC2,IF(CC2="",CB2,AVERAGE(CB2,CC2))))</x:f>
      </x:c>
      <x:c r="CE2" s="7">
        <x:f>ROUND(100*((IF(BP2&lt;&gt;"",1,0)+IF(BQ2&lt;&gt;"",1,0)+IF(BR2&lt;&gt;"",1,0)+IF(BS2&lt;&gt;"",1,0)+IF(BU2&lt;&gt;"",1,0)+IF(BT2&lt;&gt;"",1,0)+IF(BN2&lt;&gt;"",1,0)+IF(AW2&lt;&gt;"",1,0))/8),0)</x:f>
      </x:c>
      <x:c r="CF2">
        <x:f>IF(V2="","",LOG10(V2+1))</x:f>
      </x:c>
      <x:c r="CG2">
        <x:f>IF(CF2="","",IF(MAX($CF$2:$CF$252)-MIN($CF$2:$CF$252)=0,"",(CF2-MIN($CF$2:$CF$252))/(MAX($CF$2:$CF$252)-MIN($CF$2:$CF$252))*100))</x:f>
      </x:c>
    </x:row>
    <x:row r="3">
      <x:c r="A3" t="inlineStr">
        <x:is>
          <x:t xml:space="preserve">AIA</x:t>
        </x:is>
      </x:c>
      <x:c r="B3" t="inlineStr">
        <x:is>
          <x:t xml:space="preserve">Anguilla</x:t>
        </x:is>
      </x:c>
      <x:c r="N3" s="8" t="n"/>
      <x:c r="O3" s="9" t="n"/>
      <x:c r="P3" s="8" t="n"/>
      <x:c r="R3" s="8" t="n"/>
      <x:c r="AB3" s="8" t="n"/>
      <x:c r="AR3">
        <x:f>IF(G3="","",LOG10(G3+1))</x:f>
      </x:c>
      <x:c r="AS3" s="10">
        <x:f>IF(AR3="","",IF(MAX($AR$2:$AR$252)-MIN($AR$2:$AR$252)=0,"",(AR3-MIN($AR$2:$AR$252))/(MAX($AR$2:$AR$252)-MIN($AR$2:$AR$252))*100))</x:f>
      </x:c>
      <x:c r="AT3">
        <x:f>IF(R3="","",LOG10(R3+1))</x:f>
      </x:c>
      <x:c r="AU3" s="10">
        <x:f>IF(AT3="","",IF(MAX($AT$2:$AT$252)-MIN($AT$2:$AT$252)=0,"",(AT3-MIN($AT$2:$AT$252))/(MAX($AT$2:$AT$252)-MIN($AT$2:$AT$252))*100))</x:f>
      </x:c>
      <x:c r="AV3">
        <x:f>IF(N3="","",LOG10(N3+1))</x:f>
      </x:c>
      <x:c r="AW3" s="10">
        <x:f>IF(AV3="","",IF(MAX($AV$2:$AV$252)-MIN($AV$2:$AV$252)=0,"",(AV3-MIN($AV$2:$AV$252))/(MAX($AV$2:$AV$252)-MIN($AV$2:$AV$252))*100))</x:f>
      </x:c>
      <x:c r="AX3">
        <x:f>IF(I3="","",LOG10(I3+1))</x:f>
      </x:c>
      <x:c r="AY3" s="10">
        <x:f>IF(AX3="","",IF(MAX($AX$2:$AX$252)-MIN($AX$2:$AX$252)=0,"",(AX3-MIN($AX$2:$AX$252))/(MAX($AX$2:$AX$252)-MIN($AX$2:$AX$252))*100))</x:f>
      </x:c>
      <x:c r="AZ3">
        <x:f>IF(J3="","",LOG10(J3+1))</x:f>
      </x:c>
      <x:c r="BA3" s="10">
        <x:f>IF(AZ3="","",IF(MAX($AZ$2:$AZ$252)-MIN($AZ$2:$AZ$252)=0,"",(AZ3-MIN($AZ$2:$AZ$252))/(MAX($AZ$2:$AZ$252)-MIN($AZ$2:$AZ$252))*100))</x:f>
      </x:c>
      <x:c r="BB3">
        <x:f>IF(K3="","",LOG10(K3+1))</x:f>
      </x:c>
      <x:c r="BC3" s="10">
        <x:f>IF(BB3="","",IF(MAX($BB$2:$BB$252)-MIN($BB$2:$BB$252)=0,"",(BB3-MIN($BB$2:$BB$252))/(MAX($BB$2:$BB$252)-MIN($BB$2:$BB$252))*100))</x:f>
      </x:c>
      <x:c r="BD3">
        <x:f>IF(L3="","",LOG10(L3+1))</x:f>
      </x:c>
      <x:c r="BE3" s="10">
        <x:f>IF(BD3="","",IF(MAX($BD$2:$BD$252)-MIN($BD$2:$BD$252)=0,"",(BD3-MIN($BD$2:$BD$252))/(MAX($BD$2:$BD$252)-MIN($BD$2:$BD$252))*100))</x:f>
      </x:c>
      <x:c r="BF3" s="10">
        <x:f>IF(P3="","",IF(MAX($P$2:$P$252)-MIN($P$2:$P$252)=0,"",(P3-MIN($P$2:$P$252))/(MAX($P$2:$P$252)-MIN($P$2:$P$252))*100))</x:f>
      </x:c>
      <x:c r="BG3">
        <x:f>IF(AF3="","",LOG10(AF3+1))</x:f>
      </x:c>
      <x:c r="BH3" s="10">
        <x:f>IF(BG3="","",IF(MAX($BG$2:$BG$252)-MIN($BG$2:$BG$252)=0,"",(BG3-MIN($BG$2:$BG$252))/(MAX($BG$2:$BG$252)-MIN($BG$2:$BG$252))*100))</x:f>
      </x:c>
      <x:c r="BI3">
        <x:f>IF(AC3="","",LOG10(AC3+1))</x:f>
      </x:c>
      <x:c r="BJ3" s="10">
        <x:f>IF(BI3="","",IF(MAX($BI$2:$BI$252)-MIN($BI$2:$BI$252)=0,"",(BI3-MIN($BI$2:$BI$252))/(MAX($BI$2:$BI$252)-MIN($BI$2:$BI$252))*100))</x:f>
      </x:c>
      <x:c r="BK3">
        <x:f>IF(AD3="","",(AD3*2)+(AE3*1))</x:f>
      </x:c>
      <x:c r="BL3" s="10">
        <x:f>IF(BK3="","",IF(MAX($BK$2:$BK$252)-MIN($BK$2:$BK$252)=0,"",(BK3-MIN($BK$2:$BK$252))/(MAX($BK$2:$BK$252)-MIN($BK$2:$BK$252))*100))</x:f>
      </x:c>
      <x:c r="BM3" s="10">
        <x:f>IF(AB3="","",IF(MAX($AB$2:$AB$252)-MIN($AB$2:$AB$252)=0,"",(AB3-MIN($AB$2:$AB$252))/(MAX($AB$2:$AB$252)-MIN($AB$2:$AB$252))*100))</x:f>
      </x:c>
      <x:c r="BN3" s="10">
        <x:f>IF(X3="","",X3)</x:f>
      </x:c>
      <x:c r="BO3" s="10">
        <x:f>IF(X3="","",100-X3)</x:f>
      </x:c>
      <x:c r="BP3" s="10">
        <x:f>IF((Weights!$C$2*IF(BH3="",0,1)+Weights!$C$3*IF(BJ3="",0,1)+Weights!$C$4*IF(BL3="",0,1))=0,"",(Weights!$C$2*IF(BH3="",0,BH3)+Weights!$C$3*IF(BJ3="",0,BJ3)+Weights!$C$4*IF(BL3="",0,BL3))/(Weights!$C$2*IF(BH3="",0,1)+Weights!$C$3*IF(BJ3="",0,1)+Weights!$C$4*IF(BL3="",0,1)))</x:f>
      </x:c>
      <x:c r="BQ3" s="10">
        <x:f>IF((Weights!$C$5*IF(BA3="",0,1)+Weights!$C$6*IF(AW3="",0,1)+Weights!$C$7*IF(AU3="",0,1))=0,"",(Weights!$C$5*IF(BA3="",0,BA3)+Weights!$C$6*IF(AW3="",0,AW3)+Weights!$C$7*IF(AU3="",0,AU3))/(Weights!$C$5*IF(BA3="",0,1)+Weights!$C$6*IF(AW3="",0,1)+Weights!$C$7*IF(AU3="",0,1)))</x:f>
      </x:c>
      <x:c r="BR3" s="10">
        <x:f>IF((Weights!$C$8*IF(AW3="",0,1)+Weights!$C$9*IF(BC3="",0,1)+Weights!$C$10*IF(BF3="",0,1))=0,"",(Weights!$C$8*IF(AW3="",0,AW3)+Weights!$C$9*IF(BC3="",0,BC3)+Weights!$C$10*IF(BF3="",0,BF3))/(Weights!$C$8*IF(AW3="",0,1)+Weights!$C$9*IF(BC3="",0,1)+Weights!$C$10*IF(BF3="",0,1)))</x:f>
      </x:c>
      <x:c r="BS3" s="10">
        <x:f>IF(Y3="","",Y3)</x:f>
      </x:c>
      <x:c r="BT3" s="10">
        <x:f>IF(AS3="","",AS3)</x:f>
      </x:c>
      <x:c r="BU3" s="10">
        <x:f>IF(AJ3&lt;&gt;"",(0.6*AJ3+0.4*AU3),IF((Weights!$C$11*IF(AU3="",0,1)+Weights!$C$12*IF(BM3="",0,1))=0,"",(Weights!$C$11*IF(AU3="",0,AU3)+Weights!$C$12*IF(BM3="",0,BM3))/(Weights!$C$11*IF(AU3="",0,1)+Weights!$C$12*IF(BM3="",0,1))))</x:f>
      </x:c>
      <x:c r="BV3" s="10">
        <x:f>IF(CG3="",0,CG3)</x:f>
      </x:c>
      <x:c r="BW3" s="10">
        <x:f>IF(AP3="","",AP3)</x:f>
      </x:c>
      <x:c r="BX3" s="10">
        <x:f>IF(AO3="","",AO3)</x:f>
      </x:c>
      <x:c r="BY3" s="10">
        <x:f>IF(AL3="","",AL3)</x:f>
      </x:c>
      <x:c r="BZ3" s="10">
        <x:f>IF(AM3="","",AM3)</x:f>
      </x:c>
      <x:c r="CA3" s="10">
        <x:f>IF(AK3&lt;&gt;"",AK3,AW3)</x:f>
      </x:c>
      <x:c r="CB3" s="10">
        <x:f>IF((Weights!$C$13*IF(BP3="",0,1)+Weights!$C$14*IF(BR3="",0,1)+Weights!$C$15*IF(BQ3="",0,1)+Weights!$C$16*IF(BS3="",0,1)+Weights!$C$17*IF(BU3="",0,1)+Weights!$C$18*IF(BT3="",0,1)+Weights!$C$19*IF(BW3="",0,1)+Weights!$C$20*IF(BZ3="",0,1)+Weights!$C$21*IF(BO3="",0,1)+Weights!$C$22)=0,"",(Weights!$C$13*IF(BP3="",0,BP3)+Weights!$C$14*IF(BR3="",0,BR3)+Weights!$C$15*IF(BQ3="",0,BQ3)+Weights!$C$16*IF(BS3="",0,BS3)+Weights!$C$17*IF(BU3="",0,BU3)+Weights!$C$18*IF(BT3="",0,BT3)+Weights!$C$19*IF(BW3="",0,BW3)+Weights!$C$20*IF(BZ3="",0,BZ3)+Weights!$C$21*IF(BO3="",0,BO3)+Weights!$C$22*BV3)/(Weights!$C$13*IF(BP3="",0,1)+Weights!$C$14*IF(BR3="",0,1)+Weights!$C$15*IF(BQ3="",0,1)+Weights!$C$16*IF(BS3="",0,1)+Weights!$C$17*IF(BU3="",0,1)+Weights!$C$18*IF(BT3="",0,1)+Weights!$C$19*IF(BW3="",0,1)+Weights!$C$20*IF(BZ3="",0,1)+Weights!$C$21*IF(BO3="",0,1)+Weights!$C$22))</x:f>
      </x:c>
      <x:c r="CC3" s="10">
        <x:f>IF((Weights!$C$23*IF(BQ3="",0,1)+Weights!$C$24*IF(BN3="",0,1)+Weights!$C$25*IF(BS3="",0,1)+Weights!$C$26*IF(BY3="",0,1)+Weights!$C$27*IF(BX3="",0,1)+Weights!$C$28*IF(BT3="",0,1)+Weights!$C$29*IF(CA3="",0,1)+Weights!$C$30+Weights!$C$31*IF(BU3="",0,1))=0,"",(Weights!$C$23*IF(BQ3="",0,BQ3)+Weights!$C$24*IF(BN3="",0,BN3)+Weights!$C$25*IF(BS3="",0,BS3)+Weights!$C$26*IF(BY3="",0,BY3)+Weights!$C$27*IF(BX3="",0,BX3)+Weights!$C$28*IF(BT3="",0,BT3)+Weights!$C$29*IF(CA3="",0,CA3)+Weights!$C$30*BV3+Weights!$C$31*IF(BU3="",0,BU3))/(Weights!$C$23*IF(BQ3="",0,1)+Weights!$C$24*IF(BN3="",0,1)+Weights!$C$25*IF(BS3="",0,1)+Weights!$C$26*IF(BY3="",0,1)+Weights!$C$27*IF(BX3="",0,1)+Weights!$C$28*IF(BT3="",0,1)+Weights!$C$29*IF(CA3="",0,1)+Weights!$C$30+Weights!$C$31*IF(BU3="",0,1)))</x:f>
      </x:c>
      <x:c r="CD3" s="10">
        <x:f>IF(AND(CB3="",CC3=""),"",IF(CB3="",CC3,IF(CC3="",CB3,AVERAGE(CB3,CC3))))</x:f>
      </x:c>
      <x:c r="CE3" s="7">
        <x:f>ROUND(100*((IF(BP3&lt;&gt;"",1,0)+IF(BQ3&lt;&gt;"",1,0)+IF(BR3&lt;&gt;"",1,0)+IF(BS3&lt;&gt;"",1,0)+IF(BU3&lt;&gt;"",1,0)+IF(BT3&lt;&gt;"",1,0)+IF(BN3&lt;&gt;"",1,0)+IF(AW3&lt;&gt;"",1,0))/8),0)</x:f>
      </x:c>
      <x:c r="CF3">
        <x:f>IF(V3="","",LOG10(V3+1))</x:f>
      </x:c>
      <x:c r="CG3">
        <x:f>IF(CF3="","",IF(MAX($CF$2:$CF$252)-MIN($CF$2:$CF$252)=0,"",(CF3-MIN($CF$2:$CF$252))/(MAX($CF$2:$CF$252)-MIN($CF$2:$CF$252))*100))</x:f>
      </x:c>
    </x:row>
    <x:row r="4">
      <x:c r="A4" t="inlineStr">
        <x:is>
          <x:t xml:space="preserve">ATA</x:t>
        </x:is>
      </x:c>
      <x:c r="B4" t="inlineStr">
        <x:is>
          <x:t xml:space="preserve">Antarctica</x:t>
        </x:is>
      </x:c>
      <x:c r="E4" t="inlineStr">
        <x:is>
          <x:t xml:space="preserve">Antarctica</x:t>
        </x:is>
      </x:c>
      <x:c r="N4" s="8" t="n"/>
      <x:c r="O4" s="9" t="n"/>
      <x:c r="P4" s="8" t="n"/>
      <x:c r="R4" s="8" t="n"/>
      <x:c r="X4" t="n">
        <x:v>56.22087838953465</x:v>
      </x:c>
      <x:c r="Y4" t="n">
        <x:v>71.34249770794442</x:v>
      </x:c>
      <x:c r="Z4" t="n">
        <x:v>12335956.07635515</x:v>
      </x:c>
      <x:c r="AA4" t="n">
        <x:v>0.0003283085619737904</x:v>
      </x:c>
      <x:c r="AB4" s="8" t="n">
        <x:v>200000</x:v>
      </x:c>
      <x:c r="AR4">
        <x:f>IF(G4="","",LOG10(G4+1))</x:f>
      </x:c>
      <x:c r="AS4" s="10">
        <x:f>IF(AR4="","",IF(MAX($AR$2:$AR$252)-MIN($AR$2:$AR$252)=0,"",(AR4-MIN($AR$2:$AR$252))/(MAX($AR$2:$AR$252)-MIN($AR$2:$AR$252))*100))</x:f>
      </x:c>
      <x:c r="AT4">
        <x:f>IF(R4="","",LOG10(R4+1))</x:f>
      </x:c>
      <x:c r="AU4" s="10">
        <x:f>IF(AT4="","",IF(MAX($AT$2:$AT$252)-MIN($AT$2:$AT$252)=0,"",(AT4-MIN($AT$2:$AT$252))/(MAX($AT$2:$AT$252)-MIN($AT$2:$AT$252))*100))</x:f>
      </x:c>
      <x:c r="AV4">
        <x:f>IF(N4="","",LOG10(N4+1))</x:f>
      </x:c>
      <x:c r="AW4" s="10">
        <x:f>IF(AV4="","",IF(MAX($AV$2:$AV$252)-MIN($AV$2:$AV$252)=0,"",(AV4-MIN($AV$2:$AV$252))/(MAX($AV$2:$AV$252)-MIN($AV$2:$AV$252))*100))</x:f>
      </x:c>
      <x:c r="AX4">
        <x:f>IF(I4="","",LOG10(I4+1))</x:f>
      </x:c>
      <x:c r="AY4" s="10">
        <x:f>IF(AX4="","",IF(MAX($AX$2:$AX$252)-MIN($AX$2:$AX$252)=0,"",(AX4-MIN($AX$2:$AX$252))/(MAX($AX$2:$AX$252)-MIN($AX$2:$AX$252))*100))</x:f>
      </x:c>
      <x:c r="AZ4">
        <x:f>IF(J4="","",LOG10(J4+1))</x:f>
      </x:c>
      <x:c r="BA4" s="10">
        <x:f>IF(AZ4="","",IF(MAX($AZ$2:$AZ$252)-MIN($AZ$2:$AZ$252)=0,"",(AZ4-MIN($AZ$2:$AZ$252))/(MAX($AZ$2:$AZ$252)-MIN($AZ$2:$AZ$252))*100))</x:f>
      </x:c>
      <x:c r="BB4">
        <x:f>IF(K4="","",LOG10(K4+1))</x:f>
      </x:c>
      <x:c r="BC4" s="10">
        <x:f>IF(BB4="","",IF(MAX($BB$2:$BB$252)-MIN($BB$2:$BB$252)=0,"",(BB4-MIN($BB$2:$BB$252))/(MAX($BB$2:$BB$252)-MIN($BB$2:$BB$252))*100))</x:f>
      </x:c>
      <x:c r="BD4">
        <x:f>IF(L4="","",LOG10(L4+1))</x:f>
      </x:c>
      <x:c r="BE4" s="10">
        <x:f>IF(BD4="","",IF(MAX($BD$2:$BD$252)-MIN($BD$2:$BD$252)=0,"",(BD4-MIN($BD$2:$BD$252))/(MAX($BD$2:$BD$252)-MIN($BD$2:$BD$252))*100))</x:f>
      </x:c>
      <x:c r="BF4" s="10">
        <x:f>IF(P4="","",IF(MAX($P$2:$P$252)-MIN($P$2:$P$252)=0,"",(P4-MIN($P$2:$P$252))/(MAX($P$2:$P$252)-MIN($P$2:$P$252))*100))</x:f>
      </x:c>
      <x:c r="BG4">
        <x:f>IF(AF4="","",LOG10(AF4+1))</x:f>
      </x:c>
      <x:c r="BH4" s="10">
        <x:f>IF(BG4="","",IF(MAX($BG$2:$BG$252)-MIN($BG$2:$BG$252)=0,"",(BG4-MIN($BG$2:$BG$252))/(MAX($BG$2:$BG$252)-MIN($BG$2:$BG$252))*100))</x:f>
      </x:c>
      <x:c r="BI4">
        <x:f>IF(AC4="","",LOG10(AC4+1))</x:f>
      </x:c>
      <x:c r="BJ4" s="10">
        <x:f>IF(BI4="","",IF(MAX($BI$2:$BI$252)-MIN($BI$2:$BI$252)=0,"",(BI4-MIN($BI$2:$BI$252))/(MAX($BI$2:$BI$252)-MIN($BI$2:$BI$252))*100))</x:f>
      </x:c>
      <x:c r="BK4">
        <x:f>IF(AD4="","",(AD4*2)+(AE4*1))</x:f>
      </x:c>
      <x:c r="BL4" s="10">
        <x:f>IF(BK4="","",IF(MAX($BK$2:$BK$252)-MIN($BK$2:$BK$252)=0,"",(BK4-MIN($BK$2:$BK$252))/(MAX($BK$2:$BK$252)-MIN($BK$2:$BK$252))*100))</x:f>
      </x:c>
      <x:c r="BM4" s="10">
        <x:f>IF(AB4="","",IF(MAX($AB$2:$AB$252)-MIN($AB$2:$AB$252)=0,"",(AB4-MIN($AB$2:$AB$252))/(MAX($AB$2:$AB$252)-MIN($AB$2:$AB$252))*100))</x:f>
      </x:c>
      <x:c r="BN4" s="10">
        <x:f>IF(X4="","",X4)</x:f>
      </x:c>
      <x:c r="BO4" s="10">
        <x:f>IF(X4="","",100-X4)</x:f>
      </x:c>
      <x:c r="BP4" s="10">
        <x:f>IF((Weights!$C$2*IF(BH4="",0,1)+Weights!$C$3*IF(BJ4="",0,1)+Weights!$C$4*IF(BL4="",0,1))=0,"",(Weights!$C$2*IF(BH4="",0,BH4)+Weights!$C$3*IF(BJ4="",0,BJ4)+Weights!$C$4*IF(BL4="",0,BL4))/(Weights!$C$2*IF(BH4="",0,1)+Weights!$C$3*IF(BJ4="",0,1)+Weights!$C$4*IF(BL4="",0,1)))</x:f>
      </x:c>
      <x:c r="BQ4" s="10">
        <x:f>IF((Weights!$C$5*IF(BA4="",0,1)+Weights!$C$6*IF(AW4="",0,1)+Weights!$C$7*IF(AU4="",0,1))=0,"",(Weights!$C$5*IF(BA4="",0,BA4)+Weights!$C$6*IF(AW4="",0,AW4)+Weights!$C$7*IF(AU4="",0,AU4))/(Weights!$C$5*IF(BA4="",0,1)+Weights!$C$6*IF(AW4="",0,1)+Weights!$C$7*IF(AU4="",0,1)))</x:f>
      </x:c>
      <x:c r="BR4" s="10">
        <x:f>IF((Weights!$C$8*IF(AW4="",0,1)+Weights!$C$9*IF(BC4="",0,1)+Weights!$C$10*IF(BF4="",0,1))=0,"",(Weights!$C$8*IF(AW4="",0,AW4)+Weights!$C$9*IF(BC4="",0,BC4)+Weights!$C$10*IF(BF4="",0,BF4))/(Weights!$C$8*IF(AW4="",0,1)+Weights!$C$9*IF(BC4="",0,1)+Weights!$C$10*IF(BF4="",0,1)))</x:f>
      </x:c>
      <x:c r="BS4" s="10">
        <x:f>IF(Y4="","",Y4)</x:f>
      </x:c>
      <x:c r="BT4" s="10">
        <x:f>IF(AS4="","",AS4)</x:f>
      </x:c>
      <x:c r="BU4" s="10">
        <x:f>IF(AJ4&lt;&gt;"",(0.6*AJ4+0.4*AU4),IF((Weights!$C$11*IF(AU4="",0,1)+Weights!$C$12*IF(BM4="",0,1))=0,"",(Weights!$C$11*IF(AU4="",0,AU4)+Weights!$C$12*IF(BM4="",0,BM4))/(Weights!$C$11*IF(AU4="",0,1)+Weights!$C$12*IF(BM4="",0,1))))</x:f>
      </x:c>
      <x:c r="BV4" s="10">
        <x:f>IF(CG4="",0,CG4)</x:f>
      </x:c>
      <x:c r="BW4" s="10">
        <x:f>IF(AP4="","",AP4)</x:f>
      </x:c>
      <x:c r="BX4" s="10">
        <x:f>IF(AO4="","",AO4)</x:f>
      </x:c>
      <x:c r="BY4" s="10">
        <x:f>IF(AL4="","",AL4)</x:f>
      </x:c>
      <x:c r="BZ4" s="10">
        <x:f>IF(AM4="","",AM4)</x:f>
      </x:c>
      <x:c r="CA4" s="10">
        <x:f>IF(AK4&lt;&gt;"",AK4,AW4)</x:f>
      </x:c>
      <x:c r="CB4" s="10">
        <x:f>IF((Weights!$C$13*IF(BP4="",0,1)+Weights!$C$14*IF(BR4="",0,1)+Weights!$C$15*IF(BQ4="",0,1)+Weights!$C$16*IF(BS4="",0,1)+Weights!$C$17*IF(BU4="",0,1)+Weights!$C$18*IF(BT4="",0,1)+Weights!$C$19*IF(BW4="",0,1)+Weights!$C$20*IF(BZ4="",0,1)+Weights!$C$21*IF(BO4="",0,1)+Weights!$C$22)=0,"",(Weights!$C$13*IF(BP4="",0,BP4)+Weights!$C$14*IF(BR4="",0,BR4)+Weights!$C$15*IF(BQ4="",0,BQ4)+Weights!$C$16*IF(BS4="",0,BS4)+Weights!$C$17*IF(BU4="",0,BU4)+Weights!$C$18*IF(BT4="",0,BT4)+Weights!$C$19*IF(BW4="",0,BW4)+Weights!$C$20*IF(BZ4="",0,BZ4)+Weights!$C$21*IF(BO4="",0,BO4)+Weights!$C$22*BV4)/(Weights!$C$13*IF(BP4="",0,1)+Weights!$C$14*IF(BR4="",0,1)+Weights!$C$15*IF(BQ4="",0,1)+Weights!$C$16*IF(BS4="",0,1)+Weights!$C$17*IF(BU4="",0,1)+Weights!$C$18*IF(BT4="",0,1)+Weights!$C$19*IF(BW4="",0,1)+Weights!$C$20*IF(BZ4="",0,1)+Weights!$C$21*IF(BO4="",0,1)+Weights!$C$22))</x:f>
      </x:c>
      <x:c r="CC4" s="10">
        <x:f>IF((Weights!$C$23*IF(BQ4="",0,1)+Weights!$C$24*IF(BN4="",0,1)+Weights!$C$25*IF(BS4="",0,1)+Weights!$C$26*IF(BY4="",0,1)+Weights!$C$27*IF(BX4="",0,1)+Weights!$C$28*IF(BT4="",0,1)+Weights!$C$29*IF(CA4="",0,1)+Weights!$C$30+Weights!$C$31*IF(BU4="",0,1))=0,"",(Weights!$C$23*IF(BQ4="",0,BQ4)+Weights!$C$24*IF(BN4="",0,BN4)+Weights!$C$25*IF(BS4="",0,BS4)+Weights!$C$26*IF(BY4="",0,BY4)+Weights!$C$27*IF(BX4="",0,BX4)+Weights!$C$28*IF(BT4="",0,BT4)+Weights!$C$29*IF(CA4="",0,CA4)+Weights!$C$30*BV4+Weights!$C$31*IF(BU4="",0,BU4))/(Weights!$C$23*IF(BQ4="",0,1)+Weights!$C$24*IF(BN4="",0,1)+Weights!$C$25*IF(BS4="",0,1)+Weights!$C$26*IF(BY4="",0,1)+Weights!$C$27*IF(BX4="",0,1)+Weights!$C$28*IF(BT4="",0,1)+Weights!$C$29*IF(CA4="",0,1)+Weights!$C$30+Weights!$C$31*IF(BU4="",0,1)))</x:f>
      </x:c>
      <x:c r="CD4" s="10">
        <x:f>IF(AND(CB4="",CC4=""),"",IF(CB4="",CC4,IF(CC4="",CB4,AVERAGE(CB4,CC4))))</x:f>
      </x:c>
      <x:c r="CE4" s="7">
        <x:f>ROUND(100*((IF(BP4&lt;&gt;"",1,0)+IF(BQ4&lt;&gt;"",1,0)+IF(BR4&lt;&gt;"",1,0)+IF(BS4&lt;&gt;"",1,0)+IF(BU4&lt;&gt;"",1,0)+IF(BT4&lt;&gt;"",1,0)+IF(BN4&lt;&gt;"",1,0)+IF(AW4&lt;&gt;"",1,0))/8),0)</x:f>
      </x:c>
      <x:c r="CF4">
        <x:f>IF(V4="","",LOG10(V4+1))</x:f>
      </x:c>
      <x:c r="CG4">
        <x:f>IF(CF4="","",IF(MAX($CF$2:$CF$252)-MIN($CF$2:$CF$252)=0,"",(CF4-MIN($CF$2:$CF$252))/(MAX($CF$2:$CF$252)-MIN($CF$2:$CF$252))*100))</x:f>
      </x:c>
    </x:row>
    <x:row r="5">
      <x:c r="A5" t="inlineStr">
        <x:is>
          <x:t xml:space="preserve">ATG</x:t>
        </x:is>
      </x:c>
      <x:c r="B5" t="inlineStr">
        <x:is>
          <x:t xml:space="preserve">Antigua and Barbuda</x:t>
        </x:is>
      </x:c>
      <x:c r="C5" t="inlineStr">
        <x:is>
          <x:t xml:space="preserve">Latin America &amp; Caribbean</x:t>
        </x:is>
      </x:c>
      <x:c r="D5" t="inlineStr">
        <x:is>
          <x:t xml:space="preserve">High income</x:t>
        </x:is>
      </x:c>
      <x:c r="F5" t="n">
        <x:v>2024</x:v>
      </x:c>
      <x:c r="G5" t="n">
        <x:v>93772</x:v>
      </x:c>
      <x:c r="H5" t="n">
        <x:v>2020</x:v>
      </x:c>
      <x:c r="I5" t="n">
        <x:v>0</x:v>
      </x:c>
      <x:c r="J5" t="n">
        <x:v>0</x:v>
      </x:c>
      <x:c r="K5" t="n">
        <x:v>0</x:v>
      </x:c>
      <x:c r="L5" t="n">
        <x:v>0</x:v>
      </x:c>
      <x:c r="N5" s="8" t="n"/>
      <x:c r="O5" s="9" t="n"/>
      <x:c r="P5" s="8" t="n"/>
      <x:c r="Q5" t="n">
        <x:v>2024</x:v>
      </x:c>
      <x:c r="R5" s="8" t="n">
        <x:v>2207622874.07407</x:v>
      </x:c>
      <x:c r="S5" t="n">
        <x:v>0</x:v>
      </x:c>
      <x:c r="T5" t="n">
        <x:v>0</x:v>
      </x:c>
      <x:c r="U5" t="inlineStr">
        <x:is>
          <x:t xml:space="preserve">No</x:t>
        </x:is>
      </x:c>
      <x:c r="W5" t="inlineStr">
        <x:is>
          <x:t xml:space="preserve">No</x:t>
        </x:is>
      </x:c>
      <x:c r="AB5" s="8" t="n"/>
      <x:c r="AR5">
        <x:f>IF(G5="","",LOG10(G5+1))</x:f>
        <x:v>4.9720778102450325</x:v>
      </x:c>
      <x:c r="AS5" s="10">
        <x:f>IF(AR5="","",IF(MAX($AR$2:$AR$252)-MIN($AR$2:$AR$252)=0,"",(AR5-MIN($AR$2:$AR$252))/(MAX($AR$2:$AR$252)-MIN($AR$2:$AR$252))*100))</x:f>
        <x:v>59.426575515967414</x:v>
      </x:c>
      <x:c r="AT5">
        <x:f>IF(R5="","",LOG10(R5+1))</x:f>
        <x:v>9.343924885514157</x:v>
      </x:c>
      <x:c r="AU5" s="10">
        <x:f>IF(AT5="","",IF(MAX($AT$2:$AT$252)-MIN($AT$2:$AT$252)=0,"",(AT5-MIN($AT$2:$AT$252))/(MAX($AT$2:$AT$252)-MIN($AT$2:$AT$252))*100))</x:f>
        <x:v>73.74397076431755</x:v>
      </x:c>
      <x:c r="AV5">
        <x:f>IF(N5="","",LOG10(N5+1))</x:f>
      </x:c>
      <x:c r="AW5" s="10">
        <x:f>IF(AV5="","",IF(MAX($AV$2:$AV$252)-MIN($AV$2:$AV$252)=0,"",(AV5-MIN($AV$2:$AV$252))/(MAX($AV$2:$AV$252)-MIN($AV$2:$AV$252))*100))</x:f>
      </x:c>
      <x:c r="AX5">
        <x:f>IF(I5="","",LOG10(I5+1))</x:f>
        <x:v>0</x:v>
      </x:c>
      <x:c r="AY5" s="10">
        <x:f>IF(AX5="","",IF(MAX($AX$2:$AX$252)-MIN($AX$2:$AX$252)=0,"",(AX5-MIN($AX$2:$AX$252))/(MAX($AX$2:$AX$252)-MIN($AX$2:$AX$252))*100))</x:f>
      </x:c>
      <x:c r="AZ5">
        <x:f>IF(J5="","",LOG10(J5+1))</x:f>
      </x:c>
      <x:c r="BA5" s="10">
        <x:f>IF(AZ5="","",IF(MAX($AZ$2:$AZ$252)-MIN($AZ$2:$AZ$252)=0,"",(AZ5-MIN($AZ$2:$AZ$252))/(MAX($AZ$2:$AZ$252)-MIN($AZ$2:$AZ$252))*100))</x:f>
      </x:c>
      <x:c r="BB5">
        <x:f>IF(K5="","",LOG10(K5+1))</x:f>
      </x:c>
      <x:c r="BC5" s="10">
        <x:f>IF(BB5="","",IF(MAX($BB$2:$BB$252)-MIN($BB$2:$BB$252)=0,"",(BB5-MIN($BB$2:$BB$252))/(MAX($BB$2:$BB$252)-MIN($BB$2:$BB$252))*100))</x:f>
      </x:c>
      <x:c r="BD5">
        <x:f>IF(L5="","",LOG10(L5+1))</x:f>
      </x:c>
      <x:c r="BE5" s="10">
        <x:f>IF(BD5="","",IF(MAX($BD$2:$BD$252)-MIN($BD$2:$BD$252)=0,"",(BD5-MIN($BD$2:$BD$252))/(MAX($BD$2:$BD$252)-MIN($BD$2:$BD$252))*100))</x:f>
      </x:c>
      <x:c r="BF5" s="10">
        <x:f>IF(P5="","",IF(MAX($P$2:$P$252)-MIN($P$2:$P$252)=0,"",(P5-MIN($P$2:$P$252))/(MAX($P$2:$P$252)-MIN($P$2:$P$252))*100))</x:f>
      </x:c>
      <x:c r="BG5">
        <x:f>IF(AF5="","",LOG10(AF5+1))</x:f>
      </x:c>
      <x:c r="BH5" s="10">
        <x:f>IF(BG5="","",IF(MAX($BG$2:$BG$252)-MIN($BG$2:$BG$252)=0,"",(BG5-MIN($BG$2:$BG$252))/(MAX($BG$2:$BG$252)-MIN($BG$2:$BG$252))*100))</x:f>
      </x:c>
      <x:c r="BI5">
        <x:f>IF(AC5="","",LOG10(AC5+1))</x:f>
      </x:c>
      <x:c r="BJ5" s="10">
        <x:f>IF(BI5="","",IF(MAX($BI$2:$BI$252)-MIN($BI$2:$BI$252)=0,"",(BI5-MIN($BI$2:$BI$252))/(MAX($BI$2:$BI$252)-MIN($BI$2:$BI$252))*100))</x:f>
      </x:c>
      <x:c r="BK5">
        <x:f>IF(AD5="","",(AD5*2)+(AE5*1))</x:f>
      </x:c>
      <x:c r="BL5" s="10">
        <x:f>IF(BK5="","",IF(MAX($BK$2:$BK$252)-MIN($BK$2:$BK$252)=0,"",(BK5-MIN($BK$2:$BK$252))/(MAX($BK$2:$BK$252)-MIN($BK$2:$BK$252))*100))</x:f>
      </x:c>
      <x:c r="BM5" s="10">
        <x:f>IF(AB5="","",IF(MAX($AB$2:$AB$252)-MIN($AB$2:$AB$252)=0,"",(AB5-MIN($AB$2:$AB$252))/(MAX($AB$2:$AB$252)-MIN($AB$2:$AB$252))*100))</x:f>
      </x:c>
      <x:c r="BN5" s="10">
        <x:f>IF(X5="","",X5)</x:f>
      </x:c>
      <x:c r="BO5" s="10">
        <x:f>IF(X5="","",100-X5)</x:f>
      </x:c>
      <x:c r="BP5" s="10">
        <x:f>IF((Weights!$C$2*IF(BH5="",0,1)+Weights!$C$3*IF(BJ5="",0,1)+Weights!$C$4*IF(BL5="",0,1))=0,"",(Weights!$C$2*IF(BH5="",0,BH5)+Weights!$C$3*IF(BJ5="",0,BJ5)+Weights!$C$4*IF(BL5="",0,BL5))/(Weights!$C$2*IF(BH5="",0,1)+Weights!$C$3*IF(BJ5="",0,1)+Weights!$C$4*IF(BL5="",0,1)))</x:f>
      </x:c>
      <x:c r="BQ5" s="10">
        <x:f>IF((Weights!$C$5*IF(BA5="",0,1)+Weights!$C$6*IF(AW5="",0,1)+Weights!$C$7*IF(AU5="",0,1))=0,"",(Weights!$C$5*IF(BA5="",0,BA5)+Weights!$C$6*IF(AW5="",0,AW5)+Weights!$C$7*IF(AU5="",0,AU5))/(Weights!$C$5*IF(BA5="",0,1)+Weights!$C$6*IF(AW5="",0,1)+Weights!$C$7*IF(AU5="",0,1)))</x:f>
      </x:c>
      <x:c r="BR5" s="10">
        <x:f>IF((Weights!$C$8*IF(AW5="",0,1)+Weights!$C$9*IF(BC5="",0,1)+Weights!$C$10*IF(BF5="",0,1))=0,"",(Weights!$C$8*IF(AW5="",0,AW5)+Weights!$C$9*IF(BC5="",0,BC5)+Weights!$C$10*IF(BF5="",0,BF5))/(Weights!$C$8*IF(AW5="",0,1)+Weights!$C$9*IF(BC5="",0,1)+Weights!$C$10*IF(BF5="",0,1)))</x:f>
      </x:c>
      <x:c r="BS5" s="10">
        <x:f>IF(Y5="","",Y5)</x:f>
      </x:c>
      <x:c r="BT5" s="10">
        <x:f>IF(AS5="","",AS5)</x:f>
      </x:c>
      <x:c r="BU5" s="10">
        <x:f>IF(AJ5&lt;&gt;"",(0.6*AJ5+0.4*AU5),IF((Weights!$C$11*IF(AU5="",0,1)+Weights!$C$12*IF(BM5="",0,1))=0,"",(Weights!$C$11*IF(AU5="",0,AU5)+Weights!$C$12*IF(BM5="",0,BM5))/(Weights!$C$11*IF(AU5="",0,1)+Weights!$C$12*IF(BM5="",0,1))))</x:f>
      </x:c>
      <x:c r="BV5" s="10">
        <x:f>IF(CG5="",0,CG5)</x:f>
      </x:c>
      <x:c r="BW5" s="10">
        <x:f>IF(AP5="","",AP5)</x:f>
      </x:c>
      <x:c r="BX5" s="10">
        <x:f>IF(AO5="","",AO5)</x:f>
      </x:c>
      <x:c r="BY5" s="10">
        <x:f>IF(AL5="","",AL5)</x:f>
      </x:c>
      <x:c r="BZ5" s="10">
        <x:f>IF(AM5="","",AM5)</x:f>
      </x:c>
      <x:c r="CA5" s="10">
        <x:f>IF(AK5&lt;&gt;"",AK5,AW5)</x:f>
      </x:c>
      <x:c r="CB5" s="10">
        <x:f>IF((Weights!$C$13*IF(BP5="",0,1)+Weights!$C$14*IF(BR5="",0,1)+Weights!$C$15*IF(BQ5="",0,1)+Weights!$C$16*IF(BS5="",0,1)+Weights!$C$17*IF(BU5="",0,1)+Weights!$C$18*IF(BT5="",0,1)+Weights!$C$19*IF(BW5="",0,1)+Weights!$C$20*IF(BZ5="",0,1)+Weights!$C$21*IF(BO5="",0,1)+Weights!$C$22)=0,"",(Weights!$C$13*IF(BP5="",0,BP5)+Weights!$C$14*IF(BR5="",0,BR5)+Weights!$C$15*IF(BQ5="",0,BQ5)+Weights!$C$16*IF(BS5="",0,BS5)+Weights!$C$17*IF(BU5="",0,BU5)+Weights!$C$18*IF(BT5="",0,BT5)+Weights!$C$19*IF(BW5="",0,BW5)+Weights!$C$20*IF(BZ5="",0,BZ5)+Weights!$C$21*IF(BO5="",0,BO5)+Weights!$C$22*BV5)/(Weights!$C$13*IF(BP5="",0,1)+Weights!$C$14*IF(BR5="",0,1)+Weights!$C$15*IF(BQ5="",0,1)+Weights!$C$16*IF(BS5="",0,1)+Weights!$C$17*IF(BU5="",0,1)+Weights!$C$18*IF(BT5="",0,1)+Weights!$C$19*IF(BW5="",0,1)+Weights!$C$20*IF(BZ5="",0,1)+Weights!$C$21*IF(BO5="",0,1)+Weights!$C$22))</x:f>
      </x:c>
      <x:c r="CC5" s="10">
        <x:f>IF((Weights!$C$23*IF(BQ5="",0,1)+Weights!$C$24*IF(BN5="",0,1)+Weights!$C$25*IF(BS5="",0,1)+Weights!$C$26*IF(BY5="",0,1)+Weights!$C$27*IF(BX5="",0,1)+Weights!$C$28*IF(BT5="",0,1)+Weights!$C$29*IF(CA5="",0,1)+Weights!$C$30+Weights!$C$31*IF(BU5="",0,1))=0,"",(Weights!$C$23*IF(BQ5="",0,BQ5)+Weights!$C$24*IF(BN5="",0,BN5)+Weights!$C$25*IF(BS5="",0,BS5)+Weights!$C$26*IF(BY5="",0,BY5)+Weights!$C$27*IF(BX5="",0,BX5)+Weights!$C$28*IF(BT5="",0,BT5)+Weights!$C$29*IF(CA5="",0,CA5)+Weights!$C$30*BV5+Weights!$C$31*IF(BU5="",0,BU5))/(Weights!$C$23*IF(BQ5="",0,1)+Weights!$C$24*IF(BN5="",0,1)+Weights!$C$25*IF(BS5="",0,1)+Weights!$C$26*IF(BY5="",0,1)+Weights!$C$27*IF(BX5="",0,1)+Weights!$C$28*IF(BT5="",0,1)+Weights!$C$29*IF(CA5="",0,1)+Weights!$C$30+Weights!$C$31*IF(BU5="",0,1)))</x:f>
      </x:c>
      <x:c r="CD5" s="10">
        <x:f>IF(AND(CB5="",CC5=""),"",IF(CB5="",CC5,IF(CC5="",CB5,AVERAGE(CB5,CC5))))</x:f>
      </x:c>
      <x:c r="CE5" s="7">
        <x:f>ROUND(100*((IF(BP5&lt;&gt;"",1,0)+IF(BQ5&lt;&gt;"",1,0)+IF(BR5&lt;&gt;"",1,0)+IF(BS5&lt;&gt;"",1,0)+IF(BU5&lt;&gt;"",1,0)+IF(BT5&lt;&gt;"",1,0)+IF(BN5&lt;&gt;"",1,0)+IF(AW5&lt;&gt;"",1,0))/8),0)</x:f>
      </x:c>
      <x:c r="CF5">
        <x:f>IF(V5="","",LOG10(V5+1))</x:f>
      </x:c>
      <x:c r="CG5">
        <x:f>IF(CF5="","",IF(MAX($CF$2:$CF$252)-MIN($CF$2:$CF$252)=0,"",(CF5-MIN($CF$2:$CF$252))/(MAX($CF$2:$CF$252)-MIN($CF$2:$CF$252))*100))</x:f>
      </x:c>
    </x:row>
    <x:row r="6">
      <x:c r="A6" t="inlineStr">
        <x:is>
          <x:t xml:space="preserve">EGY</x:t>
        </x:is>
      </x:c>
      <x:c r="B6" t="inlineStr">
        <x:is>
          <x:t xml:space="preserve">Egypt, Arab Rep.</x:t>
        </x:is>
      </x:c>
      <x:c r="C6" t="inlineStr">
        <x:is>
          <x:t xml:space="preserve">Middle East &amp; North Africa</x:t>
        </x:is>
      </x:c>
      <x:c r="D6" t="inlineStr">
        <x:is>
          <x:t xml:space="preserve">Lower middle income</x:t>
        </x:is>
      </x:c>
      <x:c r="E6" t="inlineStr">
        <x:is>
          <x:t xml:space="preserve">Africa</x:t>
        </x:is>
      </x:c>
      <x:c r="F6" t="n">
        <x:v>2024</x:v>
      </x:c>
      <x:c r="G6" t="n">
        <x:v>116538258</x:v>
      </x:c>
      <x:c r="H6" t="n">
        <x:v>2020</x:v>
      </x:c>
      <x:c r="I6" t="n">
        <x:v>836000</x:v>
      </x:c>
      <x:c r="J6" t="n">
        <x:v>543400</x:v>
      </x:c>
      <x:c r="K6" t="n">
        <x:v>167200</x:v>
      </x:c>
      <x:c r="L6" t="n">
        <x:v>100320</x:v>
      </x:c>
      <x:c r="M6" t="n">
        <x:v>2024</x:v>
      </x:c>
      <x:c r="N6" s="8" t="n">
        <x:v>2396211163.82267</x:v>
      </x:c>
      <x:c r="O6" s="9" t="n">
        <x:v>0.665263620234986</x:v>
      </x:c>
      <x:c r="P6" s="8" t="n">
        <x:v>2866.2812964386</x:v>
      </x:c>
      <x:c r="Q6" t="n">
        <x:v>2024</x:v>
      </x:c>
      <x:c r="R6" s="8" t="n">
        <x:v>389059911003.566</x:v>
      </x:c>
      <x:c r="S6" t="n">
        <x:v>7</x:v>
      </x:c>
      <x:c r="T6" t="n">
        <x:v>1</x:v>
      </x:c>
      <x:c r="U6" t="inlineStr">
        <x:is>
          <x:t xml:space="preserve">No</x:t>
        </x:is>
      </x:c>
      <x:c r="W6" t="inlineStr">
        <x:is>
          <x:t xml:space="preserve">No</x:t>
        </x:is>
      </x:c>
      <x:c r="X6" t="n">
        <x:v>14.7010159711192</x:v>
      </x:c>
      <x:c r="Y6" t="n">
        <x:v>58.17405875829822</x:v>
      </x:c>
      <x:c r="Z6" t="n">
        <x:v>996311.6231934068</x:v>
      </x:c>
      <x:c r="AA6" t="n">
        <x:v>97.40032108524555</x:v>
      </x:c>
      <x:c r="AB6" s="8" t="n">
        <x:v>11386.93109243476</x:v>
      </x:c>
      <x:c r="AC6" t="n">
        <x:v>140</x:v>
      </x:c>
      <x:c r="AD6" t="n">
        <x:v>2</x:v>
      </x:c>
      <x:c r="AE6" t="n">
        <x:v>0</x:v>
      </x:c>
      <x:c r="AF6" t="n">
        <x:v>72.40000000000001</x:v>
      </x:c>
      <x:c r="AG6" t="n">
        <x:v>101</x:v>
      </x:c>
      <x:c r="AH6" t="n">
        <x:v>13</x:v>
      </x:c>
      <x:c r="AR6">
        <x:f>IF(G6="","",LOG10(G6+1))</x:f>
        <x:v>8.066468525747087</x:v>
      </x:c>
      <x:c r="AS6" s="10">
        <x:f>IF(AR6="","",IF(MAX($AR$2:$AR$252)-MIN($AR$2:$AR$252)=0,"",(AR6-MIN($AR$2:$AR$252))/(MAX($AR$2:$AR$252)-MIN($AR$2:$AR$252))*100))</x:f>
        <x:v>96.4109210046453</x:v>
      </x:c>
      <x:c r="AT6">
        <x:f>IF(R6="","",LOG10(R6+1))</x:f>
        <x:v>11.590016483113013</x:v>
      </x:c>
      <x:c r="AU6" s="10">
        <x:f>IF(AT6="","",IF(MAX($AT$2:$AT$252)-MIN($AT$2:$AT$252)=0,"",(AT6-MIN($AT$2:$AT$252))/(MAX($AT$2:$AT$252)-MIN($AT$2:$AT$252))*100))</x:f>
        <x:v>91.47053804056927</x:v>
      </x:c>
      <x:c r="AV6">
        <x:f>IF(N6="","",LOG10(N6+1))</x:f>
        <x:v>9.37952508737182</x:v>
      </x:c>
      <x:c r="AW6" s="10">
        <x:f>IF(AV6="","",IF(MAX($AV$2:$AV$252)-MIN($AV$2:$AV$252)=0,"",(AV6-MIN($AV$2:$AV$252))/(MAX($AV$2:$AV$252)-MIN($AV$2:$AV$252))*100))</x:f>
        <x:v>85.68327698028378</x:v>
      </x:c>
      <x:c r="AX6">
        <x:f>IF(I6="","",LOG10(I6+1))</x:f>
        <x:v>5.9222067969297125</x:v>
      </x:c>
      <x:c r="AY6" s="10">
        <x:f>IF(AX6="","",IF(MAX($AX$2:$AX$252)-MIN($AX$2:$AX$252)=0,"",(AX6-MIN($AX$2:$AX$252))/(MAX($AX$2:$AX$252)-MIN($AX$2:$AX$252))*100))</x:f>
      </x:c>
      <x:c r="AZ6">
        <x:f>IF(J6="","",LOG10(J6+1))</x:f>
      </x:c>
      <x:c r="BA6" s="10">
        <x:f>IF(AZ6="","",IF(MAX($AZ$2:$AZ$252)-MIN($AZ$2:$AZ$252)=0,"",(AZ6-MIN($AZ$2:$AZ$252))/(MAX($AZ$2:$AZ$252)-MIN($AZ$2:$AZ$252))*100))</x:f>
      </x:c>
      <x:c r="BB6">
        <x:f>IF(K6="","",LOG10(K6+1))</x:f>
      </x:c>
      <x:c r="BC6" s="10">
        <x:f>IF(BB6="","",IF(MAX($BB$2:$BB$252)-MIN($BB$2:$BB$252)=0,"",(BB6-MIN($BB$2:$BB$252))/(MAX($BB$2:$BB$252)-MIN($BB$2:$BB$252))*100))</x:f>
      </x:c>
      <x:c r="BD6">
        <x:f>IF(L6="","",LOG10(L6+1))</x:f>
      </x:c>
      <x:c r="BE6" s="10">
        <x:f>IF(BD6="","",IF(MAX($BD$2:$BD$252)-MIN($BD$2:$BD$252)=0,"",(BD6-MIN($BD$2:$BD$252))/(MAX($BD$2:$BD$252)-MIN($BD$2:$BD$252))*100))</x:f>
      </x:c>
      <x:c r="BF6" s="10">
        <x:f>IF(P6="","",IF(MAX($P$2:$P$252)-MIN($P$2:$P$252)=0,"",(P6-MIN($P$2:$P$252))/(MAX($P$2:$P$252)-MIN($P$2:$P$252))*100))</x:f>
      </x:c>
      <x:c r="BG6">
        <x:f>IF(AF6="","",LOG10(AF6+1))</x:f>
      </x:c>
      <x:c r="BH6" s="10">
        <x:f>IF(BG6="","",IF(MAX($BG$2:$BG$252)-MIN($BG$2:$BG$252)=0,"",(BG6-MIN($BG$2:$BG$252))/(MAX($BG$2:$BG$252)-MIN($BG$2:$BG$252))*100))</x:f>
      </x:c>
      <x:c r="BI6">
        <x:f>IF(AC6="","",LOG10(AC6+1))</x:f>
      </x:c>
      <x:c r="BJ6" s="10">
        <x:f>IF(BI6="","",IF(MAX($BI$2:$BI$252)-MIN($BI$2:$BI$252)=0,"",(BI6-MIN($BI$2:$BI$252))/(MAX($BI$2:$BI$252)-MIN($BI$2:$BI$252))*100))</x:f>
      </x:c>
      <x:c r="BK6">
        <x:f>IF(AD6="","",(AD6*2)+(AE6*1))</x:f>
      </x:c>
      <x:c r="BL6" s="10">
        <x:f>IF(BK6="","",IF(MAX($BK$2:$BK$252)-MIN($BK$2:$BK$252)=0,"",(BK6-MIN($BK$2:$BK$252))/(MAX($BK$2:$BK$252)-MIN($BK$2:$BK$252))*100))</x:f>
      </x:c>
      <x:c r="BM6" s="10">
        <x:f>IF(AB6="","",IF(MAX($AB$2:$AB$252)-MIN($AB$2:$AB$252)=0,"",(AB6-MIN($AB$2:$AB$252))/(MAX($AB$2:$AB$252)-MIN($AB$2:$AB$252))*100))</x:f>
      </x:c>
      <x:c r="BN6" s="10">
        <x:f>IF(X6="","",X6)</x:f>
      </x:c>
      <x:c r="BO6" s="10">
        <x:f>IF(X6="","",100-X6)</x:f>
      </x:c>
      <x:c r="BP6" s="10">
        <x:f>IF((Weights!$C$2*IF(BH6="",0,1)+Weights!$C$3*IF(BJ6="",0,1)+Weights!$C$4*IF(BL6="",0,1))=0,"",(Weights!$C$2*IF(BH6="",0,BH6)+Weights!$C$3*IF(BJ6="",0,BJ6)+Weights!$C$4*IF(BL6="",0,BL6))/(Weights!$C$2*IF(BH6="",0,1)+Weights!$C$3*IF(BJ6="",0,1)+Weights!$C$4*IF(BL6="",0,1)))</x:f>
      </x:c>
      <x:c r="BQ6" s="10">
        <x:f>IF((Weights!$C$5*IF(BA6="",0,1)+Weights!$C$6*IF(AW6="",0,1)+Weights!$C$7*IF(AU6="",0,1))=0,"",(Weights!$C$5*IF(BA6="",0,BA6)+Weights!$C$6*IF(AW6="",0,AW6)+Weights!$C$7*IF(AU6="",0,AU6))/(Weights!$C$5*IF(BA6="",0,1)+Weights!$C$6*IF(AW6="",0,1)+Weights!$C$7*IF(AU6="",0,1)))</x:f>
      </x:c>
      <x:c r="BR6" s="10">
        <x:f>IF((Weights!$C$8*IF(AW6="",0,1)+Weights!$C$9*IF(BC6="",0,1)+Weights!$C$10*IF(BF6="",0,1))=0,"",(Weights!$C$8*IF(AW6="",0,AW6)+Weights!$C$9*IF(BC6="",0,BC6)+Weights!$C$10*IF(BF6="",0,BF6))/(Weights!$C$8*IF(AW6="",0,1)+Weights!$C$9*IF(BC6="",0,1)+Weights!$C$10*IF(BF6="",0,1)))</x:f>
      </x:c>
      <x:c r="BS6" s="10">
        <x:f>IF(Y6="","",Y6)</x:f>
      </x:c>
      <x:c r="BT6" s="10">
        <x:f>IF(AS6="","",AS6)</x:f>
      </x:c>
      <x:c r="BU6" s="10">
        <x:f>IF(AJ6&lt;&gt;"",(0.6*AJ6+0.4*AU6),IF((Weights!$C$11*IF(AU6="",0,1)+Weights!$C$12*IF(BM6="",0,1))=0,"",(Weights!$C$11*IF(AU6="",0,AU6)+Weights!$C$12*IF(BM6="",0,BM6))/(Weights!$C$11*IF(AU6="",0,1)+Weights!$C$12*IF(BM6="",0,1))))</x:f>
      </x:c>
      <x:c r="BV6" s="10">
        <x:f>IF(CG6="",0,CG6)</x:f>
      </x:c>
      <x:c r="BW6" s="10">
        <x:f>IF(AP6="","",AP6)</x:f>
      </x:c>
      <x:c r="BX6" s="10">
        <x:f>IF(AO6="","",AO6)</x:f>
      </x:c>
      <x:c r="BY6" s="10">
        <x:f>IF(AL6="","",AL6)</x:f>
      </x:c>
      <x:c r="BZ6" s="10">
        <x:f>IF(AM6="","",AM6)</x:f>
      </x:c>
      <x:c r="CA6" s="10">
        <x:f>IF(AK6&lt;&gt;"",AK6,AW6)</x:f>
      </x:c>
      <x:c r="CB6" s="10">
        <x:f>IF((Weights!$C$13*IF(BP6="",0,1)+Weights!$C$14*IF(BR6="",0,1)+Weights!$C$15*IF(BQ6="",0,1)+Weights!$C$16*IF(BS6="",0,1)+Weights!$C$17*IF(BU6="",0,1)+Weights!$C$18*IF(BT6="",0,1)+Weights!$C$19*IF(BW6="",0,1)+Weights!$C$20*IF(BZ6="",0,1)+Weights!$C$21*IF(BO6="",0,1)+Weights!$C$22)=0,"",(Weights!$C$13*IF(BP6="",0,BP6)+Weights!$C$14*IF(BR6="",0,BR6)+Weights!$C$15*IF(BQ6="",0,BQ6)+Weights!$C$16*IF(BS6="",0,BS6)+Weights!$C$17*IF(BU6="",0,BU6)+Weights!$C$18*IF(BT6="",0,BT6)+Weights!$C$19*IF(BW6="",0,BW6)+Weights!$C$20*IF(BZ6="",0,BZ6)+Weights!$C$21*IF(BO6="",0,BO6)+Weights!$C$22*BV6)/(Weights!$C$13*IF(BP6="",0,1)+Weights!$C$14*IF(BR6="",0,1)+Weights!$C$15*IF(BQ6="",0,1)+Weights!$C$16*IF(BS6="",0,1)+Weights!$C$17*IF(BU6="",0,1)+Weights!$C$18*IF(BT6="",0,1)+Weights!$C$19*IF(BW6="",0,1)+Weights!$C$20*IF(BZ6="",0,1)+Weights!$C$21*IF(BO6="",0,1)+Weights!$C$22))</x:f>
      </x:c>
      <x:c r="CC6" s="10">
        <x:f>IF((Weights!$C$23*IF(BQ6="",0,1)+Weights!$C$24*IF(BN6="",0,1)+Weights!$C$25*IF(BS6="",0,1)+Weights!$C$26*IF(BY6="",0,1)+Weights!$C$27*IF(BX6="",0,1)+Weights!$C$28*IF(BT6="",0,1)+Weights!$C$29*IF(CA6="",0,1)+Weights!$C$30+Weights!$C$31*IF(BU6="",0,1))=0,"",(Weights!$C$23*IF(BQ6="",0,BQ6)+Weights!$C$24*IF(BN6="",0,BN6)+Weights!$C$25*IF(BS6="",0,BS6)+Weights!$C$26*IF(BY6="",0,BY6)+Weights!$C$27*IF(BX6="",0,BX6)+Weights!$C$28*IF(BT6="",0,BT6)+Weights!$C$29*IF(CA6="",0,CA6)+Weights!$C$30*BV6+Weights!$C$31*IF(BU6="",0,BU6))/(Weights!$C$23*IF(BQ6="",0,1)+Weights!$C$24*IF(BN6="",0,1)+Weights!$C$25*IF(BS6="",0,1)+Weights!$C$26*IF(BY6="",0,1)+Weights!$C$27*IF(BX6="",0,1)+Weights!$C$28*IF(BT6="",0,1)+Weights!$C$29*IF(CA6="",0,1)+Weights!$C$30+Weights!$C$31*IF(BU6="",0,1)))</x:f>
      </x:c>
      <x:c r="CD6" s="10">
        <x:f>IF(AND(CB6="",CC6=""),"",IF(CB6="",CC6,IF(CC6="",CB6,AVERAGE(CB6,CC6))))</x:f>
      </x:c>
      <x:c r="CE6" s="7">
        <x:f>ROUND(100*((IF(BP6&lt;&gt;"",1,0)+IF(BQ6&lt;&gt;"",1,0)+IF(BR6&lt;&gt;"",1,0)+IF(BS6&lt;&gt;"",1,0)+IF(BU6&lt;&gt;"",1,0)+IF(BT6&lt;&gt;"",1,0)+IF(BN6&lt;&gt;"",1,0)+IF(AW6&lt;&gt;"",1,0))/8),0)</x:f>
      </x:c>
      <x:c r="CF6">
        <x:f>IF(V6="","",LOG10(V6+1))</x:f>
      </x:c>
      <x:c r="CG6">
        <x:f>IF(CF6="","",IF(MAX($CF$2:$CF$252)-MIN($CF$2:$CF$252)=0,"",(CF6-MIN($CF$2:$CF$252))/(MAX($CF$2:$CF$252)-MIN($CF$2:$CF$252))*100))</x:f>
      </x:c>
    </x:row>
    <x:row r="7">
      <x:c r="A7" t="inlineStr">
        <x:is>
          <x:t xml:space="preserve">ARG</x:t>
        </x:is>
      </x:c>
      <x:c r="B7" t="inlineStr">
        <x:is>
          <x:t xml:space="preserve">Argentina</x:t>
        </x:is>
      </x:c>
      <x:c r="C7" t="inlineStr">
        <x:is>
          <x:t xml:space="preserve">Latin America &amp; Caribbean</x:t>
        </x:is>
      </x:c>
      <x:c r="D7" t="inlineStr">
        <x:is>
          <x:t xml:space="preserve">Upper middle income</x:t>
        </x:is>
      </x:c>
      <x:c r="E7" t="inlineStr">
        <x:is>
          <x:t xml:space="preserve">South America</x:t>
        </x:is>
      </x:c>
      <x:c r="F7" t="n">
        <x:v>2024</x:v>
      </x:c>
      <x:c r="G7" t="n">
        <x:v>45696159</x:v>
      </x:c>
      <x:c r="H7" t="n">
        <x:v>2020</x:v>
      </x:c>
      <x:c r="I7" t="n">
        <x:v>103000</x:v>
      </x:c>
      <x:c r="J7" t="n">
        <x:v>66950</x:v>
      </x:c>
      <x:c r="K7" t="n">
        <x:v>20600</x:v>
      </x:c>
      <x:c r="L7" t="n">
        <x:v>12360</x:v>
      </x:c>
      <x:c r="M7" t="n">
        <x:v>2024</x:v>
      </x:c>
      <x:c r="N7" s="8" t="n">
        <x:v>4177618452.20522</x:v>
      </x:c>
      <x:c r="O7" s="9" t="n">
        <x:v>0.618350391157195</x:v>
      </x:c>
      <x:c r="P7" s="8" t="n">
        <x:v>40559.40244859437</x:v>
      </x:c>
      <x:c r="Q7" t="n">
        <x:v>2024</x:v>
      </x:c>
      <x:c r="R7" s="8" t="n">
        <x:v>638365455340.04</x:v>
      </x:c>
      <x:c r="S7" t="n">
        <x:v>52</x:v>
      </x:c>
      <x:c r="T7" t="n">
        <x:v>0</x:v>
      </x:c>
      <x:c r="U7" t="inlineStr">
        <x:is>
          <x:t xml:space="preserve">No</x:t>
        </x:is>
      </x:c>
      <x:c r="W7" t="inlineStr">
        <x:is>
          <x:t xml:space="preserve">No</x:t>
        </x:is>
      </x:c>
      <x:c r="X7" t="n">
        <x:v>34.40844413639826</x:v>
      </x:c>
      <x:c r="Y7" t="n">
        <x:v>55.26139434308824</x:v>
      </x:c>
      <x:c r="Z7" t="n">
        <x:v>2784468.589383837</x:v>
      </x:c>
      <x:c r="AA7" t="n">
        <x:v>15.90726976374385</x:v>
      </x:c>
      <x:c r="AB7" s="8" t="n">
        <x:v>19854.02169127502</x:v>
      </x:c>
      <x:c r="AC7" t="n">
        <x:v>41</x:v>
      </x:c>
      <x:c r="AD7" t="n">
        <x:v>0</x:v>
      </x:c>
      <x:c r="AE7" t="n">
        <x:v>0</x:v>
      </x:c>
      <x:c r="AF7" t="n">
        <x:v>19.8</x:v>
      </x:c>
      <x:c r="AG7" t="n">
        <x:v>25</x:v>
      </x:c>
      <x:c r="AH7" t="n">
        <x:v>33</x:v>
      </x:c>
      <x:c r="AR7">
        <x:f>IF(G7="","",LOG10(G7+1))</x:f>
        <x:v>7.65987970639634</x:v>
      </x:c>
      <x:c r="AS7" s="10">
        <x:f>IF(AR7="","",IF(MAX($AR$2:$AR$252)-MIN($AR$2:$AR$252)=0,"",(AR7-MIN($AR$2:$AR$252))/(MAX($AR$2:$AR$252)-MIN($AR$2:$AR$252))*100))</x:f>
        <x:v>91.55134677849206</x:v>
      </x:c>
      <x:c r="AT7">
        <x:f>IF(R7="","",LOG10(R7+1))</x:f>
        <x:v>11.805069377464408</x:v>
      </x:c>
      <x:c r="AU7" s="10">
        <x:f>IF(AT7="","",IF(MAX($AT$2:$AT$252)-MIN($AT$2:$AT$252)=0,"",(AT7-MIN($AT$2:$AT$252))/(MAX($AT$2:$AT$252)-MIN($AT$2:$AT$252))*100))</x:f>
        <x:v>93.16777496703654</x:v>
      </x:c>
      <x:c r="AV7">
        <x:f>IF(N7="","",LOG10(N7+1))</x:f>
        <x:v>9.620928772830913</x:v>
      </x:c>
      <x:c r="AW7" s="10">
        <x:f>IF(AV7="","",IF(MAX($AV$2:$AV$252)-MIN($AV$2:$AV$252)=0,"",(AV7-MIN($AV$2:$AV$252))/(MAX($AV$2:$AV$252)-MIN($AV$2:$AV$252))*100))</x:f>
        <x:v>87.88853349941196</x:v>
      </x:c>
      <x:c r="AX7">
        <x:f>IF(I7="","",LOG10(I7+1))</x:f>
        <x:v>5.0128414411359845</x:v>
      </x:c>
      <x:c r="AY7" s="10">
        <x:f>IF(AX7="","",IF(MAX($AX$2:$AX$252)-MIN($AX$2:$AX$252)=0,"",(AX7-MIN($AX$2:$AX$252))/(MAX($AX$2:$AX$252)-MIN($AX$2:$AX$252))*100))</x:f>
      </x:c>
      <x:c r="AZ7">
        <x:f>IF(J7="","",LOG10(J7+1))</x:f>
      </x:c>
      <x:c r="BA7" s="10">
        <x:f>IF(AZ7="","",IF(MAX($AZ$2:$AZ$252)-MIN($AZ$2:$AZ$252)=0,"",(AZ7-MIN($AZ$2:$AZ$252))/(MAX($AZ$2:$AZ$252)-MIN($AZ$2:$AZ$252))*100))</x:f>
      </x:c>
      <x:c r="BB7">
        <x:f>IF(K7="","",LOG10(K7+1))</x:f>
      </x:c>
      <x:c r="BC7" s="10">
        <x:f>IF(BB7="","",IF(MAX($BB$2:$BB$252)-MIN($BB$2:$BB$252)=0,"",(BB7-MIN($BB$2:$BB$252))/(MAX($BB$2:$BB$252)-MIN($BB$2:$BB$252))*100))</x:f>
      </x:c>
      <x:c r="BD7">
        <x:f>IF(L7="","",LOG10(L7+1))</x:f>
      </x:c>
      <x:c r="BE7" s="10">
        <x:f>IF(BD7="","",IF(MAX($BD$2:$BD$252)-MIN($BD$2:$BD$252)=0,"",(BD7-MIN($BD$2:$BD$252))/(MAX($BD$2:$BD$252)-MIN($BD$2:$BD$252))*100))</x:f>
      </x:c>
      <x:c r="BF7" s="10">
        <x:f>IF(P7="","",IF(MAX($P$2:$P$252)-MIN($P$2:$P$252)=0,"",(P7-MIN($P$2:$P$252))/(MAX($P$2:$P$252)-MIN($P$2:$P$252))*100))</x:f>
      </x:c>
      <x:c r="BG7">
        <x:f>IF(AF7="","",LOG10(AF7+1))</x:f>
      </x:c>
      <x:c r="BH7" s="10">
        <x:f>IF(BG7="","",IF(MAX($BG$2:$BG$252)-MIN($BG$2:$BG$252)=0,"",(BG7-MIN($BG$2:$BG$252))/(MAX($BG$2:$BG$252)-MIN($BG$2:$BG$252))*100))</x:f>
      </x:c>
      <x:c r="BI7">
        <x:f>IF(AC7="","",LOG10(AC7+1))</x:f>
      </x:c>
      <x:c r="BJ7" s="10">
        <x:f>IF(BI7="","",IF(MAX($BI$2:$BI$252)-MIN($BI$2:$BI$252)=0,"",(BI7-MIN($BI$2:$BI$252))/(MAX($BI$2:$BI$252)-MIN($BI$2:$BI$252))*100))</x:f>
      </x:c>
      <x:c r="BK7">
        <x:f>IF(AD7="","",(AD7*2)+(AE7*1))</x:f>
      </x:c>
      <x:c r="BL7" s="10">
        <x:f>IF(BK7="","",IF(MAX($BK$2:$BK$252)-MIN($BK$2:$BK$252)=0,"",(BK7-MIN($BK$2:$BK$252))/(MAX($BK$2:$BK$252)-MIN($BK$2:$BK$252))*100))</x:f>
      </x:c>
      <x:c r="BM7" s="10">
        <x:f>IF(AB7="","",IF(MAX($AB$2:$AB$252)-MIN($AB$2:$AB$252)=0,"",(AB7-MIN($AB$2:$AB$252))/(MAX($AB$2:$AB$252)-MIN($AB$2:$AB$252))*100))</x:f>
      </x:c>
      <x:c r="BN7" s="10">
        <x:f>IF(X7="","",X7)</x:f>
      </x:c>
      <x:c r="BO7" s="10">
        <x:f>IF(X7="","",100-X7)</x:f>
      </x:c>
      <x:c r="BP7" s="10">
        <x:f>IF((Weights!$C$2*IF(BH7="",0,1)+Weights!$C$3*IF(BJ7="",0,1)+Weights!$C$4*IF(BL7="",0,1))=0,"",(Weights!$C$2*IF(BH7="",0,BH7)+Weights!$C$3*IF(BJ7="",0,BJ7)+Weights!$C$4*IF(BL7="",0,BL7))/(Weights!$C$2*IF(BH7="",0,1)+Weights!$C$3*IF(BJ7="",0,1)+Weights!$C$4*IF(BL7="",0,1)))</x:f>
      </x:c>
      <x:c r="BQ7" s="10">
        <x:f>IF((Weights!$C$5*IF(BA7="",0,1)+Weights!$C$6*IF(AW7="",0,1)+Weights!$C$7*IF(AU7="",0,1))=0,"",(Weights!$C$5*IF(BA7="",0,BA7)+Weights!$C$6*IF(AW7="",0,AW7)+Weights!$C$7*IF(AU7="",0,AU7))/(Weights!$C$5*IF(BA7="",0,1)+Weights!$C$6*IF(AW7="",0,1)+Weights!$C$7*IF(AU7="",0,1)))</x:f>
      </x:c>
      <x:c r="BR7" s="10">
        <x:f>IF((Weights!$C$8*IF(AW7="",0,1)+Weights!$C$9*IF(BC7="",0,1)+Weights!$C$10*IF(BF7="",0,1))=0,"",(Weights!$C$8*IF(AW7="",0,AW7)+Weights!$C$9*IF(BC7="",0,BC7)+Weights!$C$10*IF(BF7="",0,BF7))/(Weights!$C$8*IF(AW7="",0,1)+Weights!$C$9*IF(BC7="",0,1)+Weights!$C$10*IF(BF7="",0,1)))</x:f>
      </x:c>
      <x:c r="BS7" s="10">
        <x:f>IF(Y7="","",Y7)</x:f>
      </x:c>
      <x:c r="BT7" s="10">
        <x:f>IF(AS7="","",AS7)</x:f>
      </x:c>
      <x:c r="BU7" s="10">
        <x:f>IF(AJ7&lt;&gt;"",(0.6*AJ7+0.4*AU7),IF((Weights!$C$11*IF(AU7="",0,1)+Weights!$C$12*IF(BM7="",0,1))=0,"",(Weights!$C$11*IF(AU7="",0,AU7)+Weights!$C$12*IF(BM7="",0,BM7))/(Weights!$C$11*IF(AU7="",0,1)+Weights!$C$12*IF(BM7="",0,1))))</x:f>
      </x:c>
      <x:c r="BV7" s="10">
        <x:f>IF(CG7="",0,CG7)</x:f>
      </x:c>
      <x:c r="BW7" s="10">
        <x:f>IF(AP7="","",AP7)</x:f>
      </x:c>
      <x:c r="BX7" s="10">
        <x:f>IF(AO7="","",AO7)</x:f>
      </x:c>
      <x:c r="BY7" s="10">
        <x:f>IF(AL7="","",AL7)</x:f>
      </x:c>
      <x:c r="BZ7" s="10">
        <x:f>IF(AM7="","",AM7)</x:f>
      </x:c>
      <x:c r="CA7" s="10">
        <x:f>IF(AK7&lt;&gt;"",AK7,AW7)</x:f>
      </x:c>
      <x:c r="CB7" s="10">
        <x:f>IF((Weights!$C$13*IF(BP7="",0,1)+Weights!$C$14*IF(BR7="",0,1)+Weights!$C$15*IF(BQ7="",0,1)+Weights!$C$16*IF(BS7="",0,1)+Weights!$C$17*IF(BU7="",0,1)+Weights!$C$18*IF(BT7="",0,1)+Weights!$C$19*IF(BW7="",0,1)+Weights!$C$20*IF(BZ7="",0,1)+Weights!$C$21*IF(BO7="",0,1)+Weights!$C$22)=0,"",(Weights!$C$13*IF(BP7="",0,BP7)+Weights!$C$14*IF(BR7="",0,BR7)+Weights!$C$15*IF(BQ7="",0,BQ7)+Weights!$C$16*IF(BS7="",0,BS7)+Weights!$C$17*IF(BU7="",0,BU7)+Weights!$C$18*IF(BT7="",0,BT7)+Weights!$C$19*IF(BW7="",0,BW7)+Weights!$C$20*IF(BZ7="",0,BZ7)+Weights!$C$21*IF(BO7="",0,BO7)+Weights!$C$22*BV7)/(Weights!$C$13*IF(BP7="",0,1)+Weights!$C$14*IF(BR7="",0,1)+Weights!$C$15*IF(BQ7="",0,1)+Weights!$C$16*IF(BS7="",0,1)+Weights!$C$17*IF(BU7="",0,1)+Weights!$C$18*IF(BT7="",0,1)+Weights!$C$19*IF(BW7="",0,1)+Weights!$C$20*IF(BZ7="",0,1)+Weights!$C$21*IF(BO7="",0,1)+Weights!$C$22))</x:f>
      </x:c>
      <x:c r="CC7" s="10">
        <x:f>IF((Weights!$C$23*IF(BQ7="",0,1)+Weights!$C$24*IF(BN7="",0,1)+Weights!$C$25*IF(BS7="",0,1)+Weights!$C$26*IF(BY7="",0,1)+Weights!$C$27*IF(BX7="",0,1)+Weights!$C$28*IF(BT7="",0,1)+Weights!$C$29*IF(CA7="",0,1)+Weights!$C$30+Weights!$C$31*IF(BU7="",0,1))=0,"",(Weights!$C$23*IF(BQ7="",0,BQ7)+Weights!$C$24*IF(BN7="",0,BN7)+Weights!$C$25*IF(BS7="",0,BS7)+Weights!$C$26*IF(BY7="",0,BY7)+Weights!$C$27*IF(BX7="",0,BX7)+Weights!$C$28*IF(BT7="",0,BT7)+Weights!$C$29*IF(CA7="",0,CA7)+Weights!$C$30*BV7+Weights!$C$31*IF(BU7="",0,BU7))/(Weights!$C$23*IF(BQ7="",0,1)+Weights!$C$24*IF(BN7="",0,1)+Weights!$C$25*IF(BS7="",0,1)+Weights!$C$26*IF(BY7="",0,1)+Weights!$C$27*IF(BX7="",0,1)+Weights!$C$28*IF(BT7="",0,1)+Weights!$C$29*IF(CA7="",0,1)+Weights!$C$30+Weights!$C$31*IF(BU7="",0,1)))</x:f>
      </x:c>
      <x:c r="CD7" s="10">
        <x:f>IF(AND(CB7="",CC7=""),"",IF(CB7="",CC7,IF(CC7="",CB7,AVERAGE(CB7,CC7))))</x:f>
      </x:c>
      <x:c r="CE7" s="7">
        <x:f>ROUND(100*((IF(BP7&lt;&gt;"",1,0)+IF(BQ7&lt;&gt;"",1,0)+IF(BR7&lt;&gt;"",1,0)+IF(BS7&lt;&gt;"",1,0)+IF(BU7&lt;&gt;"",1,0)+IF(BT7&lt;&gt;"",1,0)+IF(BN7&lt;&gt;"",1,0)+IF(AW7&lt;&gt;"",1,0))/8),0)</x:f>
      </x:c>
      <x:c r="CF7">
        <x:f>IF(V7="","",LOG10(V7+1))</x:f>
      </x:c>
      <x:c r="CG7">
        <x:f>IF(CF7="","",IF(MAX($CF$2:$CF$252)-MIN($CF$2:$CF$252)=0,"",(CF7-MIN($CF$2:$CF$252))/(MAX($CF$2:$CF$252)-MIN($CF$2:$CF$252))*100))</x:f>
      </x:c>
    </x:row>
    <x:row r="8">
      <x:c r="A8" t="inlineStr">
        <x:is>
          <x:t xml:space="preserve">ABW</x:t>
        </x:is>
      </x:c>
      <x:c r="B8" t="inlineStr">
        <x:is>
          <x:t xml:space="preserve">Aruba</x:t>
        </x:is>
      </x:c>
      <x:c r="C8" t="inlineStr">
        <x:is>
          <x:t xml:space="preserve">Latin America &amp; Caribbean</x:t>
        </x:is>
      </x:c>
      <x:c r="D8" t="inlineStr">
        <x:is>
          <x:t xml:space="preserve">High income</x:t>
        </x:is>
      </x:c>
      <x:c r="F8" t="n">
        <x:v>2024</x:v>
      </x:c>
      <x:c r="G8" t="n">
        <x:v>107995</x:v>
      </x:c>
      <x:c r="N8" s="8" t="n"/>
      <x:c r="O8" s="9" t="n"/>
      <x:c r="P8" s="8" t="n"/>
      <x:c r="Q8" t="n">
        <x:v>2024</x:v>
      </x:c>
      <x:c r="R8" s="8" t="n">
        <x:v>4265650673.00236</x:v>
      </x:c>
      <x:c r="S8" t="n">
        <x:v>0</x:v>
      </x:c>
      <x:c r="T8" t="n">
        <x:v>0</x:v>
      </x:c>
      <x:c r="U8" t="inlineStr">
        <x:is>
          <x:t xml:space="preserve">No</x:t>
        </x:is>
      </x:c>
      <x:c r="W8" t="inlineStr">
        <x:is>
          <x:t xml:space="preserve">No</x:t>
        </x:is>
      </x:c>
      <x:c r="AB8" s="8" t="n"/>
      <x:c r="AR8">
        <x:f>IF(G8="","",LOG10(G8+1))</x:f>
        <x:v>5.033407670208261</x:v>
      </x:c>
      <x:c r="AS8" s="10">
        <x:f>IF(AR8="","",IF(MAX($AR$2:$AR$252)-MIN($AR$2:$AR$252)=0,"",(AR8-MIN($AR$2:$AR$252))/(MAX($AR$2:$AR$252)-MIN($AR$2:$AR$252))*100))</x:f>
        <x:v>60.15959372155114</x:v>
      </x:c>
      <x:c r="AT8">
        <x:f>IF(R8="","",LOG10(R8+1))</x:f>
        <x:v>9.629985286986598</x:v>
      </x:c>
      <x:c r="AU8" s="10">
        <x:f>IF(AT8="","",IF(MAX($AT$2:$AT$252)-MIN($AT$2:$AT$252)=0,"",(AT8-MIN($AT$2:$AT$252))/(MAX($AT$2:$AT$252)-MIN($AT$2:$AT$252))*100))</x:f>
        <x:v>76.00161197413895</x:v>
      </x:c>
      <x:c r="AV8">
        <x:f>IF(N8="","",LOG10(N8+1))</x:f>
      </x:c>
      <x:c r="AW8" s="10">
        <x:f>IF(AV8="","",IF(MAX($AV$2:$AV$252)-MIN($AV$2:$AV$252)=0,"",(AV8-MIN($AV$2:$AV$252))/(MAX($AV$2:$AV$252)-MIN($AV$2:$AV$252))*100))</x:f>
      </x:c>
      <x:c r="AX8">
        <x:f>IF(I8="","",LOG10(I8+1))</x:f>
      </x:c>
      <x:c r="AY8" s="10">
        <x:f>IF(AX8="","",IF(MAX($AX$2:$AX$252)-MIN($AX$2:$AX$252)=0,"",(AX8-MIN($AX$2:$AX$252))/(MAX($AX$2:$AX$252)-MIN($AX$2:$AX$252))*100))</x:f>
      </x:c>
      <x:c r="AZ8">
        <x:f>IF(J8="","",LOG10(J8+1))</x:f>
      </x:c>
      <x:c r="BA8" s="10">
        <x:f>IF(AZ8="","",IF(MAX($AZ$2:$AZ$252)-MIN($AZ$2:$AZ$252)=0,"",(AZ8-MIN($AZ$2:$AZ$252))/(MAX($AZ$2:$AZ$252)-MIN($AZ$2:$AZ$252))*100))</x:f>
      </x:c>
      <x:c r="BB8">
        <x:f>IF(K8="","",LOG10(K8+1))</x:f>
      </x:c>
      <x:c r="BC8" s="10">
        <x:f>IF(BB8="","",IF(MAX($BB$2:$BB$252)-MIN($BB$2:$BB$252)=0,"",(BB8-MIN($BB$2:$BB$252))/(MAX($BB$2:$BB$252)-MIN($BB$2:$BB$252))*100))</x:f>
      </x:c>
      <x:c r="BD8">
        <x:f>IF(L8="","",LOG10(L8+1))</x:f>
      </x:c>
      <x:c r="BE8" s="10">
        <x:f>IF(BD8="","",IF(MAX($BD$2:$BD$252)-MIN($BD$2:$BD$252)=0,"",(BD8-MIN($BD$2:$BD$252))/(MAX($BD$2:$BD$252)-MIN($BD$2:$BD$252))*100))</x:f>
      </x:c>
      <x:c r="BF8" s="10">
        <x:f>IF(P8="","",IF(MAX($P$2:$P$252)-MIN($P$2:$P$252)=0,"",(P8-MIN($P$2:$P$252))/(MAX($P$2:$P$252)-MIN($P$2:$P$252))*100))</x:f>
      </x:c>
      <x:c r="BG8">
        <x:f>IF(AF8="","",LOG10(AF8+1))</x:f>
      </x:c>
      <x:c r="BH8" s="10">
        <x:f>IF(BG8="","",IF(MAX($BG$2:$BG$252)-MIN($BG$2:$BG$252)=0,"",(BG8-MIN($BG$2:$BG$252))/(MAX($BG$2:$BG$252)-MIN($BG$2:$BG$252))*100))</x:f>
      </x:c>
      <x:c r="BI8">
        <x:f>IF(AC8="","",LOG10(AC8+1))</x:f>
      </x:c>
      <x:c r="BJ8" s="10">
        <x:f>IF(BI8="","",IF(MAX($BI$2:$BI$252)-MIN($BI$2:$BI$252)=0,"",(BI8-MIN($BI$2:$BI$252))/(MAX($BI$2:$BI$252)-MIN($BI$2:$BI$252))*100))</x:f>
      </x:c>
      <x:c r="BK8">
        <x:f>IF(AD8="","",(AD8*2)+(AE8*1))</x:f>
      </x:c>
      <x:c r="BL8" s="10">
        <x:f>IF(BK8="","",IF(MAX($BK$2:$BK$252)-MIN($BK$2:$BK$252)=0,"",(BK8-MIN($BK$2:$BK$252))/(MAX($BK$2:$BK$252)-MIN($BK$2:$BK$252))*100))</x:f>
      </x:c>
      <x:c r="BM8" s="10">
        <x:f>IF(AB8="","",IF(MAX($AB$2:$AB$252)-MIN($AB$2:$AB$252)=0,"",(AB8-MIN($AB$2:$AB$252))/(MAX($AB$2:$AB$252)-MIN($AB$2:$AB$252))*100))</x:f>
      </x:c>
      <x:c r="BN8" s="10">
        <x:f>IF(X8="","",X8)</x:f>
      </x:c>
      <x:c r="BO8" s="10">
        <x:f>IF(X8="","",100-X8)</x:f>
      </x:c>
      <x:c r="BP8" s="10">
        <x:f>IF((Weights!$C$2*IF(BH8="",0,1)+Weights!$C$3*IF(BJ8="",0,1)+Weights!$C$4*IF(BL8="",0,1))=0,"",(Weights!$C$2*IF(BH8="",0,BH8)+Weights!$C$3*IF(BJ8="",0,BJ8)+Weights!$C$4*IF(BL8="",0,BL8))/(Weights!$C$2*IF(BH8="",0,1)+Weights!$C$3*IF(BJ8="",0,1)+Weights!$C$4*IF(BL8="",0,1)))</x:f>
      </x:c>
      <x:c r="BQ8" s="10">
        <x:f>IF((Weights!$C$5*IF(BA8="",0,1)+Weights!$C$6*IF(AW8="",0,1)+Weights!$C$7*IF(AU8="",0,1))=0,"",(Weights!$C$5*IF(BA8="",0,BA8)+Weights!$C$6*IF(AW8="",0,AW8)+Weights!$C$7*IF(AU8="",0,AU8))/(Weights!$C$5*IF(BA8="",0,1)+Weights!$C$6*IF(AW8="",0,1)+Weights!$C$7*IF(AU8="",0,1)))</x:f>
      </x:c>
      <x:c r="BR8" s="10">
        <x:f>IF((Weights!$C$8*IF(AW8="",0,1)+Weights!$C$9*IF(BC8="",0,1)+Weights!$C$10*IF(BF8="",0,1))=0,"",(Weights!$C$8*IF(AW8="",0,AW8)+Weights!$C$9*IF(BC8="",0,BC8)+Weights!$C$10*IF(BF8="",0,BF8))/(Weights!$C$8*IF(AW8="",0,1)+Weights!$C$9*IF(BC8="",0,1)+Weights!$C$10*IF(BF8="",0,1)))</x:f>
      </x:c>
      <x:c r="BS8" s="10">
        <x:f>IF(Y8="","",Y8)</x:f>
      </x:c>
      <x:c r="BT8" s="10">
        <x:f>IF(AS8="","",AS8)</x:f>
      </x:c>
      <x:c r="BU8" s="10">
        <x:f>IF(AJ8&lt;&gt;"",(0.6*AJ8+0.4*AU8),IF((Weights!$C$11*IF(AU8="",0,1)+Weights!$C$12*IF(BM8="",0,1))=0,"",(Weights!$C$11*IF(AU8="",0,AU8)+Weights!$C$12*IF(BM8="",0,BM8))/(Weights!$C$11*IF(AU8="",0,1)+Weights!$C$12*IF(BM8="",0,1))))</x:f>
      </x:c>
      <x:c r="BV8" s="10">
        <x:f>IF(CG8="",0,CG8)</x:f>
      </x:c>
      <x:c r="BW8" s="10">
        <x:f>IF(AP8="","",AP8)</x:f>
      </x:c>
      <x:c r="BX8" s="10">
        <x:f>IF(AO8="","",AO8)</x:f>
      </x:c>
      <x:c r="BY8" s="10">
        <x:f>IF(AL8="","",AL8)</x:f>
      </x:c>
      <x:c r="BZ8" s="10">
        <x:f>IF(AM8="","",AM8)</x:f>
      </x:c>
      <x:c r="CA8" s="10">
        <x:f>IF(AK8&lt;&gt;"",AK8,AW8)</x:f>
      </x:c>
      <x:c r="CB8" s="10">
        <x:f>IF((Weights!$C$13*IF(BP8="",0,1)+Weights!$C$14*IF(BR8="",0,1)+Weights!$C$15*IF(BQ8="",0,1)+Weights!$C$16*IF(BS8="",0,1)+Weights!$C$17*IF(BU8="",0,1)+Weights!$C$18*IF(BT8="",0,1)+Weights!$C$19*IF(BW8="",0,1)+Weights!$C$20*IF(BZ8="",0,1)+Weights!$C$21*IF(BO8="",0,1)+Weights!$C$22)=0,"",(Weights!$C$13*IF(BP8="",0,BP8)+Weights!$C$14*IF(BR8="",0,BR8)+Weights!$C$15*IF(BQ8="",0,BQ8)+Weights!$C$16*IF(BS8="",0,BS8)+Weights!$C$17*IF(BU8="",0,BU8)+Weights!$C$18*IF(BT8="",0,BT8)+Weights!$C$19*IF(BW8="",0,BW8)+Weights!$C$20*IF(BZ8="",0,BZ8)+Weights!$C$21*IF(BO8="",0,BO8)+Weights!$C$22*BV8)/(Weights!$C$13*IF(BP8="",0,1)+Weights!$C$14*IF(BR8="",0,1)+Weights!$C$15*IF(BQ8="",0,1)+Weights!$C$16*IF(BS8="",0,1)+Weights!$C$17*IF(BU8="",0,1)+Weights!$C$18*IF(BT8="",0,1)+Weights!$C$19*IF(BW8="",0,1)+Weights!$C$20*IF(BZ8="",0,1)+Weights!$C$21*IF(BO8="",0,1)+Weights!$C$22))</x:f>
      </x:c>
      <x:c r="CC8" s="10">
        <x:f>IF((Weights!$C$23*IF(BQ8="",0,1)+Weights!$C$24*IF(BN8="",0,1)+Weights!$C$25*IF(BS8="",0,1)+Weights!$C$26*IF(BY8="",0,1)+Weights!$C$27*IF(BX8="",0,1)+Weights!$C$28*IF(BT8="",0,1)+Weights!$C$29*IF(CA8="",0,1)+Weights!$C$30+Weights!$C$31*IF(BU8="",0,1))=0,"",(Weights!$C$23*IF(BQ8="",0,BQ8)+Weights!$C$24*IF(BN8="",0,BN8)+Weights!$C$25*IF(BS8="",0,BS8)+Weights!$C$26*IF(BY8="",0,BY8)+Weights!$C$27*IF(BX8="",0,BX8)+Weights!$C$28*IF(BT8="",0,BT8)+Weights!$C$29*IF(CA8="",0,CA8)+Weights!$C$30*BV8+Weights!$C$31*IF(BU8="",0,BU8))/(Weights!$C$23*IF(BQ8="",0,1)+Weights!$C$24*IF(BN8="",0,1)+Weights!$C$25*IF(BS8="",0,1)+Weights!$C$26*IF(BY8="",0,1)+Weights!$C$27*IF(BX8="",0,1)+Weights!$C$28*IF(BT8="",0,1)+Weights!$C$29*IF(CA8="",0,1)+Weights!$C$30+Weights!$C$31*IF(BU8="",0,1)))</x:f>
      </x:c>
      <x:c r="CD8" s="10">
        <x:f>IF(AND(CB8="",CC8=""),"",IF(CB8="",CC8,IF(CC8="",CB8,AVERAGE(CB8,CC8))))</x:f>
      </x:c>
      <x:c r="CE8" s="7">
        <x:f>ROUND(100*((IF(BP8&lt;&gt;"",1,0)+IF(BQ8&lt;&gt;"",1,0)+IF(BR8&lt;&gt;"",1,0)+IF(BS8&lt;&gt;"",1,0)+IF(BU8&lt;&gt;"",1,0)+IF(BT8&lt;&gt;"",1,0)+IF(BN8&lt;&gt;"",1,0)+IF(AW8&lt;&gt;"",1,0))/8),0)</x:f>
      </x:c>
      <x:c r="CF8">
        <x:f>IF(V8="","",LOG10(V8+1))</x:f>
      </x:c>
      <x:c r="CG8">
        <x:f>IF(CF8="","",IF(MAX($CF$2:$CF$252)-MIN($CF$2:$CF$252)=0,"",(CF8-MIN($CF$2:$CF$252))/(MAX($CF$2:$CF$252)-MIN($CF$2:$CF$252))*100))</x:f>
      </x:c>
    </x:row>
    <x:row r="9">
      <x:c r="A9" t="inlineStr">
        <x:is>
          <x:t xml:space="preserve">AUS</x:t>
        </x:is>
      </x:c>
      <x:c r="B9" t="inlineStr">
        <x:is>
          <x:t xml:space="preserve">Australia</x:t>
        </x:is>
      </x:c>
      <x:c r="C9" t="inlineStr">
        <x:is>
          <x:t xml:space="preserve">East Asia &amp; Pacific</x:t>
        </x:is>
      </x:c>
      <x:c r="D9" t="inlineStr">
        <x:is>
          <x:t xml:space="preserve">High income</x:t>
        </x:is>
      </x:c>
      <x:c r="E9" t="inlineStr">
        <x:is>
          <x:t xml:space="preserve">Oceania</x:t>
        </x:is>
      </x:c>
      <x:c r="F9" t="n">
        <x:v>2024</x:v>
      </x:c>
      <x:c r="G9" t="n">
        <x:v>27196812</x:v>
      </x:c>
      <x:c r="H9" t="n">
        <x:v>2020</x:v>
      </x:c>
      <x:c r="I9" t="n">
        <x:v>60000</x:v>
      </x:c>
      <x:c r="J9" t="n">
        <x:v>39000</x:v>
      </x:c>
      <x:c r="K9" t="n">
        <x:v>12000</x:v>
      </x:c>
      <x:c r="L9" t="n">
        <x:v>7200</x:v>
      </x:c>
      <x:c r="M9" t="n">
        <x:v>2024</x:v>
      </x:c>
      <x:c r="N9" s="8" t="n">
        <x:v>33819572368.4211</x:v>
      </x:c>
      <x:c r="O9" s="9" t="n">
        <x:v>1.8837883329175</x:v>
      </x:c>
      <x:c r="P9" s="8" t="n">
        <x:v>563659.539473685</x:v>
      </x:c>
      <x:c r="Q9" t="n">
        <x:v>2024</x:v>
      </x:c>
      <x:c r="R9" s="8" t="n">
        <x:v>1757022451652.83</x:v>
      </x:c>
      <x:c r="S9" t="n">
        <x:v>23</x:v>
      </x:c>
      <x:c r="T9" t="n">
        <x:v>4</x:v>
      </x:c>
      <x:c r="U9" t="inlineStr">
        <x:is>
          <x:t xml:space="preserve">No</x:t>
        </x:is>
      </x:c>
      <x:c r="W9" t="inlineStr">
        <x:is>
          <x:t xml:space="preserve">No</x:t>
        </x:is>
      </x:c>
      <x:c r="X9" t="n">
        <x:v>29.61854278788714</x:v>
      </x:c>
      <x:c r="Y9" t="n">
        <x:v>60.11585232047167</x:v>
      </x:c>
      <x:c r="Z9" t="n">
        <x:v>7687613.843109031</x:v>
      </x:c>
      <x:c r="AA9" t="n">
        <x:v>3.022057750835769</x:v>
      </x:c>
      <x:c r="AB9" s="8" t="n">
        <x:v>51178.49790290832</x:v>
      </x:c>
      <x:c r="AC9" t="n">
        <x:v>43</x:v>
      </x:c>
      <x:c r="AD9" t="n">
        <x:v>2</x:v>
      </x:c>
      <x:c r="AE9" t="n">
        <x:v>0</x:v>
      </x:c>
      <x:c r="AF9" t="n">
        <x:v>48.9</x:v>
      </x:c>
      <x:c r="AG9" t="n">
        <x:v>35</x:v>
      </x:c>
      <x:c r="AH9" t="n">
        <x:v>20</x:v>
      </x:c>
      <x:c r="AI9" t="n">
        <x:v>31.8</x:v>
      </x:c>
      <x:c r="AJ9" t="n">
        <x:v>12.4</x:v>
      </x:c>
      <x:c r="AK9" t="n">
        <x:v>26.1</x:v>
      </x:c>
      <x:c r="AL9" t="n">
        <x:v>42.5</x:v>
      </x:c>
      <x:c r="AM9" t="n">
        <x:v>9.800000000000001</x:v>
      </x:c>
      <x:c r="AN9" t="n">
        <x:v>24.2</x:v>
      </x:c>
      <x:c r="AO9" t="n">
        <x:v>62.6</x:v>
      </x:c>
      <x:c r="AP9" t="n">
        <x:v>65.7</x:v>
      </x:c>
      <x:c r="AQ9" t="n">
        <x:v>33.2</x:v>
      </x:c>
      <x:c r="AR9">
        <x:f>IF(G9="","",LOG10(G9+1))</x:f>
        <x:v>7.4345180151515935</x:v>
      </x:c>
      <x:c r="AS9" s="10">
        <x:f>IF(AR9="","",IF(MAX($AR$2:$AR$252)-MIN($AR$2:$AR$252)=0,"",(AR9-MIN($AR$2:$AR$252))/(MAX($AR$2:$AR$252)-MIN($AR$2:$AR$252))*100))</x:f>
        <x:v>88.8578101778446</x:v>
      </x:c>
      <x:c r="AT9">
        <x:f>IF(R9="","",LOG10(R9+1))</x:f>
        <x:v>12.244777311049688</x:v>
      </x:c>
      <x:c r="AU9" s="10">
        <x:f>IF(AT9="","",IF(MAX($AT$2:$AT$252)-MIN($AT$2:$AT$252)=0,"",(AT9-MIN($AT$2:$AT$252))/(MAX($AT$2:$AT$252)-MIN($AT$2:$AT$252))*100))</x:f>
        <x:v>96.63803071036136</x:v>
      </x:c>
      <x:c r="AV9">
        <x:f>IF(N9="","",LOG10(N9+1))</x:f>
        <x:v>10.529168111872755</x:v>
      </x:c>
      <x:c r="AW9" s="10">
        <x:f>IF(AV9="","",IF(MAX($AV$2:$AV$252)-MIN($AV$2:$AV$252)=0,"",(AV9-MIN($AV$2:$AV$252))/(MAX($AV$2:$AV$252)-MIN($AV$2:$AV$252))*100))</x:f>
        <x:v>96.18542722554385</x:v>
      </x:c>
      <x:c r="AX9">
        <x:f>IF(I9="","",LOG10(I9+1))</x:f>
        <x:v>4.77815848856469</x:v>
      </x:c>
      <x:c r="AY9" s="10">
        <x:f>IF(AX9="","",IF(MAX($AX$2:$AX$252)-MIN($AX$2:$AX$252)=0,"",(AX9-MIN($AX$2:$AX$252))/(MAX($AX$2:$AX$252)-MIN($AX$2:$AX$252))*100))</x:f>
      </x:c>
      <x:c r="AZ9">
        <x:f>IF(J9="","",LOG10(J9+1))</x:f>
      </x:c>
      <x:c r="BA9" s="10">
        <x:f>IF(AZ9="","",IF(MAX($AZ$2:$AZ$252)-MIN($AZ$2:$AZ$252)=0,"",(AZ9-MIN($AZ$2:$AZ$252))/(MAX($AZ$2:$AZ$252)-MIN($AZ$2:$AZ$252))*100))</x:f>
      </x:c>
      <x:c r="BB9">
        <x:f>IF(K9="","",LOG10(K9+1))</x:f>
      </x:c>
      <x:c r="BC9" s="10">
        <x:f>IF(BB9="","",IF(MAX($BB$2:$BB$252)-MIN($BB$2:$BB$252)=0,"",(BB9-MIN($BB$2:$BB$252))/(MAX($BB$2:$BB$252)-MIN($BB$2:$BB$252))*100))</x:f>
      </x:c>
      <x:c r="BD9">
        <x:f>IF(L9="","",LOG10(L9+1))</x:f>
      </x:c>
      <x:c r="BE9" s="10">
        <x:f>IF(BD9="","",IF(MAX($BD$2:$BD$252)-MIN($BD$2:$BD$252)=0,"",(BD9-MIN($BD$2:$BD$252))/(MAX($BD$2:$BD$252)-MIN($BD$2:$BD$252))*100))</x:f>
      </x:c>
      <x:c r="BF9" s="10">
        <x:f>IF(P9="","",IF(MAX($P$2:$P$252)-MIN($P$2:$P$252)=0,"",(P9-MIN($P$2:$P$252))/(MAX($P$2:$P$252)-MIN($P$2:$P$252))*100))</x:f>
      </x:c>
      <x:c r="BG9">
        <x:f>IF(AF9="","",LOG10(AF9+1))</x:f>
      </x:c>
      <x:c r="BH9" s="10">
        <x:f>IF(BG9="","",IF(MAX($BG$2:$BG$252)-MIN($BG$2:$BG$252)=0,"",(BG9-MIN($BG$2:$BG$252))/(MAX($BG$2:$BG$252)-MIN($BG$2:$BG$252))*100))</x:f>
      </x:c>
      <x:c r="BI9">
        <x:f>IF(AC9="","",LOG10(AC9+1))</x:f>
      </x:c>
      <x:c r="BJ9" s="10">
        <x:f>IF(BI9="","",IF(MAX($BI$2:$BI$252)-MIN($BI$2:$BI$252)=0,"",(BI9-MIN($BI$2:$BI$252))/(MAX($BI$2:$BI$252)-MIN($BI$2:$BI$252))*100))</x:f>
      </x:c>
      <x:c r="BK9">
        <x:f>IF(AD9="","",(AD9*2)+(AE9*1))</x:f>
      </x:c>
      <x:c r="BL9" s="10">
        <x:f>IF(BK9="","",IF(MAX($BK$2:$BK$252)-MIN($BK$2:$BK$252)=0,"",(BK9-MIN($BK$2:$BK$252))/(MAX($BK$2:$BK$252)-MIN($BK$2:$BK$252))*100))</x:f>
      </x:c>
      <x:c r="BM9" s="10">
        <x:f>IF(AB9="","",IF(MAX($AB$2:$AB$252)-MIN($AB$2:$AB$252)=0,"",(AB9-MIN($AB$2:$AB$252))/(MAX($AB$2:$AB$252)-MIN($AB$2:$AB$252))*100))</x:f>
      </x:c>
      <x:c r="BN9" s="10">
        <x:f>IF(X9="","",X9)</x:f>
      </x:c>
      <x:c r="BO9" s="10">
        <x:f>IF(X9="","",100-X9)</x:f>
      </x:c>
      <x:c r="BP9" s="10">
        <x:f>IF((Weights!$C$2*IF(BH9="",0,1)+Weights!$C$3*IF(BJ9="",0,1)+Weights!$C$4*IF(BL9="",0,1))=0,"",(Weights!$C$2*IF(BH9="",0,BH9)+Weights!$C$3*IF(BJ9="",0,BJ9)+Weights!$C$4*IF(BL9="",0,BL9))/(Weights!$C$2*IF(BH9="",0,1)+Weights!$C$3*IF(BJ9="",0,1)+Weights!$C$4*IF(BL9="",0,1)))</x:f>
      </x:c>
      <x:c r="BQ9" s="10">
        <x:f>IF((Weights!$C$5*IF(BA9="",0,1)+Weights!$C$6*IF(AW9="",0,1)+Weights!$C$7*IF(AU9="",0,1))=0,"",(Weights!$C$5*IF(BA9="",0,BA9)+Weights!$C$6*IF(AW9="",0,AW9)+Weights!$C$7*IF(AU9="",0,AU9))/(Weights!$C$5*IF(BA9="",0,1)+Weights!$C$6*IF(AW9="",0,1)+Weights!$C$7*IF(AU9="",0,1)))</x:f>
      </x:c>
      <x:c r="BR9" s="10">
        <x:f>IF((Weights!$C$8*IF(AW9="",0,1)+Weights!$C$9*IF(BC9="",0,1)+Weights!$C$10*IF(BF9="",0,1))=0,"",(Weights!$C$8*IF(AW9="",0,AW9)+Weights!$C$9*IF(BC9="",0,BC9)+Weights!$C$10*IF(BF9="",0,BF9))/(Weights!$C$8*IF(AW9="",0,1)+Weights!$C$9*IF(BC9="",0,1)+Weights!$C$10*IF(BF9="",0,1)))</x:f>
      </x:c>
      <x:c r="BS9" s="10">
        <x:f>IF(Y9="","",Y9)</x:f>
      </x:c>
      <x:c r="BT9" s="10">
        <x:f>IF(AS9="","",AS9)</x:f>
      </x:c>
      <x:c r="BU9" s="10">
        <x:f>IF(AJ9&lt;&gt;"",(0.6*AJ9+0.4*AU9),IF((Weights!$C$11*IF(AU9="",0,1)+Weights!$C$12*IF(BM9="",0,1))=0,"",(Weights!$C$11*IF(AU9="",0,AU9)+Weights!$C$12*IF(BM9="",0,BM9))/(Weights!$C$11*IF(AU9="",0,1)+Weights!$C$12*IF(BM9="",0,1))))</x:f>
      </x:c>
      <x:c r="BV9" s="10">
        <x:f>IF(CG9="",0,CG9)</x:f>
      </x:c>
      <x:c r="BW9" s="10">
        <x:f>IF(AP9="","",AP9)</x:f>
      </x:c>
      <x:c r="BX9" s="10">
        <x:f>IF(AO9="","",AO9)</x:f>
      </x:c>
      <x:c r="BY9" s="10">
        <x:f>IF(AL9="","",AL9)</x:f>
      </x:c>
      <x:c r="BZ9" s="10">
        <x:f>IF(AM9="","",AM9)</x:f>
      </x:c>
      <x:c r="CA9" s="10">
        <x:f>IF(AK9&lt;&gt;"",AK9,AW9)</x:f>
      </x:c>
      <x:c r="CB9" s="10">
        <x:f>IF((Weights!$C$13*IF(BP9="",0,1)+Weights!$C$14*IF(BR9="",0,1)+Weights!$C$15*IF(BQ9="",0,1)+Weights!$C$16*IF(BS9="",0,1)+Weights!$C$17*IF(BU9="",0,1)+Weights!$C$18*IF(BT9="",0,1)+Weights!$C$19*IF(BW9="",0,1)+Weights!$C$20*IF(BZ9="",0,1)+Weights!$C$21*IF(BO9="",0,1)+Weights!$C$22)=0,"",(Weights!$C$13*IF(BP9="",0,BP9)+Weights!$C$14*IF(BR9="",0,BR9)+Weights!$C$15*IF(BQ9="",0,BQ9)+Weights!$C$16*IF(BS9="",0,BS9)+Weights!$C$17*IF(BU9="",0,BU9)+Weights!$C$18*IF(BT9="",0,BT9)+Weights!$C$19*IF(BW9="",0,BW9)+Weights!$C$20*IF(BZ9="",0,BZ9)+Weights!$C$21*IF(BO9="",0,BO9)+Weights!$C$22*BV9)/(Weights!$C$13*IF(BP9="",0,1)+Weights!$C$14*IF(BR9="",0,1)+Weights!$C$15*IF(BQ9="",0,1)+Weights!$C$16*IF(BS9="",0,1)+Weights!$C$17*IF(BU9="",0,1)+Weights!$C$18*IF(BT9="",0,1)+Weights!$C$19*IF(BW9="",0,1)+Weights!$C$20*IF(BZ9="",0,1)+Weights!$C$21*IF(BO9="",0,1)+Weights!$C$22))</x:f>
      </x:c>
      <x:c r="CC9" s="10">
        <x:f>IF((Weights!$C$23*IF(BQ9="",0,1)+Weights!$C$24*IF(BN9="",0,1)+Weights!$C$25*IF(BS9="",0,1)+Weights!$C$26*IF(BY9="",0,1)+Weights!$C$27*IF(BX9="",0,1)+Weights!$C$28*IF(BT9="",0,1)+Weights!$C$29*IF(CA9="",0,1)+Weights!$C$30+Weights!$C$31*IF(BU9="",0,1))=0,"",(Weights!$C$23*IF(BQ9="",0,BQ9)+Weights!$C$24*IF(BN9="",0,BN9)+Weights!$C$25*IF(BS9="",0,BS9)+Weights!$C$26*IF(BY9="",0,BY9)+Weights!$C$27*IF(BX9="",0,BX9)+Weights!$C$28*IF(BT9="",0,BT9)+Weights!$C$29*IF(CA9="",0,CA9)+Weights!$C$30*BV9+Weights!$C$31*IF(BU9="",0,BU9))/(Weights!$C$23*IF(BQ9="",0,1)+Weights!$C$24*IF(BN9="",0,1)+Weights!$C$25*IF(BS9="",0,1)+Weights!$C$26*IF(BY9="",0,1)+Weights!$C$27*IF(BX9="",0,1)+Weights!$C$28*IF(BT9="",0,1)+Weights!$C$29*IF(CA9="",0,1)+Weights!$C$30+Weights!$C$31*IF(BU9="",0,1)))</x:f>
      </x:c>
      <x:c r="CD9" s="10">
        <x:f>IF(AND(CB9="",CC9=""),"",IF(CB9="",CC9,IF(CC9="",CB9,AVERAGE(CB9,CC9))))</x:f>
      </x:c>
      <x:c r="CE9" s="7">
        <x:f>ROUND(100*((IF(BP9&lt;&gt;"",1,0)+IF(BQ9&lt;&gt;"",1,0)+IF(BR9&lt;&gt;"",1,0)+IF(BS9&lt;&gt;"",1,0)+IF(BU9&lt;&gt;"",1,0)+IF(BT9&lt;&gt;"",1,0)+IF(BN9&lt;&gt;"",1,0)+IF(AW9&lt;&gt;"",1,0))/8),0)</x:f>
      </x:c>
      <x:c r="CF9">
        <x:f>IF(V9="","",LOG10(V9+1))</x:f>
      </x:c>
      <x:c r="CG9">
        <x:f>IF(CF9="","",IF(MAX($CF$2:$CF$252)-MIN($CF$2:$CF$252)=0,"",(CF9-MIN($CF$2:$CF$252))/(MAX($CF$2:$CF$252)-MIN($CF$2:$CF$252))*100))</x:f>
      </x:c>
    </x:row>
    <x:row r="10">
      <x:c r="A10" t="inlineStr">
        <x:is>
          <x:t xml:space="preserve">BRB</x:t>
        </x:is>
      </x:c>
      <x:c r="B10" t="inlineStr">
        <x:is>
          <x:t xml:space="preserve">Barbados</x:t>
        </x:is>
      </x:c>
      <x:c r="C10" t="inlineStr">
        <x:is>
          <x:t xml:space="preserve">Latin America &amp; Caribbean</x:t>
        </x:is>
      </x:c>
      <x:c r="D10" t="inlineStr">
        <x:is>
          <x:t xml:space="preserve">High income</x:t>
        </x:is>
      </x:c>
      <x:c r="F10" t="n">
        <x:v>2024</x:v>
      </x:c>
      <x:c r="G10" t="n">
        <x:v>282467</x:v>
      </x:c>
      <x:c r="H10" t="n">
        <x:v>2020</x:v>
      </x:c>
      <x:c r="I10" t="n">
        <x:v>1000</x:v>
      </x:c>
      <x:c r="J10" t="n">
        <x:v>650</x:v>
      </x:c>
      <x:c r="K10" t="n">
        <x:v>200</x:v>
      </x:c>
      <x:c r="L10" t="n">
        <x:v>120</x:v>
      </x:c>
      <x:c r="N10" s="8" t="n"/>
      <x:c r="O10" s="9" t="n"/>
      <x:c r="P10" s="8" t="n"/>
      <x:c r="Q10" t="n">
        <x:v>2024</x:v>
      </x:c>
      <x:c r="R10" s="8" t="n">
        <x:v>7498050000</x:v>
      </x:c>
      <x:c r="S10" t="n">
        <x:v>0</x:v>
      </x:c>
      <x:c r="T10" t="n">
        <x:v>0</x:v>
      </x:c>
      <x:c r="U10" t="inlineStr">
        <x:is>
          <x:t xml:space="preserve">No</x:t>
        </x:is>
      </x:c>
      <x:c r="W10" t="inlineStr">
        <x:is>
          <x:t xml:space="preserve">No</x:t>
        </x:is>
      </x:c>
      <x:c r="AB10" s="8" t="n"/>
      <x:c r="AR10">
        <x:f>IF(G10="","",LOG10(G10+1))</x:f>
        <x:v>5.450969254949825</x:v>
      </x:c>
      <x:c r="AS10" s="10">
        <x:f>IF(AR10="","",IF(MAX($AR$2:$AR$252)-MIN($AR$2:$AR$252)=0,"",(AR10-MIN($AR$2:$AR$252))/(MAX($AR$2:$AR$252)-MIN($AR$2:$AR$252))*100))</x:f>
        <x:v>65.15031510509054</x:v>
      </x:c>
      <x:c r="AT10">
        <x:f>IF(R10="","",LOG10(R10+1))</x:f>
        <x:v>9.874948332202626</x:v>
      </x:c>
      <x:c r="AU10" s="10">
        <x:f>IF(AT10="","",IF(MAX($AT$2:$AT$252)-MIN($AT$2:$AT$252)=0,"",(AT10-MIN($AT$2:$AT$252))/(MAX($AT$2:$AT$252)-MIN($AT$2:$AT$252))*100))</x:f>
        <x:v>77.93490530280798</x:v>
      </x:c>
      <x:c r="AV10">
        <x:f>IF(N10="","",LOG10(N10+1))</x:f>
      </x:c>
      <x:c r="AW10" s="10">
        <x:f>IF(AV10="","",IF(MAX($AV$2:$AV$252)-MIN($AV$2:$AV$252)=0,"",(AV10-MIN($AV$2:$AV$252))/(MAX($AV$2:$AV$252)-MIN($AV$2:$AV$252))*100))</x:f>
      </x:c>
      <x:c r="AX10">
        <x:f>IF(I10="","",LOG10(I10+1))</x:f>
        <x:v>3.0004340774793183</x:v>
      </x:c>
      <x:c r="AY10" s="10">
        <x:f>IF(AX10="","",IF(MAX($AX$2:$AX$252)-MIN($AX$2:$AX$252)=0,"",(AX10-MIN($AX$2:$AX$252))/(MAX($AX$2:$AX$252)-MIN($AX$2:$AX$252))*100))</x:f>
      </x:c>
      <x:c r="AZ10">
        <x:f>IF(J10="","",LOG10(J10+1))</x:f>
      </x:c>
      <x:c r="BA10" s="10">
        <x:f>IF(AZ10="","",IF(MAX($AZ$2:$AZ$252)-MIN($AZ$2:$AZ$252)=0,"",(AZ10-MIN($AZ$2:$AZ$252))/(MAX($AZ$2:$AZ$252)-MIN($AZ$2:$AZ$252))*100))</x:f>
      </x:c>
      <x:c r="BB10">
        <x:f>IF(K10="","",LOG10(K10+1))</x:f>
      </x:c>
      <x:c r="BC10" s="10">
        <x:f>IF(BB10="","",IF(MAX($BB$2:$BB$252)-MIN($BB$2:$BB$252)=0,"",(BB10-MIN($BB$2:$BB$252))/(MAX($BB$2:$BB$252)-MIN($BB$2:$BB$252))*100))</x:f>
      </x:c>
      <x:c r="BD10">
        <x:f>IF(L10="","",LOG10(L10+1))</x:f>
      </x:c>
      <x:c r="BE10" s="10">
        <x:f>IF(BD10="","",IF(MAX($BD$2:$BD$252)-MIN($BD$2:$BD$252)=0,"",(BD10-MIN($BD$2:$BD$252))/(MAX($BD$2:$BD$252)-MIN($BD$2:$BD$252))*100))</x:f>
      </x:c>
      <x:c r="BF10" s="10">
        <x:f>IF(P10="","",IF(MAX($P$2:$P$252)-MIN($P$2:$P$252)=0,"",(P10-MIN($P$2:$P$252))/(MAX($P$2:$P$252)-MIN($P$2:$P$252))*100))</x:f>
      </x:c>
      <x:c r="BG10">
        <x:f>IF(AF10="","",LOG10(AF10+1))</x:f>
      </x:c>
      <x:c r="BH10" s="10">
        <x:f>IF(BG10="","",IF(MAX($BG$2:$BG$252)-MIN($BG$2:$BG$252)=0,"",(BG10-MIN($BG$2:$BG$252))/(MAX($BG$2:$BG$252)-MIN($BG$2:$BG$252))*100))</x:f>
      </x:c>
      <x:c r="BI10">
        <x:f>IF(AC10="","",LOG10(AC10+1))</x:f>
      </x:c>
      <x:c r="BJ10" s="10">
        <x:f>IF(BI10="","",IF(MAX($BI$2:$BI$252)-MIN($BI$2:$BI$252)=0,"",(BI10-MIN($BI$2:$BI$252))/(MAX($BI$2:$BI$252)-MIN($BI$2:$BI$252))*100))</x:f>
      </x:c>
      <x:c r="BK10">
        <x:f>IF(AD10="","",(AD10*2)+(AE10*1))</x:f>
      </x:c>
      <x:c r="BL10" s="10">
        <x:f>IF(BK10="","",IF(MAX($BK$2:$BK$252)-MIN($BK$2:$BK$252)=0,"",(BK10-MIN($BK$2:$BK$252))/(MAX($BK$2:$BK$252)-MIN($BK$2:$BK$252))*100))</x:f>
      </x:c>
      <x:c r="BM10" s="10">
        <x:f>IF(AB10="","",IF(MAX($AB$2:$AB$252)-MIN($AB$2:$AB$252)=0,"",(AB10-MIN($AB$2:$AB$252))/(MAX($AB$2:$AB$252)-MIN($AB$2:$AB$252))*100))</x:f>
      </x:c>
      <x:c r="BN10" s="10">
        <x:f>IF(X10="","",X10)</x:f>
      </x:c>
      <x:c r="BO10" s="10">
        <x:f>IF(X10="","",100-X10)</x:f>
      </x:c>
      <x:c r="BP10" s="10">
        <x:f>IF((Weights!$C$2*IF(BH10="",0,1)+Weights!$C$3*IF(BJ10="",0,1)+Weights!$C$4*IF(BL10="",0,1))=0,"",(Weights!$C$2*IF(BH10="",0,BH10)+Weights!$C$3*IF(BJ10="",0,BJ10)+Weights!$C$4*IF(BL10="",0,BL10))/(Weights!$C$2*IF(BH10="",0,1)+Weights!$C$3*IF(BJ10="",0,1)+Weights!$C$4*IF(BL10="",0,1)))</x:f>
      </x:c>
      <x:c r="BQ10" s="10">
        <x:f>IF((Weights!$C$5*IF(BA10="",0,1)+Weights!$C$6*IF(AW10="",0,1)+Weights!$C$7*IF(AU10="",0,1))=0,"",(Weights!$C$5*IF(BA10="",0,BA10)+Weights!$C$6*IF(AW10="",0,AW10)+Weights!$C$7*IF(AU10="",0,AU10))/(Weights!$C$5*IF(BA10="",0,1)+Weights!$C$6*IF(AW10="",0,1)+Weights!$C$7*IF(AU10="",0,1)))</x:f>
      </x:c>
      <x:c r="BR10" s="10">
        <x:f>IF((Weights!$C$8*IF(AW10="",0,1)+Weights!$C$9*IF(BC10="",0,1)+Weights!$C$10*IF(BF10="",0,1))=0,"",(Weights!$C$8*IF(AW10="",0,AW10)+Weights!$C$9*IF(BC10="",0,BC10)+Weights!$C$10*IF(BF10="",0,BF10))/(Weights!$C$8*IF(AW10="",0,1)+Weights!$C$9*IF(BC10="",0,1)+Weights!$C$10*IF(BF10="",0,1)))</x:f>
      </x:c>
      <x:c r="BS10" s="10">
        <x:f>IF(Y10="","",Y10)</x:f>
      </x:c>
      <x:c r="BT10" s="10">
        <x:f>IF(AS10="","",AS10)</x:f>
      </x:c>
      <x:c r="BU10" s="10">
        <x:f>IF(AJ10&lt;&gt;"",(0.6*AJ10+0.4*AU10),IF((Weights!$C$11*IF(AU10="",0,1)+Weights!$C$12*IF(BM10="",0,1))=0,"",(Weights!$C$11*IF(AU10="",0,AU10)+Weights!$C$12*IF(BM10="",0,BM10))/(Weights!$C$11*IF(AU10="",0,1)+Weights!$C$12*IF(BM10="",0,1))))</x:f>
      </x:c>
      <x:c r="BV10" s="10">
        <x:f>IF(CG10="",0,CG10)</x:f>
      </x:c>
      <x:c r="BW10" s="10">
        <x:f>IF(AP10="","",AP10)</x:f>
      </x:c>
      <x:c r="BX10" s="10">
        <x:f>IF(AO10="","",AO10)</x:f>
      </x:c>
      <x:c r="BY10" s="10">
        <x:f>IF(AL10="","",AL10)</x:f>
      </x:c>
      <x:c r="BZ10" s="10">
        <x:f>IF(AM10="","",AM10)</x:f>
      </x:c>
      <x:c r="CA10" s="10">
        <x:f>IF(AK10&lt;&gt;"",AK10,AW10)</x:f>
      </x:c>
      <x:c r="CB10" s="10">
        <x:f>IF((Weights!$C$13*IF(BP10="",0,1)+Weights!$C$14*IF(BR10="",0,1)+Weights!$C$15*IF(BQ10="",0,1)+Weights!$C$16*IF(BS10="",0,1)+Weights!$C$17*IF(BU10="",0,1)+Weights!$C$18*IF(BT10="",0,1)+Weights!$C$19*IF(BW10="",0,1)+Weights!$C$20*IF(BZ10="",0,1)+Weights!$C$21*IF(BO10="",0,1)+Weights!$C$22)=0,"",(Weights!$C$13*IF(BP10="",0,BP10)+Weights!$C$14*IF(BR10="",0,BR10)+Weights!$C$15*IF(BQ10="",0,BQ10)+Weights!$C$16*IF(BS10="",0,BS10)+Weights!$C$17*IF(BU10="",0,BU10)+Weights!$C$18*IF(BT10="",0,BT10)+Weights!$C$19*IF(BW10="",0,BW10)+Weights!$C$20*IF(BZ10="",0,BZ10)+Weights!$C$21*IF(BO10="",0,BO10)+Weights!$C$22*BV10)/(Weights!$C$13*IF(BP10="",0,1)+Weights!$C$14*IF(BR10="",0,1)+Weights!$C$15*IF(BQ10="",0,1)+Weights!$C$16*IF(BS10="",0,1)+Weights!$C$17*IF(BU10="",0,1)+Weights!$C$18*IF(BT10="",0,1)+Weights!$C$19*IF(BW10="",0,1)+Weights!$C$20*IF(BZ10="",0,1)+Weights!$C$21*IF(BO10="",0,1)+Weights!$C$22))</x:f>
      </x:c>
      <x:c r="CC10" s="10">
        <x:f>IF((Weights!$C$23*IF(BQ10="",0,1)+Weights!$C$24*IF(BN10="",0,1)+Weights!$C$25*IF(BS10="",0,1)+Weights!$C$26*IF(BY10="",0,1)+Weights!$C$27*IF(BX10="",0,1)+Weights!$C$28*IF(BT10="",0,1)+Weights!$C$29*IF(CA10="",0,1)+Weights!$C$30+Weights!$C$31*IF(BU10="",0,1))=0,"",(Weights!$C$23*IF(BQ10="",0,BQ10)+Weights!$C$24*IF(BN10="",0,BN10)+Weights!$C$25*IF(BS10="",0,BS10)+Weights!$C$26*IF(BY10="",0,BY10)+Weights!$C$27*IF(BX10="",0,BX10)+Weights!$C$28*IF(BT10="",0,BT10)+Weights!$C$29*IF(CA10="",0,CA10)+Weights!$C$30*BV10+Weights!$C$31*IF(BU10="",0,BU10))/(Weights!$C$23*IF(BQ10="",0,1)+Weights!$C$24*IF(BN10="",0,1)+Weights!$C$25*IF(BS10="",0,1)+Weights!$C$26*IF(BY10="",0,1)+Weights!$C$27*IF(BX10="",0,1)+Weights!$C$28*IF(BT10="",0,1)+Weights!$C$29*IF(CA10="",0,1)+Weights!$C$30+Weights!$C$31*IF(BU10="",0,1)))</x:f>
      </x:c>
      <x:c r="CD10" s="10">
        <x:f>IF(AND(CB10="",CC10=""),"",IF(CB10="",CC10,IF(CC10="",CB10,AVERAGE(CB10,CC10))))</x:f>
      </x:c>
      <x:c r="CE10" s="7">
        <x:f>ROUND(100*((IF(BP10&lt;&gt;"",1,0)+IF(BQ10&lt;&gt;"",1,0)+IF(BR10&lt;&gt;"",1,0)+IF(BS10&lt;&gt;"",1,0)+IF(BU10&lt;&gt;"",1,0)+IF(BT10&lt;&gt;"",1,0)+IF(BN10&lt;&gt;"",1,0)+IF(AW10&lt;&gt;"",1,0))/8),0)</x:f>
      </x:c>
      <x:c r="CF10">
        <x:f>IF(V10="","",LOG10(V10+1))</x:f>
      </x:c>
      <x:c r="CG10">
        <x:f>IF(CF10="","",IF(MAX($CF$2:$CF$252)-MIN($CF$2:$CF$252)=0,"",(CF10-MIN($CF$2:$CF$252))/(MAX($CF$2:$CF$252)-MIN($CF$2:$CF$252))*100))</x:f>
      </x:c>
    </x:row>
    <x:row r="11">
      <x:c r="A11" t="inlineStr">
        <x:is>
          <x:t xml:space="preserve">BLZ</x:t>
        </x:is>
      </x:c>
      <x:c r="B11" t="inlineStr">
        <x:is>
          <x:t xml:space="preserve">Belize</x:t>
        </x:is>
      </x:c>
      <x:c r="C11" t="inlineStr">
        <x:is>
          <x:t xml:space="preserve">Latin America &amp; Caribbean</x:t>
        </x:is>
      </x:c>
      <x:c r="D11" t="inlineStr">
        <x:is>
          <x:t xml:space="preserve">Upper middle income</x:t>
        </x:is>
      </x:c>
      <x:c r="E11" t="inlineStr">
        <x:is>
          <x:t xml:space="preserve">North America</x:t>
        </x:is>
      </x:c>
      <x:c r="F11" t="n">
        <x:v>2024</x:v>
      </x:c>
      <x:c r="G11" t="n">
        <x:v>417072</x:v>
      </x:c>
      <x:c r="H11" t="n">
        <x:v>2020</x:v>
      </x:c>
      <x:c r="I11" t="n">
        <x:v>2000</x:v>
      </x:c>
      <x:c r="J11" t="n">
        <x:v>1300</x:v>
      </x:c>
      <x:c r="K11" t="n">
        <x:v>400</x:v>
      </x:c>
      <x:c r="L11" t="n">
        <x:v>240</x:v>
      </x:c>
      <x:c r="M11" t="n">
        <x:v>2024</x:v>
      </x:c>
      <x:c r="N11" s="8" t="n">
        <x:v>30137800</x:v>
      </x:c>
      <x:c r="O11" s="9" t="n">
        <x:v>0.898885869151742</x:v>
      </x:c>
      <x:c r="P11" s="8" t="n">
        <x:v>15068.9</x:v>
      </x:c>
      <x:c r="Q11" t="n">
        <x:v>2024</x:v>
      </x:c>
      <x:c r="R11" s="8" t="n">
        <x:v>3203631800</x:v>
      </x:c>
      <x:c r="S11" t="n">
        <x:v>0</x:v>
      </x:c>
      <x:c r="T11" t="n">
        <x:v>0</x:v>
      </x:c>
      <x:c r="U11" t="inlineStr">
        <x:is>
          <x:t xml:space="preserve">No</x:t>
        </x:is>
      </x:c>
      <x:c r="W11" t="inlineStr">
        <x:is>
          <x:t xml:space="preserve">No</x:t>
        </x:is>
      </x:c>
      <x:c r="X11" t="n">
        <x:v>14.33387017569198</x:v>
      </x:c>
      <x:c r="Y11" t="n">
        <x:v>43.11853072131156</x:v>
      </x:c>
      <x:c r="Z11" t="n">
        <x:v>22045.45083136138</x:v>
      </x:c>
      <x:c r="AA11" t="n">
        <x:v>16.34559450639038</x:v>
      </x:c>
      <x:c r="AB11" s="8" t="n">
        <x:v>8569.541496228625</x:v>
      </x:c>
      <x:c r="AC11" t="n">
        <x:v>8</x:v>
      </x:c>
      <x:c r="AD11" t="n">
        <x:v>0</x:v>
      </x:c>
      <x:c r="AE11" t="n">
        <x:v>0</x:v>
      </x:c>
      <x:c r="AR11">
        <x:f>IF(G11="","",LOG10(G11+1))</x:f>
        <x:v>5.620212075891015</x:v>
      </x:c>
      <x:c r="AS11" s="10">
        <x:f>IF(AR11="","",IF(MAX($AR$2:$AR$252)-MIN($AR$2:$AR$252)=0,"",(AR11-MIN($AR$2:$AR$252))/(MAX($AR$2:$AR$252)-MIN($AR$2:$AR$252))*100))</x:f>
        <x:v>67.17311556458321</x:v>
      </x:c>
      <x:c r="AT11">
        <x:f>IF(R11="","",LOG10(R11+1))</x:f>
        <x:v>9.505642596056777</x:v>
      </x:c>
      <x:c r="AU11" s="10">
        <x:f>IF(AT11="","",IF(MAX($AT$2:$AT$252)-MIN($AT$2:$AT$252)=0,"",(AT11-MIN($AT$2:$AT$252))/(MAX($AT$2:$AT$252)-MIN($AT$2:$AT$252))*100))</x:f>
        <x:v>75.02027662769362</x:v>
      </x:c>
      <x:c r="AV11">
        <x:f>IF(N11="","",LOG10(N11+1))</x:f>
        <x:v>7.479111560904754</x:v>
      </x:c>
      <x:c r="AW11" s="10">
        <x:f>IF(AV11="","",IF(MAX($AV$2:$AV$252)-MIN($AV$2:$AV$252)=0,"",(AV11-MIN($AV$2:$AV$252))/(MAX($AV$2:$AV$252)-MIN($AV$2:$AV$252))*100))</x:f>
        <x:v>68.3227329177078</x:v>
      </x:c>
      <x:c r="AX11">
        <x:f>IF(I11="","",LOG10(I11+1))</x:f>
        <x:v>3.301247088636211</x:v>
      </x:c>
      <x:c r="AY11" s="10">
        <x:f>IF(AX11="","",IF(MAX($AX$2:$AX$252)-MIN($AX$2:$AX$252)=0,"",(AX11-MIN($AX$2:$AX$252))/(MAX($AX$2:$AX$252)-MIN($AX$2:$AX$252))*100))</x:f>
      </x:c>
      <x:c r="AZ11">
        <x:f>IF(J11="","",LOG10(J11+1))</x:f>
      </x:c>
      <x:c r="BA11" s="10">
        <x:f>IF(AZ11="","",IF(MAX($AZ$2:$AZ$252)-MIN($AZ$2:$AZ$252)=0,"",(AZ11-MIN($AZ$2:$AZ$252))/(MAX($AZ$2:$AZ$252)-MIN($AZ$2:$AZ$252))*100))</x:f>
      </x:c>
      <x:c r="BB11">
        <x:f>IF(K11="","",LOG10(K11+1))</x:f>
      </x:c>
      <x:c r="BC11" s="10">
        <x:f>IF(BB11="","",IF(MAX($BB$2:$BB$252)-MIN($BB$2:$BB$252)=0,"",(BB11-MIN($BB$2:$BB$252))/(MAX($BB$2:$BB$252)-MIN($BB$2:$BB$252))*100))</x:f>
      </x:c>
      <x:c r="BD11">
        <x:f>IF(L11="","",LOG10(L11+1))</x:f>
      </x:c>
      <x:c r="BE11" s="10">
        <x:f>IF(BD11="","",IF(MAX($BD$2:$BD$252)-MIN($BD$2:$BD$252)=0,"",(BD11-MIN($BD$2:$BD$252))/(MAX($BD$2:$BD$252)-MIN($BD$2:$BD$252))*100))</x:f>
      </x:c>
      <x:c r="BF11" s="10">
        <x:f>IF(P11="","",IF(MAX($P$2:$P$252)-MIN($P$2:$P$252)=0,"",(P11-MIN($P$2:$P$252))/(MAX($P$2:$P$252)-MIN($P$2:$P$252))*100))</x:f>
      </x:c>
      <x:c r="BG11">
        <x:f>IF(AF11="","",LOG10(AF11+1))</x:f>
      </x:c>
      <x:c r="BH11" s="10">
        <x:f>IF(BG11="","",IF(MAX($BG$2:$BG$252)-MIN($BG$2:$BG$252)=0,"",(BG11-MIN($BG$2:$BG$252))/(MAX($BG$2:$BG$252)-MIN($BG$2:$BG$252))*100))</x:f>
      </x:c>
      <x:c r="BI11">
        <x:f>IF(AC11="","",LOG10(AC11+1))</x:f>
      </x:c>
      <x:c r="BJ11" s="10">
        <x:f>IF(BI11="","",IF(MAX($BI$2:$BI$252)-MIN($BI$2:$BI$252)=0,"",(BI11-MIN($BI$2:$BI$252))/(MAX($BI$2:$BI$252)-MIN($BI$2:$BI$252))*100))</x:f>
      </x:c>
      <x:c r="BK11">
        <x:f>IF(AD11="","",(AD11*2)+(AE11*1))</x:f>
      </x:c>
      <x:c r="BL11" s="10">
        <x:f>IF(BK11="","",IF(MAX($BK$2:$BK$252)-MIN($BK$2:$BK$252)=0,"",(BK11-MIN($BK$2:$BK$252))/(MAX($BK$2:$BK$252)-MIN($BK$2:$BK$252))*100))</x:f>
      </x:c>
      <x:c r="BM11" s="10">
        <x:f>IF(AB11="","",IF(MAX($AB$2:$AB$252)-MIN($AB$2:$AB$252)=0,"",(AB11-MIN($AB$2:$AB$252))/(MAX($AB$2:$AB$252)-MIN($AB$2:$AB$252))*100))</x:f>
      </x:c>
      <x:c r="BN11" s="10">
        <x:f>IF(X11="","",X11)</x:f>
      </x:c>
      <x:c r="BO11" s="10">
        <x:f>IF(X11="","",100-X11)</x:f>
      </x:c>
      <x:c r="BP11" s="10">
        <x:f>IF((Weights!$C$2*IF(BH11="",0,1)+Weights!$C$3*IF(BJ11="",0,1)+Weights!$C$4*IF(BL11="",0,1))=0,"",(Weights!$C$2*IF(BH11="",0,BH11)+Weights!$C$3*IF(BJ11="",0,BJ11)+Weights!$C$4*IF(BL11="",0,BL11))/(Weights!$C$2*IF(BH11="",0,1)+Weights!$C$3*IF(BJ11="",0,1)+Weights!$C$4*IF(BL11="",0,1)))</x:f>
      </x:c>
      <x:c r="BQ11" s="10">
        <x:f>IF((Weights!$C$5*IF(BA11="",0,1)+Weights!$C$6*IF(AW11="",0,1)+Weights!$C$7*IF(AU11="",0,1))=0,"",(Weights!$C$5*IF(BA11="",0,BA11)+Weights!$C$6*IF(AW11="",0,AW11)+Weights!$C$7*IF(AU11="",0,AU11))/(Weights!$C$5*IF(BA11="",0,1)+Weights!$C$6*IF(AW11="",0,1)+Weights!$C$7*IF(AU11="",0,1)))</x:f>
      </x:c>
      <x:c r="BR11" s="10">
        <x:f>IF((Weights!$C$8*IF(AW11="",0,1)+Weights!$C$9*IF(BC11="",0,1)+Weights!$C$10*IF(BF11="",0,1))=0,"",(Weights!$C$8*IF(AW11="",0,AW11)+Weights!$C$9*IF(BC11="",0,BC11)+Weights!$C$10*IF(BF11="",0,BF11))/(Weights!$C$8*IF(AW11="",0,1)+Weights!$C$9*IF(BC11="",0,1)+Weights!$C$10*IF(BF11="",0,1)))</x:f>
      </x:c>
      <x:c r="BS11" s="10">
        <x:f>IF(Y11="","",Y11)</x:f>
      </x:c>
      <x:c r="BT11" s="10">
        <x:f>IF(AS11="","",AS11)</x:f>
      </x:c>
      <x:c r="BU11" s="10">
        <x:f>IF(AJ11&lt;&gt;"",(0.6*AJ11+0.4*AU11),IF((Weights!$C$11*IF(AU11="",0,1)+Weights!$C$12*IF(BM11="",0,1))=0,"",(Weights!$C$11*IF(AU11="",0,AU11)+Weights!$C$12*IF(BM11="",0,BM11))/(Weights!$C$11*IF(AU11="",0,1)+Weights!$C$12*IF(BM11="",0,1))))</x:f>
      </x:c>
      <x:c r="BV11" s="10">
        <x:f>IF(CG11="",0,CG11)</x:f>
      </x:c>
      <x:c r="BW11" s="10">
        <x:f>IF(AP11="","",AP11)</x:f>
      </x:c>
      <x:c r="BX11" s="10">
        <x:f>IF(AO11="","",AO11)</x:f>
      </x:c>
      <x:c r="BY11" s="10">
        <x:f>IF(AL11="","",AL11)</x:f>
      </x:c>
      <x:c r="BZ11" s="10">
        <x:f>IF(AM11="","",AM11)</x:f>
      </x:c>
      <x:c r="CA11" s="10">
        <x:f>IF(AK11&lt;&gt;"",AK11,AW11)</x:f>
      </x:c>
      <x:c r="CB11" s="10">
        <x:f>IF((Weights!$C$13*IF(BP11="",0,1)+Weights!$C$14*IF(BR11="",0,1)+Weights!$C$15*IF(BQ11="",0,1)+Weights!$C$16*IF(BS11="",0,1)+Weights!$C$17*IF(BU11="",0,1)+Weights!$C$18*IF(BT11="",0,1)+Weights!$C$19*IF(BW11="",0,1)+Weights!$C$20*IF(BZ11="",0,1)+Weights!$C$21*IF(BO11="",0,1)+Weights!$C$22)=0,"",(Weights!$C$13*IF(BP11="",0,BP11)+Weights!$C$14*IF(BR11="",0,BR11)+Weights!$C$15*IF(BQ11="",0,BQ11)+Weights!$C$16*IF(BS11="",0,BS11)+Weights!$C$17*IF(BU11="",0,BU11)+Weights!$C$18*IF(BT11="",0,BT11)+Weights!$C$19*IF(BW11="",0,BW11)+Weights!$C$20*IF(BZ11="",0,BZ11)+Weights!$C$21*IF(BO11="",0,BO11)+Weights!$C$22*BV11)/(Weights!$C$13*IF(BP11="",0,1)+Weights!$C$14*IF(BR11="",0,1)+Weights!$C$15*IF(BQ11="",0,1)+Weights!$C$16*IF(BS11="",0,1)+Weights!$C$17*IF(BU11="",0,1)+Weights!$C$18*IF(BT11="",0,1)+Weights!$C$19*IF(BW11="",0,1)+Weights!$C$20*IF(BZ11="",0,1)+Weights!$C$21*IF(BO11="",0,1)+Weights!$C$22))</x:f>
      </x:c>
      <x:c r="CC11" s="10">
        <x:f>IF((Weights!$C$23*IF(BQ11="",0,1)+Weights!$C$24*IF(BN11="",0,1)+Weights!$C$25*IF(BS11="",0,1)+Weights!$C$26*IF(BY11="",0,1)+Weights!$C$27*IF(BX11="",0,1)+Weights!$C$28*IF(BT11="",0,1)+Weights!$C$29*IF(CA11="",0,1)+Weights!$C$30+Weights!$C$31*IF(BU11="",0,1))=0,"",(Weights!$C$23*IF(BQ11="",0,BQ11)+Weights!$C$24*IF(BN11="",0,BN11)+Weights!$C$25*IF(BS11="",0,BS11)+Weights!$C$26*IF(BY11="",0,BY11)+Weights!$C$27*IF(BX11="",0,BX11)+Weights!$C$28*IF(BT11="",0,BT11)+Weights!$C$29*IF(CA11="",0,CA11)+Weights!$C$30*BV11+Weights!$C$31*IF(BU11="",0,BU11))/(Weights!$C$23*IF(BQ11="",0,1)+Weights!$C$24*IF(BN11="",0,1)+Weights!$C$25*IF(BS11="",0,1)+Weights!$C$26*IF(BY11="",0,1)+Weights!$C$27*IF(BX11="",0,1)+Weights!$C$28*IF(BT11="",0,1)+Weights!$C$29*IF(CA11="",0,1)+Weights!$C$30+Weights!$C$31*IF(BU11="",0,1)))</x:f>
      </x:c>
      <x:c r="CD11" s="10">
        <x:f>IF(AND(CB11="",CC11=""),"",IF(CB11="",CC11,IF(CC11="",CB11,AVERAGE(CB11,CC11))))</x:f>
      </x:c>
      <x:c r="CE11" s="7">
        <x:f>ROUND(100*((IF(BP11&lt;&gt;"",1,0)+IF(BQ11&lt;&gt;"",1,0)+IF(BR11&lt;&gt;"",1,0)+IF(BS11&lt;&gt;"",1,0)+IF(BU11&lt;&gt;"",1,0)+IF(BT11&lt;&gt;"",1,0)+IF(BN11&lt;&gt;"",1,0)+IF(AW11&lt;&gt;"",1,0))/8),0)</x:f>
      </x:c>
      <x:c r="CF11">
        <x:f>IF(V11="","",LOG10(V11+1))</x:f>
      </x:c>
      <x:c r="CG11">
        <x:f>IF(CF11="","",IF(MAX($CF$2:$CF$252)-MIN($CF$2:$CF$252)=0,"",(CF11-MIN($CF$2:$CF$252))/(MAX($CF$2:$CF$252)-MIN($CF$2:$CF$252))*100))</x:f>
      </x:c>
    </x:row>
    <x:row r="12">
      <x:c r="A12" t="inlineStr">
        <x:is>
          <x:t xml:space="preserve">BMU</x:t>
        </x:is>
      </x:c>
      <x:c r="B12" t="inlineStr">
        <x:is>
          <x:t xml:space="preserve">Bermuda</x:t>
        </x:is>
      </x:c>
      <x:c r="C12" t="inlineStr">
        <x:is>
          <x:t xml:space="preserve">North America</x:t>
        </x:is>
      </x:c>
      <x:c r="D12" t="inlineStr">
        <x:is>
          <x:t xml:space="preserve">High income</x:t>
        </x:is>
      </x:c>
      <x:c r="F12" t="n">
        <x:v>2024</x:v>
      </x:c>
      <x:c r="G12" t="n">
        <x:v>64636</x:v>
      </x:c>
      <x:c r="N12" s="8" t="n"/>
      <x:c r="O12" s="9" t="n"/>
      <x:c r="P12" s="8" t="n"/>
      <x:c r="Q12" t="n">
        <x:v>2024</x:v>
      </x:c>
      <x:c r="R12" s="8" t="n">
        <x:v>9233600000</x:v>
      </x:c>
      <x:c r="S12" t="n">
        <x:v>0</x:v>
      </x:c>
      <x:c r="T12" t="n">
        <x:v>0</x:v>
      </x:c>
      <x:c r="U12" t="inlineStr">
        <x:is>
          <x:t xml:space="preserve">No</x:t>
        </x:is>
      </x:c>
      <x:c r="W12" t="inlineStr">
        <x:is>
          <x:t xml:space="preserve">No</x:t>
        </x:is>
      </x:c>
      <x:c r="AB12" s="8" t="n"/>
      <x:c r="AR12">
        <x:f>IF(G12="","",LOG10(G12+1))</x:f>
        <x:v>4.810481191304886</x:v>
      </x:c>
      <x:c r="AS12" s="10">
        <x:f>IF(AR12="","",IF(MAX($AR$2:$AR$252)-MIN($AR$2:$AR$252)=0,"",(AR12-MIN($AR$2:$AR$252))/(MAX($AR$2:$AR$252)-MIN($AR$2:$AR$252))*100))</x:f>
        <x:v>57.495162926489385</x:v>
      </x:c>
      <x:c r="AT12">
        <x:f>IF(R12="","",LOG10(R12+1))</x:f>
        <x:v>9.96537105701162</x:v>
      </x:c>
      <x:c r="AU12" s="10">
        <x:f>IF(AT12="","",IF(MAX($AT$2:$AT$252)-MIN($AT$2:$AT$252)=0,"",(AT12-MIN($AT$2:$AT$252))/(MAX($AT$2:$AT$252)-MIN($AT$2:$AT$252))*100))</x:f>
        <x:v>78.64853804883764</x:v>
      </x:c>
      <x:c r="AV12">
        <x:f>IF(N12="","",LOG10(N12+1))</x:f>
      </x:c>
      <x:c r="AW12" s="10">
        <x:f>IF(AV12="","",IF(MAX($AV$2:$AV$252)-MIN($AV$2:$AV$252)=0,"",(AV12-MIN($AV$2:$AV$252))/(MAX($AV$2:$AV$252)-MIN($AV$2:$AV$252))*100))</x:f>
      </x:c>
      <x:c r="AX12">
        <x:f>IF(I12="","",LOG10(I12+1))</x:f>
      </x:c>
      <x:c r="AY12" s="10">
        <x:f>IF(AX12="","",IF(MAX($AX$2:$AX$252)-MIN($AX$2:$AX$252)=0,"",(AX12-MIN($AX$2:$AX$252))/(MAX($AX$2:$AX$252)-MIN($AX$2:$AX$252))*100))</x:f>
      </x:c>
      <x:c r="AZ12">
        <x:f>IF(J12="","",LOG10(J12+1))</x:f>
      </x:c>
      <x:c r="BA12" s="10">
        <x:f>IF(AZ12="","",IF(MAX($AZ$2:$AZ$252)-MIN($AZ$2:$AZ$252)=0,"",(AZ12-MIN($AZ$2:$AZ$252))/(MAX($AZ$2:$AZ$252)-MIN($AZ$2:$AZ$252))*100))</x:f>
      </x:c>
      <x:c r="BB12">
        <x:f>IF(K12="","",LOG10(K12+1))</x:f>
      </x:c>
      <x:c r="BC12" s="10">
        <x:f>IF(BB12="","",IF(MAX($BB$2:$BB$252)-MIN($BB$2:$BB$252)=0,"",(BB12-MIN($BB$2:$BB$252))/(MAX($BB$2:$BB$252)-MIN($BB$2:$BB$252))*100))</x:f>
      </x:c>
      <x:c r="BD12">
        <x:f>IF(L12="","",LOG10(L12+1))</x:f>
      </x:c>
      <x:c r="BE12" s="10">
        <x:f>IF(BD12="","",IF(MAX($BD$2:$BD$252)-MIN($BD$2:$BD$252)=0,"",(BD12-MIN($BD$2:$BD$252))/(MAX($BD$2:$BD$252)-MIN($BD$2:$BD$252))*100))</x:f>
      </x:c>
      <x:c r="BF12" s="10">
        <x:f>IF(P12="","",IF(MAX($P$2:$P$252)-MIN($P$2:$P$252)=0,"",(P12-MIN($P$2:$P$252))/(MAX($P$2:$P$252)-MIN($P$2:$P$252))*100))</x:f>
      </x:c>
      <x:c r="BG12">
        <x:f>IF(AF12="","",LOG10(AF12+1))</x:f>
      </x:c>
      <x:c r="BH12" s="10">
        <x:f>IF(BG12="","",IF(MAX($BG$2:$BG$252)-MIN($BG$2:$BG$252)=0,"",(BG12-MIN($BG$2:$BG$252))/(MAX($BG$2:$BG$252)-MIN($BG$2:$BG$252))*100))</x:f>
      </x:c>
      <x:c r="BI12">
        <x:f>IF(AC12="","",LOG10(AC12+1))</x:f>
      </x:c>
      <x:c r="BJ12" s="10">
        <x:f>IF(BI12="","",IF(MAX($BI$2:$BI$252)-MIN($BI$2:$BI$252)=0,"",(BI12-MIN($BI$2:$BI$252))/(MAX($BI$2:$BI$252)-MIN($BI$2:$BI$252))*100))</x:f>
      </x:c>
      <x:c r="BK12">
        <x:f>IF(AD12="","",(AD12*2)+(AE12*1))</x:f>
      </x:c>
      <x:c r="BL12" s="10">
        <x:f>IF(BK12="","",IF(MAX($BK$2:$BK$252)-MIN($BK$2:$BK$252)=0,"",(BK12-MIN($BK$2:$BK$252))/(MAX($BK$2:$BK$252)-MIN($BK$2:$BK$252))*100))</x:f>
      </x:c>
      <x:c r="BM12" s="10">
        <x:f>IF(AB12="","",IF(MAX($AB$2:$AB$252)-MIN($AB$2:$AB$252)=0,"",(AB12-MIN($AB$2:$AB$252))/(MAX($AB$2:$AB$252)-MIN($AB$2:$AB$252))*100))</x:f>
      </x:c>
      <x:c r="BN12" s="10">
        <x:f>IF(X12="","",X12)</x:f>
      </x:c>
      <x:c r="BO12" s="10">
        <x:f>IF(X12="","",100-X12)</x:f>
      </x:c>
      <x:c r="BP12" s="10">
        <x:f>IF((Weights!$C$2*IF(BH12="",0,1)+Weights!$C$3*IF(BJ12="",0,1)+Weights!$C$4*IF(BL12="",0,1))=0,"",(Weights!$C$2*IF(BH12="",0,BH12)+Weights!$C$3*IF(BJ12="",0,BJ12)+Weights!$C$4*IF(BL12="",0,BL12))/(Weights!$C$2*IF(BH12="",0,1)+Weights!$C$3*IF(BJ12="",0,1)+Weights!$C$4*IF(BL12="",0,1)))</x:f>
      </x:c>
      <x:c r="BQ12" s="10">
        <x:f>IF((Weights!$C$5*IF(BA12="",0,1)+Weights!$C$6*IF(AW12="",0,1)+Weights!$C$7*IF(AU12="",0,1))=0,"",(Weights!$C$5*IF(BA12="",0,BA12)+Weights!$C$6*IF(AW12="",0,AW12)+Weights!$C$7*IF(AU12="",0,AU12))/(Weights!$C$5*IF(BA12="",0,1)+Weights!$C$6*IF(AW12="",0,1)+Weights!$C$7*IF(AU12="",0,1)))</x:f>
      </x:c>
      <x:c r="BR12" s="10">
        <x:f>IF((Weights!$C$8*IF(AW12="",0,1)+Weights!$C$9*IF(BC12="",0,1)+Weights!$C$10*IF(BF12="",0,1))=0,"",(Weights!$C$8*IF(AW12="",0,AW12)+Weights!$C$9*IF(BC12="",0,BC12)+Weights!$C$10*IF(BF12="",0,BF12))/(Weights!$C$8*IF(AW12="",0,1)+Weights!$C$9*IF(BC12="",0,1)+Weights!$C$10*IF(BF12="",0,1)))</x:f>
      </x:c>
      <x:c r="BS12" s="10">
        <x:f>IF(Y12="","",Y12)</x:f>
      </x:c>
      <x:c r="BT12" s="10">
        <x:f>IF(AS12="","",AS12)</x:f>
      </x:c>
      <x:c r="BU12" s="10">
        <x:f>IF(AJ12&lt;&gt;"",(0.6*AJ12+0.4*AU12),IF((Weights!$C$11*IF(AU12="",0,1)+Weights!$C$12*IF(BM12="",0,1))=0,"",(Weights!$C$11*IF(AU12="",0,AU12)+Weights!$C$12*IF(BM12="",0,BM12))/(Weights!$C$11*IF(AU12="",0,1)+Weights!$C$12*IF(BM12="",0,1))))</x:f>
      </x:c>
      <x:c r="BV12" s="10">
        <x:f>IF(CG12="",0,CG12)</x:f>
      </x:c>
      <x:c r="BW12" s="10">
        <x:f>IF(AP12="","",AP12)</x:f>
      </x:c>
      <x:c r="BX12" s="10">
        <x:f>IF(AO12="","",AO12)</x:f>
      </x:c>
      <x:c r="BY12" s="10">
        <x:f>IF(AL12="","",AL12)</x:f>
      </x:c>
      <x:c r="BZ12" s="10">
        <x:f>IF(AM12="","",AM12)</x:f>
      </x:c>
      <x:c r="CA12" s="10">
        <x:f>IF(AK12&lt;&gt;"",AK12,AW12)</x:f>
      </x:c>
      <x:c r="CB12" s="10">
        <x:f>IF((Weights!$C$13*IF(BP12="",0,1)+Weights!$C$14*IF(BR12="",0,1)+Weights!$C$15*IF(BQ12="",0,1)+Weights!$C$16*IF(BS12="",0,1)+Weights!$C$17*IF(BU12="",0,1)+Weights!$C$18*IF(BT12="",0,1)+Weights!$C$19*IF(BW12="",0,1)+Weights!$C$20*IF(BZ12="",0,1)+Weights!$C$21*IF(BO12="",0,1)+Weights!$C$22)=0,"",(Weights!$C$13*IF(BP12="",0,BP12)+Weights!$C$14*IF(BR12="",0,BR12)+Weights!$C$15*IF(BQ12="",0,BQ12)+Weights!$C$16*IF(BS12="",0,BS12)+Weights!$C$17*IF(BU12="",0,BU12)+Weights!$C$18*IF(BT12="",0,BT12)+Weights!$C$19*IF(BW12="",0,BW12)+Weights!$C$20*IF(BZ12="",0,BZ12)+Weights!$C$21*IF(BO12="",0,BO12)+Weights!$C$22*BV12)/(Weights!$C$13*IF(BP12="",0,1)+Weights!$C$14*IF(BR12="",0,1)+Weights!$C$15*IF(BQ12="",0,1)+Weights!$C$16*IF(BS12="",0,1)+Weights!$C$17*IF(BU12="",0,1)+Weights!$C$18*IF(BT12="",0,1)+Weights!$C$19*IF(BW12="",0,1)+Weights!$C$20*IF(BZ12="",0,1)+Weights!$C$21*IF(BO12="",0,1)+Weights!$C$22))</x:f>
      </x:c>
      <x:c r="CC12" s="10">
        <x:f>IF((Weights!$C$23*IF(BQ12="",0,1)+Weights!$C$24*IF(BN12="",0,1)+Weights!$C$25*IF(BS12="",0,1)+Weights!$C$26*IF(BY12="",0,1)+Weights!$C$27*IF(BX12="",0,1)+Weights!$C$28*IF(BT12="",0,1)+Weights!$C$29*IF(CA12="",0,1)+Weights!$C$30+Weights!$C$31*IF(BU12="",0,1))=0,"",(Weights!$C$23*IF(BQ12="",0,BQ12)+Weights!$C$24*IF(BN12="",0,BN12)+Weights!$C$25*IF(BS12="",0,BS12)+Weights!$C$26*IF(BY12="",0,BY12)+Weights!$C$27*IF(BX12="",0,BX12)+Weights!$C$28*IF(BT12="",0,BT12)+Weights!$C$29*IF(CA12="",0,CA12)+Weights!$C$30*BV12+Weights!$C$31*IF(BU12="",0,BU12))/(Weights!$C$23*IF(BQ12="",0,1)+Weights!$C$24*IF(BN12="",0,1)+Weights!$C$25*IF(BS12="",0,1)+Weights!$C$26*IF(BY12="",0,1)+Weights!$C$27*IF(BX12="",0,1)+Weights!$C$28*IF(BT12="",0,1)+Weights!$C$29*IF(CA12="",0,1)+Weights!$C$30+Weights!$C$31*IF(BU12="",0,1)))</x:f>
      </x:c>
      <x:c r="CD12" s="10">
        <x:f>IF(AND(CB12="",CC12=""),"",IF(CB12="",CC12,IF(CC12="",CB12,AVERAGE(CB12,CC12))))</x:f>
      </x:c>
      <x:c r="CE12" s="7">
        <x:f>ROUND(100*((IF(BP12&lt;&gt;"",1,0)+IF(BQ12&lt;&gt;"",1,0)+IF(BR12&lt;&gt;"",1,0)+IF(BS12&lt;&gt;"",1,0)+IF(BU12&lt;&gt;"",1,0)+IF(BT12&lt;&gt;"",1,0)+IF(BN12&lt;&gt;"",1,0)+IF(AW12&lt;&gt;"",1,0))/8),0)</x:f>
      </x:c>
      <x:c r="CF12">
        <x:f>IF(V12="","",LOG10(V12+1))</x:f>
      </x:c>
      <x:c r="CG12">
        <x:f>IF(CF12="","",IF(MAX($CF$2:$CF$252)-MIN($CF$2:$CF$252)=0,"",(CF12-MIN($CF$2:$CF$252))/(MAX($CF$2:$CF$252)-MIN($CF$2:$CF$252))*100))</x:f>
      </x:c>
    </x:row>
    <x:row r="13">
      <x:c r="A13" t="inlineStr">
        <x:is>
          <x:t xml:space="preserve">BOL</x:t>
        </x:is>
      </x:c>
      <x:c r="B13" t="inlineStr">
        <x:is>
          <x:t xml:space="preserve">Bolivia</x:t>
        </x:is>
      </x:c>
      <x:c r="C13" t="inlineStr">
        <x:is>
          <x:t xml:space="preserve">Latin America &amp; Caribbean</x:t>
        </x:is>
      </x:c>
      <x:c r="D13" t="inlineStr">
        <x:is>
          <x:t xml:space="preserve">Lower middle income</x:t>
        </x:is>
      </x:c>
      <x:c r="E13" t="inlineStr">
        <x:is>
          <x:t xml:space="preserve">South America</x:t>
        </x:is>
      </x:c>
      <x:c r="F13" t="n">
        <x:v>2024</x:v>
      </x:c>
      <x:c r="G13" t="n">
        <x:v>12413315</x:v>
      </x:c>
      <x:c r="H13" t="n">
        <x:v>2020</x:v>
      </x:c>
      <x:c r="I13" t="n">
        <x:v>71000</x:v>
      </x:c>
      <x:c r="J13" t="n">
        <x:v>46150</x:v>
      </x:c>
      <x:c r="K13" t="n">
        <x:v>14200</x:v>
      </x:c>
      <x:c r="L13" t="n">
        <x:v>8520</x:v>
      </x:c>
      <x:c r="M13" t="n">
        <x:v>2024</x:v>
      </x:c>
      <x:c r="N13" s="8" t="n">
        <x:v>655130126.3654881</x:v>
      </x:c>
      <x:c r="O13" s="9" t="n">
        <x:v>1.37066364312669</x:v>
      </x:c>
      <x:c r="P13" s="8" t="n">
        <x:v>9227.184878387156</x:v>
      </x:c>
      <x:c r="Q13" t="n">
        <x:v>2024</x:v>
      </x:c>
      <x:c r="R13" s="8" t="n">
        <x:v>54881327452.9667</x:v>
      </x:c>
      <x:c r="S13" t="n">
        <x:v>1</x:v>
      </x:c>
      <x:c r="T13" t="n">
        <x:v>0</x:v>
      </x:c>
      <x:c r="U13" t="inlineStr">
        <x:is>
          <x:t xml:space="preserve">No</x:t>
        </x:is>
      </x:c>
      <x:c r="W13" t="inlineStr">
        <x:is>
          <x:t xml:space="preserve">No</x:t>
        </x:is>
      </x:c>
      <x:c r="X13" t="n">
        <x:v>14.53872264215452</x:v>
      </x:c>
      <x:c r="Y13" t="n">
        <x:v>37.51774243031416</x:v>
      </x:c>
      <x:c r="Z13" t="n">
        <x:v>1085269.595591359</x:v>
      </x:c>
      <x:c r="AA13" t="n">
        <x:v>10.26310332957482</x:v>
      </x:c>
      <x:c r="AB13" s="8" t="n">
        <x:v>7034.328781384913</x:v>
      </x:c>
      <x:c r="AC13" t="n">
        <x:v>173</x:v>
      </x:c>
      <x:c r="AD13" t="n">
        <x:v>0</x:v>
      </x:c>
      <x:c r="AE13" t="n">
        <x:v>0</x:v>
      </x:c>
      <x:c r="AR13">
        <x:f>IF(G13="","",LOG10(G13+1))</x:f>
        <x:v>7.093887811162982</x:v>
      </x:c>
      <x:c r="AS13" s="10">
        <x:f>IF(AR13="","",IF(MAX($AR$2:$AR$252)-MIN($AR$2:$AR$252)=0,"",(AR13-MIN($AR$2:$AR$252))/(MAX($AR$2:$AR$252)-MIN($AR$2:$AR$252))*100))</x:f>
        <x:v>84.78657732251021</x:v>
      </x:c>
      <x:c r="AT13">
        <x:f>IF(R13="","",LOG10(R13+1))</x:f>
        <x:v>10.739424607417362</x:v>
      </x:c>
      <x:c r="AU13" s="10">
        <x:f>IF(AT13="","",IF(MAX($AT$2:$AT$252)-MIN($AT$2:$AT$252)=0,"",(AT13-MIN($AT$2:$AT$252))/(MAX($AT$2:$AT$252)-MIN($AT$2:$AT$252))*100))</x:f>
        <x:v>84.75751078679606</x:v>
      </x:c>
      <x:c r="AV13">
        <x:f>IF(N13="","",LOG10(N13+1))</x:f>
        <x:v>8.816327571722782</x:v>
      </x:c>
      <x:c r="AW13" s="10">
        <x:f>IF(AV13="","",IF(MAX($AV$2:$AV$252)-MIN($AV$2:$AV$252)=0,"",(AV13-MIN($AV$2:$AV$252))/(MAX($AV$2:$AV$252)-MIN($AV$2:$AV$252))*100))</x:f>
        <x:v>80.53838869666112</x:v>
      </x:c>
      <x:c r="AX13">
        <x:f>IF(I13="","",LOG10(I13+1))</x:f>
        <x:v>4.851264465499687</x:v>
      </x:c>
      <x:c r="AY13" s="10">
        <x:f>IF(AX13="","",IF(MAX($AX$2:$AX$252)-MIN($AX$2:$AX$252)=0,"",(AX13-MIN($AX$2:$AX$252))/(MAX($AX$2:$AX$252)-MIN($AX$2:$AX$252))*100))</x:f>
      </x:c>
      <x:c r="AZ13">
        <x:f>IF(J13="","",LOG10(J13+1))</x:f>
      </x:c>
      <x:c r="BA13" s="10">
        <x:f>IF(AZ13="","",IF(MAX($AZ$2:$AZ$252)-MIN($AZ$2:$AZ$252)=0,"",(AZ13-MIN($AZ$2:$AZ$252))/(MAX($AZ$2:$AZ$252)-MIN($AZ$2:$AZ$252))*100))</x:f>
      </x:c>
      <x:c r="BB13">
        <x:f>IF(K13="","",LOG10(K13+1))</x:f>
      </x:c>
      <x:c r="BC13" s="10">
        <x:f>IF(BB13="","",IF(MAX($BB$2:$BB$252)-MIN($BB$2:$BB$252)=0,"",(BB13-MIN($BB$2:$BB$252))/(MAX($BB$2:$BB$252)-MIN($BB$2:$BB$252))*100))</x:f>
      </x:c>
      <x:c r="BD13">
        <x:f>IF(L13="","",LOG10(L13+1))</x:f>
      </x:c>
      <x:c r="BE13" s="10">
        <x:f>IF(BD13="","",IF(MAX($BD$2:$BD$252)-MIN($BD$2:$BD$252)=0,"",(BD13-MIN($BD$2:$BD$252))/(MAX($BD$2:$BD$252)-MIN($BD$2:$BD$252))*100))</x:f>
      </x:c>
      <x:c r="BF13" s="10">
        <x:f>IF(P13="","",IF(MAX($P$2:$P$252)-MIN($P$2:$P$252)=0,"",(P13-MIN($P$2:$P$252))/(MAX($P$2:$P$252)-MIN($P$2:$P$252))*100))</x:f>
      </x:c>
      <x:c r="BG13">
        <x:f>IF(AF13="","",LOG10(AF13+1))</x:f>
      </x:c>
      <x:c r="BH13" s="10">
        <x:f>IF(BG13="","",IF(MAX($BG$2:$BG$252)-MIN($BG$2:$BG$252)=0,"",(BG13-MIN($BG$2:$BG$252))/(MAX($BG$2:$BG$252)-MIN($BG$2:$BG$252))*100))</x:f>
      </x:c>
      <x:c r="BI13">
        <x:f>IF(AC13="","",LOG10(AC13+1))</x:f>
      </x:c>
      <x:c r="BJ13" s="10">
        <x:f>IF(BI13="","",IF(MAX($BI$2:$BI$252)-MIN($BI$2:$BI$252)=0,"",(BI13-MIN($BI$2:$BI$252))/(MAX($BI$2:$BI$252)-MIN($BI$2:$BI$252))*100))</x:f>
      </x:c>
      <x:c r="BK13">
        <x:f>IF(AD13="","",(AD13*2)+(AE13*1))</x:f>
      </x:c>
      <x:c r="BL13" s="10">
        <x:f>IF(BK13="","",IF(MAX($BK$2:$BK$252)-MIN($BK$2:$BK$252)=0,"",(BK13-MIN($BK$2:$BK$252))/(MAX($BK$2:$BK$252)-MIN($BK$2:$BK$252))*100))</x:f>
      </x:c>
      <x:c r="BM13" s="10">
        <x:f>IF(AB13="","",IF(MAX($AB$2:$AB$252)-MIN($AB$2:$AB$252)=0,"",(AB13-MIN($AB$2:$AB$252))/(MAX($AB$2:$AB$252)-MIN($AB$2:$AB$252))*100))</x:f>
      </x:c>
      <x:c r="BN13" s="10">
        <x:f>IF(X13="","",X13)</x:f>
      </x:c>
      <x:c r="BO13" s="10">
        <x:f>IF(X13="","",100-X13)</x:f>
      </x:c>
      <x:c r="BP13" s="10">
        <x:f>IF((Weights!$C$2*IF(BH13="",0,1)+Weights!$C$3*IF(BJ13="",0,1)+Weights!$C$4*IF(BL13="",0,1))=0,"",(Weights!$C$2*IF(BH13="",0,BH13)+Weights!$C$3*IF(BJ13="",0,BJ13)+Weights!$C$4*IF(BL13="",0,BL13))/(Weights!$C$2*IF(BH13="",0,1)+Weights!$C$3*IF(BJ13="",0,1)+Weights!$C$4*IF(BL13="",0,1)))</x:f>
      </x:c>
      <x:c r="BQ13" s="10">
        <x:f>IF((Weights!$C$5*IF(BA13="",0,1)+Weights!$C$6*IF(AW13="",0,1)+Weights!$C$7*IF(AU13="",0,1))=0,"",(Weights!$C$5*IF(BA13="",0,BA13)+Weights!$C$6*IF(AW13="",0,AW13)+Weights!$C$7*IF(AU13="",0,AU13))/(Weights!$C$5*IF(BA13="",0,1)+Weights!$C$6*IF(AW13="",0,1)+Weights!$C$7*IF(AU13="",0,1)))</x:f>
      </x:c>
      <x:c r="BR13" s="10">
        <x:f>IF((Weights!$C$8*IF(AW13="",0,1)+Weights!$C$9*IF(BC13="",0,1)+Weights!$C$10*IF(BF13="",0,1))=0,"",(Weights!$C$8*IF(AW13="",0,AW13)+Weights!$C$9*IF(BC13="",0,BC13)+Weights!$C$10*IF(BF13="",0,BF13))/(Weights!$C$8*IF(AW13="",0,1)+Weights!$C$9*IF(BC13="",0,1)+Weights!$C$10*IF(BF13="",0,1)))</x:f>
      </x:c>
      <x:c r="BS13" s="10">
        <x:f>IF(Y13="","",Y13)</x:f>
      </x:c>
      <x:c r="BT13" s="10">
        <x:f>IF(AS13="","",AS13)</x:f>
      </x:c>
      <x:c r="BU13" s="10">
        <x:f>IF(AJ13&lt;&gt;"",(0.6*AJ13+0.4*AU13),IF((Weights!$C$11*IF(AU13="",0,1)+Weights!$C$12*IF(BM13="",0,1))=0,"",(Weights!$C$11*IF(AU13="",0,AU13)+Weights!$C$12*IF(BM13="",0,BM13))/(Weights!$C$11*IF(AU13="",0,1)+Weights!$C$12*IF(BM13="",0,1))))</x:f>
      </x:c>
      <x:c r="BV13" s="10">
        <x:f>IF(CG13="",0,CG13)</x:f>
      </x:c>
      <x:c r="BW13" s="10">
        <x:f>IF(AP13="","",AP13)</x:f>
      </x:c>
      <x:c r="BX13" s="10">
        <x:f>IF(AO13="","",AO13)</x:f>
      </x:c>
      <x:c r="BY13" s="10">
        <x:f>IF(AL13="","",AL13)</x:f>
      </x:c>
      <x:c r="BZ13" s="10">
        <x:f>IF(AM13="","",AM13)</x:f>
      </x:c>
      <x:c r="CA13" s="10">
        <x:f>IF(AK13&lt;&gt;"",AK13,AW13)</x:f>
      </x:c>
      <x:c r="CB13" s="10">
        <x:f>IF((Weights!$C$13*IF(BP13="",0,1)+Weights!$C$14*IF(BR13="",0,1)+Weights!$C$15*IF(BQ13="",0,1)+Weights!$C$16*IF(BS13="",0,1)+Weights!$C$17*IF(BU13="",0,1)+Weights!$C$18*IF(BT13="",0,1)+Weights!$C$19*IF(BW13="",0,1)+Weights!$C$20*IF(BZ13="",0,1)+Weights!$C$21*IF(BO13="",0,1)+Weights!$C$22)=0,"",(Weights!$C$13*IF(BP13="",0,BP13)+Weights!$C$14*IF(BR13="",0,BR13)+Weights!$C$15*IF(BQ13="",0,BQ13)+Weights!$C$16*IF(BS13="",0,BS13)+Weights!$C$17*IF(BU13="",0,BU13)+Weights!$C$18*IF(BT13="",0,BT13)+Weights!$C$19*IF(BW13="",0,BW13)+Weights!$C$20*IF(BZ13="",0,BZ13)+Weights!$C$21*IF(BO13="",0,BO13)+Weights!$C$22*BV13)/(Weights!$C$13*IF(BP13="",0,1)+Weights!$C$14*IF(BR13="",0,1)+Weights!$C$15*IF(BQ13="",0,1)+Weights!$C$16*IF(BS13="",0,1)+Weights!$C$17*IF(BU13="",0,1)+Weights!$C$18*IF(BT13="",0,1)+Weights!$C$19*IF(BW13="",0,1)+Weights!$C$20*IF(BZ13="",0,1)+Weights!$C$21*IF(BO13="",0,1)+Weights!$C$22))</x:f>
      </x:c>
      <x:c r="CC13" s="10">
        <x:f>IF((Weights!$C$23*IF(BQ13="",0,1)+Weights!$C$24*IF(BN13="",0,1)+Weights!$C$25*IF(BS13="",0,1)+Weights!$C$26*IF(BY13="",0,1)+Weights!$C$27*IF(BX13="",0,1)+Weights!$C$28*IF(BT13="",0,1)+Weights!$C$29*IF(CA13="",0,1)+Weights!$C$30+Weights!$C$31*IF(BU13="",0,1))=0,"",(Weights!$C$23*IF(BQ13="",0,BQ13)+Weights!$C$24*IF(BN13="",0,BN13)+Weights!$C$25*IF(BS13="",0,BS13)+Weights!$C$26*IF(BY13="",0,BY13)+Weights!$C$27*IF(BX13="",0,BX13)+Weights!$C$28*IF(BT13="",0,BT13)+Weights!$C$29*IF(CA13="",0,CA13)+Weights!$C$30*BV13+Weights!$C$31*IF(BU13="",0,BU13))/(Weights!$C$23*IF(BQ13="",0,1)+Weights!$C$24*IF(BN13="",0,1)+Weights!$C$25*IF(BS13="",0,1)+Weights!$C$26*IF(BY13="",0,1)+Weights!$C$27*IF(BX13="",0,1)+Weights!$C$28*IF(BT13="",0,1)+Weights!$C$29*IF(CA13="",0,1)+Weights!$C$30+Weights!$C$31*IF(BU13="",0,1)))</x:f>
      </x:c>
      <x:c r="CD13" s="10">
        <x:f>IF(AND(CB13="",CC13=""),"",IF(CB13="",CC13,IF(CC13="",CB13,AVERAGE(CB13,CC13))))</x:f>
      </x:c>
      <x:c r="CE13" s="7">
        <x:f>ROUND(100*((IF(BP13&lt;&gt;"",1,0)+IF(BQ13&lt;&gt;"",1,0)+IF(BR13&lt;&gt;"",1,0)+IF(BS13&lt;&gt;"",1,0)+IF(BU13&lt;&gt;"",1,0)+IF(BT13&lt;&gt;"",1,0)+IF(BN13&lt;&gt;"",1,0)+IF(AW13&lt;&gt;"",1,0))/8),0)</x:f>
      </x:c>
      <x:c r="CF13">
        <x:f>IF(V13="","",LOG10(V13+1))</x:f>
      </x:c>
      <x:c r="CG13">
        <x:f>IF(CF13="","",IF(MAX($CF$2:$CF$252)-MIN($CF$2:$CF$252)=0,"",(CF13-MIN($CF$2:$CF$252))/(MAX($CF$2:$CF$252)-MIN($CF$2:$CF$252))*100))</x:f>
      </x:c>
    </x:row>
    <x:row r="14">
      <x:c r="A14" t="inlineStr">
        <x:is>
          <x:t xml:space="preserve">BES</x:t>
        </x:is>
      </x:c>
      <x:c r="B14" t="inlineStr">
        <x:is>
          <x:t xml:space="preserve">Bonaire, Sint Eustatius and Saba</x:t>
        </x:is>
      </x:c>
      <x:c r="N14" s="8" t="n"/>
      <x:c r="O14" s="9" t="n"/>
      <x:c r="P14" s="8" t="n"/>
      <x:c r="R14" s="8" t="n"/>
      <x:c r="AB14" s="8" t="n"/>
      <x:c r="AR14">
        <x:f>IF(G14="","",LOG10(G14+1))</x:f>
      </x:c>
      <x:c r="AS14" s="10">
        <x:f>IF(AR14="","",IF(MAX($AR$2:$AR$252)-MIN($AR$2:$AR$252)=0,"",(AR14-MIN($AR$2:$AR$252))/(MAX($AR$2:$AR$252)-MIN($AR$2:$AR$252))*100))</x:f>
      </x:c>
      <x:c r="AT14">
        <x:f>IF(R14="","",LOG10(R14+1))</x:f>
      </x:c>
      <x:c r="AU14" s="10">
        <x:f>IF(AT14="","",IF(MAX($AT$2:$AT$252)-MIN($AT$2:$AT$252)=0,"",(AT14-MIN($AT$2:$AT$252))/(MAX($AT$2:$AT$252)-MIN($AT$2:$AT$252))*100))</x:f>
      </x:c>
      <x:c r="AV14">
        <x:f>IF(N14="","",LOG10(N14+1))</x:f>
      </x:c>
      <x:c r="AW14" s="10">
        <x:f>IF(AV14="","",IF(MAX($AV$2:$AV$252)-MIN($AV$2:$AV$252)=0,"",(AV14-MIN($AV$2:$AV$252))/(MAX($AV$2:$AV$252)-MIN($AV$2:$AV$252))*100))</x:f>
      </x:c>
      <x:c r="AX14">
        <x:f>IF(I14="","",LOG10(I14+1))</x:f>
      </x:c>
      <x:c r="AY14" s="10">
        <x:f>IF(AX14="","",IF(MAX($AX$2:$AX$252)-MIN($AX$2:$AX$252)=0,"",(AX14-MIN($AX$2:$AX$252))/(MAX($AX$2:$AX$252)-MIN($AX$2:$AX$252))*100))</x:f>
      </x:c>
      <x:c r="AZ14">
        <x:f>IF(J14="","",LOG10(J14+1))</x:f>
      </x:c>
      <x:c r="BA14" s="10">
        <x:f>IF(AZ14="","",IF(MAX($AZ$2:$AZ$252)-MIN($AZ$2:$AZ$252)=0,"",(AZ14-MIN($AZ$2:$AZ$252))/(MAX($AZ$2:$AZ$252)-MIN($AZ$2:$AZ$252))*100))</x:f>
      </x:c>
      <x:c r="BB14">
        <x:f>IF(K14="","",LOG10(K14+1))</x:f>
      </x:c>
      <x:c r="BC14" s="10">
        <x:f>IF(BB14="","",IF(MAX($BB$2:$BB$252)-MIN($BB$2:$BB$252)=0,"",(BB14-MIN($BB$2:$BB$252))/(MAX($BB$2:$BB$252)-MIN($BB$2:$BB$252))*100))</x:f>
      </x:c>
      <x:c r="BD14">
        <x:f>IF(L14="","",LOG10(L14+1))</x:f>
      </x:c>
      <x:c r="BE14" s="10">
        <x:f>IF(BD14="","",IF(MAX($BD$2:$BD$252)-MIN($BD$2:$BD$252)=0,"",(BD14-MIN($BD$2:$BD$252))/(MAX($BD$2:$BD$252)-MIN($BD$2:$BD$252))*100))</x:f>
      </x:c>
      <x:c r="BF14" s="10">
        <x:f>IF(P14="","",IF(MAX($P$2:$P$252)-MIN($P$2:$P$252)=0,"",(P14-MIN($P$2:$P$252))/(MAX($P$2:$P$252)-MIN($P$2:$P$252))*100))</x:f>
      </x:c>
      <x:c r="BG14">
        <x:f>IF(AF14="","",LOG10(AF14+1))</x:f>
      </x:c>
      <x:c r="BH14" s="10">
        <x:f>IF(BG14="","",IF(MAX($BG$2:$BG$252)-MIN($BG$2:$BG$252)=0,"",(BG14-MIN($BG$2:$BG$252))/(MAX($BG$2:$BG$252)-MIN($BG$2:$BG$252))*100))</x:f>
      </x:c>
      <x:c r="BI14">
        <x:f>IF(AC14="","",LOG10(AC14+1))</x:f>
      </x:c>
      <x:c r="BJ14" s="10">
        <x:f>IF(BI14="","",IF(MAX($BI$2:$BI$252)-MIN($BI$2:$BI$252)=0,"",(BI14-MIN($BI$2:$BI$252))/(MAX($BI$2:$BI$252)-MIN($BI$2:$BI$252))*100))</x:f>
      </x:c>
      <x:c r="BK14">
        <x:f>IF(AD14="","",(AD14*2)+(AE14*1))</x:f>
      </x:c>
      <x:c r="BL14" s="10">
        <x:f>IF(BK14="","",IF(MAX($BK$2:$BK$252)-MIN($BK$2:$BK$252)=0,"",(BK14-MIN($BK$2:$BK$252))/(MAX($BK$2:$BK$252)-MIN($BK$2:$BK$252))*100))</x:f>
      </x:c>
      <x:c r="BM14" s="10">
        <x:f>IF(AB14="","",IF(MAX($AB$2:$AB$252)-MIN($AB$2:$AB$252)=0,"",(AB14-MIN($AB$2:$AB$252))/(MAX($AB$2:$AB$252)-MIN($AB$2:$AB$252))*100))</x:f>
      </x:c>
      <x:c r="BN14" s="10">
        <x:f>IF(X14="","",X14)</x:f>
      </x:c>
      <x:c r="BO14" s="10">
        <x:f>IF(X14="","",100-X14)</x:f>
      </x:c>
      <x:c r="BP14" s="10">
        <x:f>IF((Weights!$C$2*IF(BH14="",0,1)+Weights!$C$3*IF(BJ14="",0,1)+Weights!$C$4*IF(BL14="",0,1))=0,"",(Weights!$C$2*IF(BH14="",0,BH14)+Weights!$C$3*IF(BJ14="",0,BJ14)+Weights!$C$4*IF(BL14="",0,BL14))/(Weights!$C$2*IF(BH14="",0,1)+Weights!$C$3*IF(BJ14="",0,1)+Weights!$C$4*IF(BL14="",0,1)))</x:f>
      </x:c>
      <x:c r="BQ14" s="10">
        <x:f>IF((Weights!$C$5*IF(BA14="",0,1)+Weights!$C$6*IF(AW14="",0,1)+Weights!$C$7*IF(AU14="",0,1))=0,"",(Weights!$C$5*IF(BA14="",0,BA14)+Weights!$C$6*IF(AW14="",0,AW14)+Weights!$C$7*IF(AU14="",0,AU14))/(Weights!$C$5*IF(BA14="",0,1)+Weights!$C$6*IF(AW14="",0,1)+Weights!$C$7*IF(AU14="",0,1)))</x:f>
      </x:c>
      <x:c r="BR14" s="10">
        <x:f>IF((Weights!$C$8*IF(AW14="",0,1)+Weights!$C$9*IF(BC14="",0,1)+Weights!$C$10*IF(BF14="",0,1))=0,"",(Weights!$C$8*IF(AW14="",0,AW14)+Weights!$C$9*IF(BC14="",0,BC14)+Weights!$C$10*IF(BF14="",0,BF14))/(Weights!$C$8*IF(AW14="",0,1)+Weights!$C$9*IF(BC14="",0,1)+Weights!$C$10*IF(BF14="",0,1)))</x:f>
      </x:c>
      <x:c r="BS14" s="10">
        <x:f>IF(Y14="","",Y14)</x:f>
      </x:c>
      <x:c r="BT14" s="10">
        <x:f>IF(AS14="","",AS14)</x:f>
      </x:c>
      <x:c r="BU14" s="10">
        <x:f>IF(AJ14&lt;&gt;"",(0.6*AJ14+0.4*AU14),IF((Weights!$C$11*IF(AU14="",0,1)+Weights!$C$12*IF(BM14="",0,1))=0,"",(Weights!$C$11*IF(AU14="",0,AU14)+Weights!$C$12*IF(BM14="",0,BM14))/(Weights!$C$11*IF(AU14="",0,1)+Weights!$C$12*IF(BM14="",0,1))))</x:f>
      </x:c>
      <x:c r="BV14" s="10">
        <x:f>IF(CG14="",0,CG14)</x:f>
      </x:c>
      <x:c r="BW14" s="10">
        <x:f>IF(AP14="","",AP14)</x:f>
      </x:c>
      <x:c r="BX14" s="10">
        <x:f>IF(AO14="","",AO14)</x:f>
      </x:c>
      <x:c r="BY14" s="10">
        <x:f>IF(AL14="","",AL14)</x:f>
      </x:c>
      <x:c r="BZ14" s="10">
        <x:f>IF(AM14="","",AM14)</x:f>
      </x:c>
      <x:c r="CA14" s="10">
        <x:f>IF(AK14&lt;&gt;"",AK14,AW14)</x:f>
      </x:c>
      <x:c r="CB14" s="10">
        <x:f>IF((Weights!$C$13*IF(BP14="",0,1)+Weights!$C$14*IF(BR14="",0,1)+Weights!$C$15*IF(BQ14="",0,1)+Weights!$C$16*IF(BS14="",0,1)+Weights!$C$17*IF(BU14="",0,1)+Weights!$C$18*IF(BT14="",0,1)+Weights!$C$19*IF(BW14="",0,1)+Weights!$C$20*IF(BZ14="",0,1)+Weights!$C$21*IF(BO14="",0,1)+Weights!$C$22)=0,"",(Weights!$C$13*IF(BP14="",0,BP14)+Weights!$C$14*IF(BR14="",0,BR14)+Weights!$C$15*IF(BQ14="",0,BQ14)+Weights!$C$16*IF(BS14="",0,BS14)+Weights!$C$17*IF(BU14="",0,BU14)+Weights!$C$18*IF(BT14="",0,BT14)+Weights!$C$19*IF(BW14="",0,BW14)+Weights!$C$20*IF(BZ14="",0,BZ14)+Weights!$C$21*IF(BO14="",0,BO14)+Weights!$C$22*BV14)/(Weights!$C$13*IF(BP14="",0,1)+Weights!$C$14*IF(BR14="",0,1)+Weights!$C$15*IF(BQ14="",0,1)+Weights!$C$16*IF(BS14="",0,1)+Weights!$C$17*IF(BU14="",0,1)+Weights!$C$18*IF(BT14="",0,1)+Weights!$C$19*IF(BW14="",0,1)+Weights!$C$20*IF(BZ14="",0,1)+Weights!$C$21*IF(BO14="",0,1)+Weights!$C$22))</x:f>
      </x:c>
      <x:c r="CC14" s="10">
        <x:f>IF((Weights!$C$23*IF(BQ14="",0,1)+Weights!$C$24*IF(BN14="",0,1)+Weights!$C$25*IF(BS14="",0,1)+Weights!$C$26*IF(BY14="",0,1)+Weights!$C$27*IF(BX14="",0,1)+Weights!$C$28*IF(BT14="",0,1)+Weights!$C$29*IF(CA14="",0,1)+Weights!$C$30+Weights!$C$31*IF(BU14="",0,1))=0,"",(Weights!$C$23*IF(BQ14="",0,BQ14)+Weights!$C$24*IF(BN14="",0,BN14)+Weights!$C$25*IF(BS14="",0,BS14)+Weights!$C$26*IF(BY14="",0,BY14)+Weights!$C$27*IF(BX14="",0,BX14)+Weights!$C$28*IF(BT14="",0,BT14)+Weights!$C$29*IF(CA14="",0,CA14)+Weights!$C$30*BV14+Weights!$C$31*IF(BU14="",0,BU14))/(Weights!$C$23*IF(BQ14="",0,1)+Weights!$C$24*IF(BN14="",0,1)+Weights!$C$25*IF(BS14="",0,1)+Weights!$C$26*IF(BY14="",0,1)+Weights!$C$27*IF(BX14="",0,1)+Weights!$C$28*IF(BT14="",0,1)+Weights!$C$29*IF(CA14="",0,1)+Weights!$C$30+Weights!$C$31*IF(BU14="",0,1)))</x:f>
      </x:c>
      <x:c r="CD14" s="10">
        <x:f>IF(AND(CB14="",CC14=""),"",IF(CB14="",CC14,IF(CC14="",CB14,AVERAGE(CB14,CC14))))</x:f>
      </x:c>
      <x:c r="CE14" s="7">
        <x:f>ROUND(100*((IF(BP14&lt;&gt;"",1,0)+IF(BQ14&lt;&gt;"",1,0)+IF(BR14&lt;&gt;"",1,0)+IF(BS14&lt;&gt;"",1,0)+IF(BU14&lt;&gt;"",1,0)+IF(BT14&lt;&gt;"",1,0)+IF(BN14&lt;&gt;"",1,0)+IF(AW14&lt;&gt;"",1,0))/8),0)</x:f>
      </x:c>
      <x:c r="CF14">
        <x:f>IF(V14="","",LOG10(V14+1))</x:f>
      </x:c>
      <x:c r="CG14">
        <x:f>IF(CF14="","",IF(MAX($CF$2:$CF$252)-MIN($CF$2:$CF$252)=0,"",(CF14-MIN($CF$2:$CF$252))/(MAX($CF$2:$CF$252)-MIN($CF$2:$CF$252))*100))</x:f>
      </x:c>
    </x:row>
    <x:row r="15">
      <x:c r="A15" t="inlineStr">
        <x:is>
          <x:t xml:space="preserve">BVT</x:t>
        </x:is>
      </x:c>
      <x:c r="B15" t="inlineStr">
        <x:is>
          <x:t xml:space="preserve">Bouvet Island</x:t>
        </x:is>
      </x:c>
      <x:c r="N15" s="8" t="n"/>
      <x:c r="O15" s="9" t="n"/>
      <x:c r="P15" s="8" t="n"/>
      <x:c r="R15" s="8" t="n"/>
      <x:c r="AB15" s="8" t="n"/>
      <x:c r="AR15">
        <x:f>IF(G15="","",LOG10(G15+1))</x:f>
      </x:c>
      <x:c r="AS15" s="10">
        <x:f>IF(AR15="","",IF(MAX($AR$2:$AR$252)-MIN($AR$2:$AR$252)=0,"",(AR15-MIN($AR$2:$AR$252))/(MAX($AR$2:$AR$252)-MIN($AR$2:$AR$252))*100))</x:f>
      </x:c>
      <x:c r="AT15">
        <x:f>IF(R15="","",LOG10(R15+1))</x:f>
      </x:c>
      <x:c r="AU15" s="10">
        <x:f>IF(AT15="","",IF(MAX($AT$2:$AT$252)-MIN($AT$2:$AT$252)=0,"",(AT15-MIN($AT$2:$AT$252))/(MAX($AT$2:$AT$252)-MIN($AT$2:$AT$252))*100))</x:f>
      </x:c>
      <x:c r="AV15">
        <x:f>IF(N15="","",LOG10(N15+1))</x:f>
      </x:c>
      <x:c r="AW15" s="10">
        <x:f>IF(AV15="","",IF(MAX($AV$2:$AV$252)-MIN($AV$2:$AV$252)=0,"",(AV15-MIN($AV$2:$AV$252))/(MAX($AV$2:$AV$252)-MIN($AV$2:$AV$252))*100))</x:f>
      </x:c>
      <x:c r="AX15">
        <x:f>IF(I15="","",LOG10(I15+1))</x:f>
      </x:c>
      <x:c r="AY15" s="10">
        <x:f>IF(AX15="","",IF(MAX($AX$2:$AX$252)-MIN($AX$2:$AX$252)=0,"",(AX15-MIN($AX$2:$AX$252))/(MAX($AX$2:$AX$252)-MIN($AX$2:$AX$252))*100))</x:f>
      </x:c>
      <x:c r="AZ15">
        <x:f>IF(J15="","",LOG10(J15+1))</x:f>
      </x:c>
      <x:c r="BA15" s="10">
        <x:f>IF(AZ15="","",IF(MAX($AZ$2:$AZ$252)-MIN($AZ$2:$AZ$252)=0,"",(AZ15-MIN($AZ$2:$AZ$252))/(MAX($AZ$2:$AZ$252)-MIN($AZ$2:$AZ$252))*100))</x:f>
      </x:c>
      <x:c r="BB15">
        <x:f>IF(K15="","",LOG10(K15+1))</x:f>
      </x:c>
      <x:c r="BC15" s="10">
        <x:f>IF(BB15="","",IF(MAX($BB$2:$BB$252)-MIN($BB$2:$BB$252)=0,"",(BB15-MIN($BB$2:$BB$252))/(MAX($BB$2:$BB$252)-MIN($BB$2:$BB$252))*100))</x:f>
      </x:c>
      <x:c r="BD15">
        <x:f>IF(L15="","",LOG10(L15+1))</x:f>
      </x:c>
      <x:c r="BE15" s="10">
        <x:f>IF(BD15="","",IF(MAX($BD$2:$BD$252)-MIN($BD$2:$BD$252)=0,"",(BD15-MIN($BD$2:$BD$252))/(MAX($BD$2:$BD$252)-MIN($BD$2:$BD$252))*100))</x:f>
      </x:c>
      <x:c r="BF15" s="10">
        <x:f>IF(P15="","",IF(MAX($P$2:$P$252)-MIN($P$2:$P$252)=0,"",(P15-MIN($P$2:$P$252))/(MAX($P$2:$P$252)-MIN($P$2:$P$252))*100))</x:f>
      </x:c>
      <x:c r="BG15">
        <x:f>IF(AF15="","",LOG10(AF15+1))</x:f>
      </x:c>
      <x:c r="BH15" s="10">
        <x:f>IF(BG15="","",IF(MAX($BG$2:$BG$252)-MIN($BG$2:$BG$252)=0,"",(BG15-MIN($BG$2:$BG$252))/(MAX($BG$2:$BG$252)-MIN($BG$2:$BG$252))*100))</x:f>
      </x:c>
      <x:c r="BI15">
        <x:f>IF(AC15="","",LOG10(AC15+1))</x:f>
      </x:c>
      <x:c r="BJ15" s="10">
        <x:f>IF(BI15="","",IF(MAX($BI$2:$BI$252)-MIN($BI$2:$BI$252)=0,"",(BI15-MIN($BI$2:$BI$252))/(MAX($BI$2:$BI$252)-MIN($BI$2:$BI$252))*100))</x:f>
      </x:c>
      <x:c r="BK15">
        <x:f>IF(AD15="","",(AD15*2)+(AE15*1))</x:f>
      </x:c>
      <x:c r="BL15" s="10">
        <x:f>IF(BK15="","",IF(MAX($BK$2:$BK$252)-MIN($BK$2:$BK$252)=0,"",(BK15-MIN($BK$2:$BK$252))/(MAX($BK$2:$BK$252)-MIN($BK$2:$BK$252))*100))</x:f>
      </x:c>
      <x:c r="BM15" s="10">
        <x:f>IF(AB15="","",IF(MAX($AB$2:$AB$252)-MIN($AB$2:$AB$252)=0,"",(AB15-MIN($AB$2:$AB$252))/(MAX($AB$2:$AB$252)-MIN($AB$2:$AB$252))*100))</x:f>
      </x:c>
      <x:c r="BN15" s="10">
        <x:f>IF(X15="","",X15)</x:f>
      </x:c>
      <x:c r="BO15" s="10">
        <x:f>IF(X15="","",100-X15)</x:f>
      </x:c>
      <x:c r="BP15" s="10">
        <x:f>IF((Weights!$C$2*IF(BH15="",0,1)+Weights!$C$3*IF(BJ15="",0,1)+Weights!$C$4*IF(BL15="",0,1))=0,"",(Weights!$C$2*IF(BH15="",0,BH15)+Weights!$C$3*IF(BJ15="",0,BJ15)+Weights!$C$4*IF(BL15="",0,BL15))/(Weights!$C$2*IF(BH15="",0,1)+Weights!$C$3*IF(BJ15="",0,1)+Weights!$C$4*IF(BL15="",0,1)))</x:f>
      </x:c>
      <x:c r="BQ15" s="10">
        <x:f>IF((Weights!$C$5*IF(BA15="",0,1)+Weights!$C$6*IF(AW15="",0,1)+Weights!$C$7*IF(AU15="",0,1))=0,"",(Weights!$C$5*IF(BA15="",0,BA15)+Weights!$C$6*IF(AW15="",0,AW15)+Weights!$C$7*IF(AU15="",0,AU15))/(Weights!$C$5*IF(BA15="",0,1)+Weights!$C$6*IF(AW15="",0,1)+Weights!$C$7*IF(AU15="",0,1)))</x:f>
      </x:c>
      <x:c r="BR15" s="10">
        <x:f>IF((Weights!$C$8*IF(AW15="",0,1)+Weights!$C$9*IF(BC15="",0,1)+Weights!$C$10*IF(BF15="",0,1))=0,"",(Weights!$C$8*IF(AW15="",0,AW15)+Weights!$C$9*IF(BC15="",0,BC15)+Weights!$C$10*IF(BF15="",0,BF15))/(Weights!$C$8*IF(AW15="",0,1)+Weights!$C$9*IF(BC15="",0,1)+Weights!$C$10*IF(BF15="",0,1)))</x:f>
      </x:c>
      <x:c r="BS15" s="10">
        <x:f>IF(Y15="","",Y15)</x:f>
      </x:c>
      <x:c r="BT15" s="10">
        <x:f>IF(AS15="","",AS15)</x:f>
      </x:c>
      <x:c r="BU15" s="10">
        <x:f>IF(AJ15&lt;&gt;"",(0.6*AJ15+0.4*AU15),IF((Weights!$C$11*IF(AU15="",0,1)+Weights!$C$12*IF(BM15="",0,1))=0,"",(Weights!$C$11*IF(AU15="",0,AU15)+Weights!$C$12*IF(BM15="",0,BM15))/(Weights!$C$11*IF(AU15="",0,1)+Weights!$C$12*IF(BM15="",0,1))))</x:f>
      </x:c>
      <x:c r="BV15" s="10">
        <x:f>IF(CG15="",0,CG15)</x:f>
      </x:c>
      <x:c r="BW15" s="10">
        <x:f>IF(AP15="","",AP15)</x:f>
      </x:c>
      <x:c r="BX15" s="10">
        <x:f>IF(AO15="","",AO15)</x:f>
      </x:c>
      <x:c r="BY15" s="10">
        <x:f>IF(AL15="","",AL15)</x:f>
      </x:c>
      <x:c r="BZ15" s="10">
        <x:f>IF(AM15="","",AM15)</x:f>
      </x:c>
      <x:c r="CA15" s="10">
        <x:f>IF(AK15&lt;&gt;"",AK15,AW15)</x:f>
      </x:c>
      <x:c r="CB15" s="10">
        <x:f>IF((Weights!$C$13*IF(BP15="",0,1)+Weights!$C$14*IF(BR15="",0,1)+Weights!$C$15*IF(BQ15="",0,1)+Weights!$C$16*IF(BS15="",0,1)+Weights!$C$17*IF(BU15="",0,1)+Weights!$C$18*IF(BT15="",0,1)+Weights!$C$19*IF(BW15="",0,1)+Weights!$C$20*IF(BZ15="",0,1)+Weights!$C$21*IF(BO15="",0,1)+Weights!$C$22)=0,"",(Weights!$C$13*IF(BP15="",0,BP15)+Weights!$C$14*IF(BR15="",0,BR15)+Weights!$C$15*IF(BQ15="",0,BQ15)+Weights!$C$16*IF(BS15="",0,BS15)+Weights!$C$17*IF(BU15="",0,BU15)+Weights!$C$18*IF(BT15="",0,BT15)+Weights!$C$19*IF(BW15="",0,BW15)+Weights!$C$20*IF(BZ15="",0,BZ15)+Weights!$C$21*IF(BO15="",0,BO15)+Weights!$C$22*BV15)/(Weights!$C$13*IF(BP15="",0,1)+Weights!$C$14*IF(BR15="",0,1)+Weights!$C$15*IF(BQ15="",0,1)+Weights!$C$16*IF(BS15="",0,1)+Weights!$C$17*IF(BU15="",0,1)+Weights!$C$18*IF(BT15="",0,1)+Weights!$C$19*IF(BW15="",0,1)+Weights!$C$20*IF(BZ15="",0,1)+Weights!$C$21*IF(BO15="",0,1)+Weights!$C$22))</x:f>
      </x:c>
      <x:c r="CC15" s="10">
        <x:f>IF((Weights!$C$23*IF(BQ15="",0,1)+Weights!$C$24*IF(BN15="",0,1)+Weights!$C$25*IF(BS15="",0,1)+Weights!$C$26*IF(BY15="",0,1)+Weights!$C$27*IF(BX15="",0,1)+Weights!$C$28*IF(BT15="",0,1)+Weights!$C$29*IF(CA15="",0,1)+Weights!$C$30+Weights!$C$31*IF(BU15="",0,1))=0,"",(Weights!$C$23*IF(BQ15="",0,BQ15)+Weights!$C$24*IF(BN15="",0,BN15)+Weights!$C$25*IF(BS15="",0,BS15)+Weights!$C$26*IF(BY15="",0,BY15)+Weights!$C$27*IF(BX15="",0,BX15)+Weights!$C$28*IF(BT15="",0,BT15)+Weights!$C$29*IF(CA15="",0,CA15)+Weights!$C$30*BV15+Weights!$C$31*IF(BU15="",0,BU15))/(Weights!$C$23*IF(BQ15="",0,1)+Weights!$C$24*IF(BN15="",0,1)+Weights!$C$25*IF(BS15="",0,1)+Weights!$C$26*IF(BY15="",0,1)+Weights!$C$27*IF(BX15="",0,1)+Weights!$C$28*IF(BT15="",0,1)+Weights!$C$29*IF(CA15="",0,1)+Weights!$C$30+Weights!$C$31*IF(BU15="",0,1)))</x:f>
      </x:c>
      <x:c r="CD15" s="10">
        <x:f>IF(AND(CB15="",CC15=""),"",IF(CB15="",CC15,IF(CC15="",CB15,AVERAGE(CB15,CC15))))</x:f>
      </x:c>
      <x:c r="CE15" s="7">
        <x:f>ROUND(100*((IF(BP15&lt;&gt;"",1,0)+IF(BQ15&lt;&gt;"",1,0)+IF(BR15&lt;&gt;"",1,0)+IF(BS15&lt;&gt;"",1,0)+IF(BU15&lt;&gt;"",1,0)+IF(BT15&lt;&gt;"",1,0)+IF(BN15&lt;&gt;"",1,0)+IF(AW15&lt;&gt;"",1,0))/8),0)</x:f>
      </x:c>
      <x:c r="CF15">
        <x:f>IF(V15="","",LOG10(V15+1))</x:f>
      </x:c>
      <x:c r="CG15">
        <x:f>IF(CF15="","",IF(MAX($CF$2:$CF$252)-MIN($CF$2:$CF$252)=0,"",(CF15-MIN($CF$2:$CF$252))/(MAX($CF$2:$CF$252)-MIN($CF$2:$CF$252))*100))</x:f>
      </x:c>
    </x:row>
    <x:row r="16">
      <x:c r="A16" t="inlineStr">
        <x:is>
          <x:t xml:space="preserve">IOT</x:t>
        </x:is>
      </x:c>
      <x:c r="B16" t="inlineStr">
        <x:is>
          <x:t xml:space="preserve">British Indian Ocean Territory</x:t>
        </x:is>
      </x:c>
      <x:c r="N16" s="8" t="n"/>
      <x:c r="O16" s="9" t="n"/>
      <x:c r="P16" s="8" t="n"/>
      <x:c r="R16" s="8" t="n"/>
      <x:c r="AB16" s="8" t="n"/>
      <x:c r="AR16">
        <x:f>IF(G16="","",LOG10(G16+1))</x:f>
      </x:c>
      <x:c r="AS16" s="10">
        <x:f>IF(AR16="","",IF(MAX($AR$2:$AR$252)-MIN($AR$2:$AR$252)=0,"",(AR16-MIN($AR$2:$AR$252))/(MAX($AR$2:$AR$252)-MIN($AR$2:$AR$252))*100))</x:f>
      </x:c>
      <x:c r="AT16">
        <x:f>IF(R16="","",LOG10(R16+1))</x:f>
      </x:c>
      <x:c r="AU16" s="10">
        <x:f>IF(AT16="","",IF(MAX($AT$2:$AT$252)-MIN($AT$2:$AT$252)=0,"",(AT16-MIN($AT$2:$AT$252))/(MAX($AT$2:$AT$252)-MIN($AT$2:$AT$252))*100))</x:f>
      </x:c>
      <x:c r="AV16">
        <x:f>IF(N16="","",LOG10(N16+1))</x:f>
      </x:c>
      <x:c r="AW16" s="10">
        <x:f>IF(AV16="","",IF(MAX($AV$2:$AV$252)-MIN($AV$2:$AV$252)=0,"",(AV16-MIN($AV$2:$AV$252))/(MAX($AV$2:$AV$252)-MIN($AV$2:$AV$252))*100))</x:f>
      </x:c>
      <x:c r="AX16">
        <x:f>IF(I16="","",LOG10(I16+1))</x:f>
      </x:c>
      <x:c r="AY16" s="10">
        <x:f>IF(AX16="","",IF(MAX($AX$2:$AX$252)-MIN($AX$2:$AX$252)=0,"",(AX16-MIN($AX$2:$AX$252))/(MAX($AX$2:$AX$252)-MIN($AX$2:$AX$252))*100))</x:f>
      </x:c>
      <x:c r="AZ16">
        <x:f>IF(J16="","",LOG10(J16+1))</x:f>
      </x:c>
      <x:c r="BA16" s="10">
        <x:f>IF(AZ16="","",IF(MAX($AZ$2:$AZ$252)-MIN($AZ$2:$AZ$252)=0,"",(AZ16-MIN($AZ$2:$AZ$252))/(MAX($AZ$2:$AZ$252)-MIN($AZ$2:$AZ$252))*100))</x:f>
      </x:c>
      <x:c r="BB16">
        <x:f>IF(K16="","",LOG10(K16+1))</x:f>
      </x:c>
      <x:c r="BC16" s="10">
        <x:f>IF(BB16="","",IF(MAX($BB$2:$BB$252)-MIN($BB$2:$BB$252)=0,"",(BB16-MIN($BB$2:$BB$252))/(MAX($BB$2:$BB$252)-MIN($BB$2:$BB$252))*100))</x:f>
      </x:c>
      <x:c r="BD16">
        <x:f>IF(L16="","",LOG10(L16+1))</x:f>
      </x:c>
      <x:c r="BE16" s="10">
        <x:f>IF(BD16="","",IF(MAX($BD$2:$BD$252)-MIN($BD$2:$BD$252)=0,"",(BD16-MIN($BD$2:$BD$252))/(MAX($BD$2:$BD$252)-MIN($BD$2:$BD$252))*100))</x:f>
      </x:c>
      <x:c r="BF16" s="10">
        <x:f>IF(P16="","",IF(MAX($P$2:$P$252)-MIN($P$2:$P$252)=0,"",(P16-MIN($P$2:$P$252))/(MAX($P$2:$P$252)-MIN($P$2:$P$252))*100))</x:f>
      </x:c>
      <x:c r="BG16">
        <x:f>IF(AF16="","",LOG10(AF16+1))</x:f>
      </x:c>
      <x:c r="BH16" s="10">
        <x:f>IF(BG16="","",IF(MAX($BG$2:$BG$252)-MIN($BG$2:$BG$252)=0,"",(BG16-MIN($BG$2:$BG$252))/(MAX($BG$2:$BG$252)-MIN($BG$2:$BG$252))*100))</x:f>
      </x:c>
      <x:c r="BI16">
        <x:f>IF(AC16="","",LOG10(AC16+1))</x:f>
      </x:c>
      <x:c r="BJ16" s="10">
        <x:f>IF(BI16="","",IF(MAX($BI$2:$BI$252)-MIN($BI$2:$BI$252)=0,"",(BI16-MIN($BI$2:$BI$252))/(MAX($BI$2:$BI$252)-MIN($BI$2:$BI$252))*100))</x:f>
      </x:c>
      <x:c r="BK16">
        <x:f>IF(AD16="","",(AD16*2)+(AE16*1))</x:f>
      </x:c>
      <x:c r="BL16" s="10">
        <x:f>IF(BK16="","",IF(MAX($BK$2:$BK$252)-MIN($BK$2:$BK$252)=0,"",(BK16-MIN($BK$2:$BK$252))/(MAX($BK$2:$BK$252)-MIN($BK$2:$BK$252))*100))</x:f>
      </x:c>
      <x:c r="BM16" s="10">
        <x:f>IF(AB16="","",IF(MAX($AB$2:$AB$252)-MIN($AB$2:$AB$252)=0,"",(AB16-MIN($AB$2:$AB$252))/(MAX($AB$2:$AB$252)-MIN($AB$2:$AB$252))*100))</x:f>
      </x:c>
      <x:c r="BN16" s="10">
        <x:f>IF(X16="","",X16)</x:f>
      </x:c>
      <x:c r="BO16" s="10">
        <x:f>IF(X16="","",100-X16)</x:f>
      </x:c>
      <x:c r="BP16" s="10">
        <x:f>IF((Weights!$C$2*IF(BH16="",0,1)+Weights!$C$3*IF(BJ16="",0,1)+Weights!$C$4*IF(BL16="",0,1))=0,"",(Weights!$C$2*IF(BH16="",0,BH16)+Weights!$C$3*IF(BJ16="",0,BJ16)+Weights!$C$4*IF(BL16="",0,BL16))/(Weights!$C$2*IF(BH16="",0,1)+Weights!$C$3*IF(BJ16="",0,1)+Weights!$C$4*IF(BL16="",0,1)))</x:f>
      </x:c>
      <x:c r="BQ16" s="10">
        <x:f>IF((Weights!$C$5*IF(BA16="",0,1)+Weights!$C$6*IF(AW16="",0,1)+Weights!$C$7*IF(AU16="",0,1))=0,"",(Weights!$C$5*IF(BA16="",0,BA16)+Weights!$C$6*IF(AW16="",0,AW16)+Weights!$C$7*IF(AU16="",0,AU16))/(Weights!$C$5*IF(BA16="",0,1)+Weights!$C$6*IF(AW16="",0,1)+Weights!$C$7*IF(AU16="",0,1)))</x:f>
      </x:c>
      <x:c r="BR16" s="10">
        <x:f>IF((Weights!$C$8*IF(AW16="",0,1)+Weights!$C$9*IF(BC16="",0,1)+Weights!$C$10*IF(BF16="",0,1))=0,"",(Weights!$C$8*IF(AW16="",0,AW16)+Weights!$C$9*IF(BC16="",0,BC16)+Weights!$C$10*IF(BF16="",0,BF16))/(Weights!$C$8*IF(AW16="",0,1)+Weights!$C$9*IF(BC16="",0,1)+Weights!$C$10*IF(BF16="",0,1)))</x:f>
      </x:c>
      <x:c r="BS16" s="10">
        <x:f>IF(Y16="","",Y16)</x:f>
      </x:c>
      <x:c r="BT16" s="10">
        <x:f>IF(AS16="","",AS16)</x:f>
      </x:c>
      <x:c r="BU16" s="10">
        <x:f>IF(AJ16&lt;&gt;"",(0.6*AJ16+0.4*AU16),IF((Weights!$C$11*IF(AU16="",0,1)+Weights!$C$12*IF(BM16="",0,1))=0,"",(Weights!$C$11*IF(AU16="",0,AU16)+Weights!$C$12*IF(BM16="",0,BM16))/(Weights!$C$11*IF(AU16="",0,1)+Weights!$C$12*IF(BM16="",0,1))))</x:f>
      </x:c>
      <x:c r="BV16" s="10">
        <x:f>IF(CG16="",0,CG16)</x:f>
      </x:c>
      <x:c r="BW16" s="10">
        <x:f>IF(AP16="","",AP16)</x:f>
      </x:c>
      <x:c r="BX16" s="10">
        <x:f>IF(AO16="","",AO16)</x:f>
      </x:c>
      <x:c r="BY16" s="10">
        <x:f>IF(AL16="","",AL16)</x:f>
      </x:c>
      <x:c r="BZ16" s="10">
        <x:f>IF(AM16="","",AM16)</x:f>
      </x:c>
      <x:c r="CA16" s="10">
        <x:f>IF(AK16&lt;&gt;"",AK16,AW16)</x:f>
      </x:c>
      <x:c r="CB16" s="10">
        <x:f>IF((Weights!$C$13*IF(BP16="",0,1)+Weights!$C$14*IF(BR16="",0,1)+Weights!$C$15*IF(BQ16="",0,1)+Weights!$C$16*IF(BS16="",0,1)+Weights!$C$17*IF(BU16="",0,1)+Weights!$C$18*IF(BT16="",0,1)+Weights!$C$19*IF(BW16="",0,1)+Weights!$C$20*IF(BZ16="",0,1)+Weights!$C$21*IF(BO16="",0,1)+Weights!$C$22)=0,"",(Weights!$C$13*IF(BP16="",0,BP16)+Weights!$C$14*IF(BR16="",0,BR16)+Weights!$C$15*IF(BQ16="",0,BQ16)+Weights!$C$16*IF(BS16="",0,BS16)+Weights!$C$17*IF(BU16="",0,BU16)+Weights!$C$18*IF(BT16="",0,BT16)+Weights!$C$19*IF(BW16="",0,BW16)+Weights!$C$20*IF(BZ16="",0,BZ16)+Weights!$C$21*IF(BO16="",0,BO16)+Weights!$C$22*BV16)/(Weights!$C$13*IF(BP16="",0,1)+Weights!$C$14*IF(BR16="",0,1)+Weights!$C$15*IF(BQ16="",0,1)+Weights!$C$16*IF(BS16="",0,1)+Weights!$C$17*IF(BU16="",0,1)+Weights!$C$18*IF(BT16="",0,1)+Weights!$C$19*IF(BW16="",0,1)+Weights!$C$20*IF(BZ16="",0,1)+Weights!$C$21*IF(BO16="",0,1)+Weights!$C$22))</x:f>
      </x:c>
      <x:c r="CC16" s="10">
        <x:f>IF((Weights!$C$23*IF(BQ16="",0,1)+Weights!$C$24*IF(BN16="",0,1)+Weights!$C$25*IF(BS16="",0,1)+Weights!$C$26*IF(BY16="",0,1)+Weights!$C$27*IF(BX16="",0,1)+Weights!$C$28*IF(BT16="",0,1)+Weights!$C$29*IF(CA16="",0,1)+Weights!$C$30+Weights!$C$31*IF(BU16="",0,1))=0,"",(Weights!$C$23*IF(BQ16="",0,BQ16)+Weights!$C$24*IF(BN16="",0,BN16)+Weights!$C$25*IF(BS16="",0,BS16)+Weights!$C$26*IF(BY16="",0,BY16)+Weights!$C$27*IF(BX16="",0,BX16)+Weights!$C$28*IF(BT16="",0,BT16)+Weights!$C$29*IF(CA16="",0,CA16)+Weights!$C$30*BV16+Weights!$C$31*IF(BU16="",0,BU16))/(Weights!$C$23*IF(BQ16="",0,1)+Weights!$C$24*IF(BN16="",0,1)+Weights!$C$25*IF(BS16="",0,1)+Weights!$C$26*IF(BY16="",0,1)+Weights!$C$27*IF(BX16="",0,1)+Weights!$C$28*IF(BT16="",0,1)+Weights!$C$29*IF(CA16="",0,1)+Weights!$C$30+Weights!$C$31*IF(BU16="",0,1)))</x:f>
      </x:c>
      <x:c r="CD16" s="10">
        <x:f>IF(AND(CB16="",CC16=""),"",IF(CB16="",CC16,IF(CC16="",CB16,AVERAGE(CB16,CC16))))</x:f>
      </x:c>
      <x:c r="CE16" s="7">
        <x:f>ROUND(100*((IF(BP16&lt;&gt;"",1,0)+IF(BQ16&lt;&gt;"",1,0)+IF(BR16&lt;&gt;"",1,0)+IF(BS16&lt;&gt;"",1,0)+IF(BU16&lt;&gt;"",1,0)+IF(BT16&lt;&gt;"",1,0)+IF(BN16&lt;&gt;"",1,0)+IF(AW16&lt;&gt;"",1,0))/8),0)</x:f>
      </x:c>
      <x:c r="CF16">
        <x:f>IF(V16="","",LOG10(V16+1))</x:f>
      </x:c>
      <x:c r="CG16">
        <x:f>IF(CF16="","",IF(MAX($CF$2:$CF$252)-MIN($CF$2:$CF$252)=0,"",(CF16-MIN($CF$2:$CF$252))/(MAX($CF$2:$CF$252)-MIN($CF$2:$CF$252))*100))</x:f>
      </x:c>
    </x:row>
    <x:row r="17">
      <x:c r="A17" t="inlineStr">
        <x:is>
          <x:t xml:space="preserve">VGB</x:t>
        </x:is>
      </x:c>
      <x:c r="B17" t="inlineStr">
        <x:is>
          <x:t xml:space="preserve">British Virgin Islands</x:t>
        </x:is>
      </x:c>
      <x:c r="C17" t="inlineStr">
        <x:is>
          <x:t xml:space="preserve">Latin America &amp; Caribbean</x:t>
        </x:is>
      </x:c>
      <x:c r="D17" t="inlineStr">
        <x:is>
          <x:t xml:space="preserve">High income</x:t>
        </x:is>
      </x:c>
      <x:c r="F17" t="n">
        <x:v>2024</x:v>
      </x:c>
      <x:c r="G17" t="n">
        <x:v>39471</x:v>
      </x:c>
      <x:c r="N17" s="8" t="n"/>
      <x:c r="O17" s="9" t="n"/>
      <x:c r="P17" s="8" t="n"/>
      <x:c r="R17" s="8" t="n"/>
      <x:c r="S17" t="n">
        <x:v>0</x:v>
      </x:c>
      <x:c r="T17" t="n">
        <x:v>0</x:v>
      </x:c>
      <x:c r="U17" t="inlineStr">
        <x:is>
          <x:t xml:space="preserve">No</x:t>
        </x:is>
      </x:c>
      <x:c r="W17" t="inlineStr">
        <x:is>
          <x:t xml:space="preserve">No</x:t>
        </x:is>
      </x:c>
      <x:c r="AB17" s="8" t="n"/>
      <x:c r="AR17">
        <x:f>IF(G17="","",LOG10(G17+1))</x:f>
        <x:v>4.59628913214566</x:v>
      </x:c>
      <x:c r="AS17" s="10">
        <x:f>IF(AR17="","",IF(MAX($AR$2:$AR$252)-MIN($AR$2:$AR$252)=0,"",(AR17-MIN($AR$2:$AR$252))/(MAX($AR$2:$AR$252)-MIN($AR$2:$AR$252))*100))</x:f>
        <x:v>54.93512644590201</x:v>
      </x:c>
      <x:c r="AT17">
        <x:f>IF(R17="","",LOG10(R17+1))</x:f>
      </x:c>
      <x:c r="AU17" s="10">
        <x:f>IF(AT17="","",IF(MAX($AT$2:$AT$252)-MIN($AT$2:$AT$252)=0,"",(AT17-MIN($AT$2:$AT$252))/(MAX($AT$2:$AT$252)-MIN($AT$2:$AT$252))*100))</x:f>
      </x:c>
      <x:c r="AV17">
        <x:f>IF(N17="","",LOG10(N17+1))</x:f>
      </x:c>
      <x:c r="AW17" s="10">
        <x:f>IF(AV17="","",IF(MAX($AV$2:$AV$252)-MIN($AV$2:$AV$252)=0,"",(AV17-MIN($AV$2:$AV$252))/(MAX($AV$2:$AV$252)-MIN($AV$2:$AV$252))*100))</x:f>
      </x:c>
      <x:c r="AX17">
        <x:f>IF(I17="","",LOG10(I17+1))</x:f>
      </x:c>
      <x:c r="AY17" s="10">
        <x:f>IF(AX17="","",IF(MAX($AX$2:$AX$252)-MIN($AX$2:$AX$252)=0,"",(AX17-MIN($AX$2:$AX$252))/(MAX($AX$2:$AX$252)-MIN($AX$2:$AX$252))*100))</x:f>
      </x:c>
      <x:c r="AZ17">
        <x:f>IF(J17="","",LOG10(J17+1))</x:f>
      </x:c>
      <x:c r="BA17" s="10">
        <x:f>IF(AZ17="","",IF(MAX($AZ$2:$AZ$252)-MIN($AZ$2:$AZ$252)=0,"",(AZ17-MIN($AZ$2:$AZ$252))/(MAX($AZ$2:$AZ$252)-MIN($AZ$2:$AZ$252))*100))</x:f>
      </x:c>
      <x:c r="BB17">
        <x:f>IF(K17="","",LOG10(K17+1))</x:f>
      </x:c>
      <x:c r="BC17" s="10">
        <x:f>IF(BB17="","",IF(MAX($BB$2:$BB$252)-MIN($BB$2:$BB$252)=0,"",(BB17-MIN($BB$2:$BB$252))/(MAX($BB$2:$BB$252)-MIN($BB$2:$BB$252))*100))</x:f>
      </x:c>
      <x:c r="BD17">
        <x:f>IF(L17="","",LOG10(L17+1))</x:f>
      </x:c>
      <x:c r="BE17" s="10">
        <x:f>IF(BD17="","",IF(MAX($BD$2:$BD$252)-MIN($BD$2:$BD$252)=0,"",(BD17-MIN($BD$2:$BD$252))/(MAX($BD$2:$BD$252)-MIN($BD$2:$BD$252))*100))</x:f>
      </x:c>
      <x:c r="BF17" s="10">
        <x:f>IF(P17="","",IF(MAX($P$2:$P$252)-MIN($P$2:$P$252)=0,"",(P17-MIN($P$2:$P$252))/(MAX($P$2:$P$252)-MIN($P$2:$P$252))*100))</x:f>
      </x:c>
      <x:c r="BG17">
        <x:f>IF(AF17="","",LOG10(AF17+1))</x:f>
      </x:c>
      <x:c r="BH17" s="10">
        <x:f>IF(BG17="","",IF(MAX($BG$2:$BG$252)-MIN($BG$2:$BG$252)=0,"",(BG17-MIN($BG$2:$BG$252))/(MAX($BG$2:$BG$252)-MIN($BG$2:$BG$252))*100))</x:f>
      </x:c>
      <x:c r="BI17">
        <x:f>IF(AC17="","",LOG10(AC17+1))</x:f>
      </x:c>
      <x:c r="BJ17" s="10">
        <x:f>IF(BI17="","",IF(MAX($BI$2:$BI$252)-MIN($BI$2:$BI$252)=0,"",(BI17-MIN($BI$2:$BI$252))/(MAX($BI$2:$BI$252)-MIN($BI$2:$BI$252))*100))</x:f>
      </x:c>
      <x:c r="BK17">
        <x:f>IF(AD17="","",(AD17*2)+(AE17*1))</x:f>
      </x:c>
      <x:c r="BL17" s="10">
        <x:f>IF(BK17="","",IF(MAX($BK$2:$BK$252)-MIN($BK$2:$BK$252)=0,"",(BK17-MIN($BK$2:$BK$252))/(MAX($BK$2:$BK$252)-MIN($BK$2:$BK$252))*100))</x:f>
      </x:c>
      <x:c r="BM17" s="10">
        <x:f>IF(AB17="","",IF(MAX($AB$2:$AB$252)-MIN($AB$2:$AB$252)=0,"",(AB17-MIN($AB$2:$AB$252))/(MAX($AB$2:$AB$252)-MIN($AB$2:$AB$252))*100))</x:f>
      </x:c>
      <x:c r="BN17" s="10">
        <x:f>IF(X17="","",X17)</x:f>
      </x:c>
      <x:c r="BO17" s="10">
        <x:f>IF(X17="","",100-X17)</x:f>
      </x:c>
      <x:c r="BP17" s="10">
        <x:f>IF((Weights!$C$2*IF(BH17="",0,1)+Weights!$C$3*IF(BJ17="",0,1)+Weights!$C$4*IF(BL17="",0,1))=0,"",(Weights!$C$2*IF(BH17="",0,BH17)+Weights!$C$3*IF(BJ17="",0,BJ17)+Weights!$C$4*IF(BL17="",0,BL17))/(Weights!$C$2*IF(BH17="",0,1)+Weights!$C$3*IF(BJ17="",0,1)+Weights!$C$4*IF(BL17="",0,1)))</x:f>
      </x:c>
      <x:c r="BQ17" s="10">
        <x:f>IF((Weights!$C$5*IF(BA17="",0,1)+Weights!$C$6*IF(AW17="",0,1)+Weights!$C$7*IF(AU17="",0,1))=0,"",(Weights!$C$5*IF(BA17="",0,BA17)+Weights!$C$6*IF(AW17="",0,AW17)+Weights!$C$7*IF(AU17="",0,AU17))/(Weights!$C$5*IF(BA17="",0,1)+Weights!$C$6*IF(AW17="",0,1)+Weights!$C$7*IF(AU17="",0,1)))</x:f>
      </x:c>
      <x:c r="BR17" s="10">
        <x:f>IF((Weights!$C$8*IF(AW17="",0,1)+Weights!$C$9*IF(BC17="",0,1)+Weights!$C$10*IF(BF17="",0,1))=0,"",(Weights!$C$8*IF(AW17="",0,AW17)+Weights!$C$9*IF(BC17="",0,BC17)+Weights!$C$10*IF(BF17="",0,BF17))/(Weights!$C$8*IF(AW17="",0,1)+Weights!$C$9*IF(BC17="",0,1)+Weights!$C$10*IF(BF17="",0,1)))</x:f>
      </x:c>
      <x:c r="BS17" s="10">
        <x:f>IF(Y17="","",Y17)</x:f>
      </x:c>
      <x:c r="BT17" s="10">
        <x:f>IF(AS17="","",AS17)</x:f>
      </x:c>
      <x:c r="BU17" s="10">
        <x:f>IF(AJ17&lt;&gt;"",(0.6*AJ17+0.4*AU17),IF((Weights!$C$11*IF(AU17="",0,1)+Weights!$C$12*IF(BM17="",0,1))=0,"",(Weights!$C$11*IF(AU17="",0,AU17)+Weights!$C$12*IF(BM17="",0,BM17))/(Weights!$C$11*IF(AU17="",0,1)+Weights!$C$12*IF(BM17="",0,1))))</x:f>
      </x:c>
      <x:c r="BV17" s="10">
        <x:f>IF(CG17="",0,CG17)</x:f>
      </x:c>
      <x:c r="BW17" s="10">
        <x:f>IF(AP17="","",AP17)</x:f>
      </x:c>
      <x:c r="BX17" s="10">
        <x:f>IF(AO17="","",AO17)</x:f>
      </x:c>
      <x:c r="BY17" s="10">
        <x:f>IF(AL17="","",AL17)</x:f>
      </x:c>
      <x:c r="BZ17" s="10">
        <x:f>IF(AM17="","",AM17)</x:f>
      </x:c>
      <x:c r="CA17" s="10">
        <x:f>IF(AK17&lt;&gt;"",AK17,AW17)</x:f>
      </x:c>
      <x:c r="CB17" s="10">
        <x:f>IF((Weights!$C$13*IF(BP17="",0,1)+Weights!$C$14*IF(BR17="",0,1)+Weights!$C$15*IF(BQ17="",0,1)+Weights!$C$16*IF(BS17="",0,1)+Weights!$C$17*IF(BU17="",0,1)+Weights!$C$18*IF(BT17="",0,1)+Weights!$C$19*IF(BW17="",0,1)+Weights!$C$20*IF(BZ17="",0,1)+Weights!$C$21*IF(BO17="",0,1)+Weights!$C$22)=0,"",(Weights!$C$13*IF(BP17="",0,BP17)+Weights!$C$14*IF(BR17="",0,BR17)+Weights!$C$15*IF(BQ17="",0,BQ17)+Weights!$C$16*IF(BS17="",0,BS17)+Weights!$C$17*IF(BU17="",0,BU17)+Weights!$C$18*IF(BT17="",0,BT17)+Weights!$C$19*IF(BW17="",0,BW17)+Weights!$C$20*IF(BZ17="",0,BZ17)+Weights!$C$21*IF(BO17="",0,BO17)+Weights!$C$22*BV17)/(Weights!$C$13*IF(BP17="",0,1)+Weights!$C$14*IF(BR17="",0,1)+Weights!$C$15*IF(BQ17="",0,1)+Weights!$C$16*IF(BS17="",0,1)+Weights!$C$17*IF(BU17="",0,1)+Weights!$C$18*IF(BT17="",0,1)+Weights!$C$19*IF(BW17="",0,1)+Weights!$C$20*IF(BZ17="",0,1)+Weights!$C$21*IF(BO17="",0,1)+Weights!$C$22))</x:f>
      </x:c>
      <x:c r="CC17" s="10">
        <x:f>IF((Weights!$C$23*IF(BQ17="",0,1)+Weights!$C$24*IF(BN17="",0,1)+Weights!$C$25*IF(BS17="",0,1)+Weights!$C$26*IF(BY17="",0,1)+Weights!$C$27*IF(BX17="",0,1)+Weights!$C$28*IF(BT17="",0,1)+Weights!$C$29*IF(CA17="",0,1)+Weights!$C$30+Weights!$C$31*IF(BU17="",0,1))=0,"",(Weights!$C$23*IF(BQ17="",0,BQ17)+Weights!$C$24*IF(BN17="",0,BN17)+Weights!$C$25*IF(BS17="",0,BS17)+Weights!$C$26*IF(BY17="",0,BY17)+Weights!$C$27*IF(BX17="",0,BX17)+Weights!$C$28*IF(BT17="",0,BT17)+Weights!$C$29*IF(CA17="",0,CA17)+Weights!$C$30*BV17+Weights!$C$31*IF(BU17="",0,BU17))/(Weights!$C$23*IF(BQ17="",0,1)+Weights!$C$24*IF(BN17="",0,1)+Weights!$C$25*IF(BS17="",0,1)+Weights!$C$26*IF(BY17="",0,1)+Weights!$C$27*IF(BX17="",0,1)+Weights!$C$28*IF(BT17="",0,1)+Weights!$C$29*IF(CA17="",0,1)+Weights!$C$30+Weights!$C$31*IF(BU17="",0,1)))</x:f>
      </x:c>
      <x:c r="CD17" s="10">
        <x:f>IF(AND(CB17="",CC17=""),"",IF(CB17="",CC17,IF(CC17="",CB17,AVERAGE(CB17,CC17))))</x:f>
      </x:c>
      <x:c r="CE17" s="7">
        <x:f>ROUND(100*((IF(BP17&lt;&gt;"",1,0)+IF(BQ17&lt;&gt;"",1,0)+IF(BR17&lt;&gt;"",1,0)+IF(BS17&lt;&gt;"",1,0)+IF(BU17&lt;&gt;"",1,0)+IF(BT17&lt;&gt;"",1,0)+IF(BN17&lt;&gt;"",1,0)+IF(AW17&lt;&gt;"",1,0))/8),0)</x:f>
      </x:c>
      <x:c r="CF17">
        <x:f>IF(V17="","",LOG10(V17+1))</x:f>
      </x:c>
      <x:c r="CG17">
        <x:f>IF(CF17="","",IF(MAX($CF$2:$CF$252)-MIN($CF$2:$CF$252)=0,"",(CF17-MIN($CF$2:$CF$252))/(MAX($CF$2:$CF$252)-MIN($CF$2:$CF$252))*100))</x:f>
      </x:c>
    </x:row>
    <x:row r="18">
      <x:c r="A18" t="inlineStr">
        <x:is>
          <x:t xml:space="preserve">BRN</x:t>
        </x:is>
      </x:c>
      <x:c r="B18" t="inlineStr">
        <x:is>
          <x:t xml:space="preserve">Brunei Darussalam</x:t>
        </x:is>
      </x:c>
      <x:c r="C18" t="inlineStr">
        <x:is>
          <x:t xml:space="preserve">East Asia &amp; Pacific</x:t>
        </x:is>
      </x:c>
      <x:c r="D18" t="inlineStr">
        <x:is>
          <x:t xml:space="preserve">High income</x:t>
        </x:is>
      </x:c>
      <x:c r="E18" t="inlineStr">
        <x:is>
          <x:t xml:space="preserve">Asia</x:t>
        </x:is>
      </x:c>
      <x:c r="F18" t="n">
        <x:v>2024</x:v>
      </x:c>
      <x:c r="G18" t="n">
        <x:v>462721</x:v>
      </x:c>
      <x:c r="H18" t="n">
        <x:v>2020</x:v>
      </x:c>
      <x:c r="I18" t="n">
        <x:v>8000</x:v>
      </x:c>
      <x:c r="J18" t="n">
        <x:v>5200</x:v>
      </x:c>
      <x:c r="K18" t="n">
        <x:v>1600</x:v>
      </x:c>
      <x:c r="L18" t="n">
        <x:v>960</x:v>
      </x:c>
      <x:c r="M18" t="n">
        <x:v>2024</x:v>
      </x:c>
      <x:c r="N18" s="8" t="n">
        <x:v>558608208.955224</x:v>
      </x:c>
      <x:c r="O18" s="9" t="n">
        <x:v>3.57781609529419</x:v>
      </x:c>
      <x:c r="P18" s="8" t="n">
        <x:v>69826.026119403</x:v>
      </x:c>
      <x:c r="Q18" t="n">
        <x:v>2024</x:v>
      </x:c>
      <x:c r="R18" s="8" t="n">
        <x:v>15340808592.48</x:v>
      </x:c>
      <x:c r="S18" t="n">
        <x:v>0</x:v>
      </x:c>
      <x:c r="T18" t="n">
        <x:v>0</x:v>
      </x:c>
      <x:c r="U18" t="inlineStr">
        <x:is>
          <x:t xml:space="preserve">No</x:t>
        </x:is>
      </x:c>
      <x:c r="W18" t="inlineStr">
        <x:is>
          <x:t xml:space="preserve">No</x:t>
        </x:is>
      </x:c>
      <x:c r="X18" t="n">
        <x:v>9.773483063455263</x:v>
      </x:c>
      <x:c r="Y18" t="n">
        <x:v>80.70366014415097</x:v>
      </x:c>
      <x:c r="Z18" t="n">
        <x:v>10700.33424579811</x:v>
      </x:c>
      <x:c r="AA18" t="n">
        <x:v>41.45599472036993</x:v>
      </x:c>
      <x:c r="AB18" s="8" t="n">
        <x:v>76038.17012441585</x:v>
      </x:c>
      <x:c r="AI18" t="n">
        <x:v>10.6</x:v>
      </x:c>
      <x:c r="AJ18" t="n">
        <x:v>3.4</x:v>
      </x:c>
      <x:c r="AK18" t="n">
        <x:v>5</x:v>
      </x:c>
      <x:c r="AL18" t="n">
        <x:v>31</x:v>
      </x:c>
      <x:c r="AM18" t="n">
        <x:v>2.3</x:v>
      </x:c>
      <x:c r="AN18" t="n">
        <x:v>8.6</x:v>
      </x:c>
      <x:c r="AO18" t="n">
        <x:v>4</x:v>
      </x:c>
      <x:c r="AP18" t="n">
        <x:v>33.5</x:v>
      </x:c>
      <x:c r="AQ18" t="n">
        <x:v>7.4</x:v>
      </x:c>
      <x:c r="AR18">
        <x:f>IF(G18="","",LOG10(G18+1))</x:f>
        <x:v>5.665320148411644</x:v>
      </x:c>
      <x:c r="AS18" s="10">
        <x:f>IF(AR18="","",IF(MAX($AR$2:$AR$252)-MIN($AR$2:$AR$252)=0,"",(AR18-MIN($AR$2:$AR$252))/(MAX($AR$2:$AR$252)-MIN($AR$2:$AR$252))*100))</x:f>
        <x:v>67.7122499828949</x:v>
      </x:c>
      <x:c r="AT18">
        <x:f>IF(R18="","",LOG10(R18+1))</x:f>
        <x:v>10.185848251296893</x:v>
      </x:c>
      <x:c r="AU18" s="10">
        <x:f>IF(AT18="","",IF(MAX($AT$2:$AT$252)-MIN($AT$2:$AT$252)=0,"",(AT18-MIN($AT$2:$AT$252))/(MAX($AT$2:$AT$252)-MIN($AT$2:$AT$252))*100))</x:f>
        <x:v>80.38858454629803</x:v>
      </x:c>
      <x:c r="AV18">
        <x:f>IF(N18="","",LOG10(N18+1))</x:f>
        <x:v>8.747107314308145</x:v>
      </x:c>
      <x:c r="AW18" s="10">
        <x:f>IF(AV18="","",IF(MAX($AV$2:$AV$252)-MIN($AV$2:$AV$252)=0,"",(AV18-MIN($AV$2:$AV$252))/(MAX($AV$2:$AV$252)-MIN($AV$2:$AV$252))*100))</x:f>
        <x:v>79.90605193830113</x:v>
      </x:c>
      <x:c r="AX18">
        <x:f>IF(I18="","",LOG10(I18+1))</x:f>
        <x:v>3.9031442704095385</x:v>
      </x:c>
      <x:c r="AY18" s="10">
        <x:f>IF(AX18="","",IF(MAX($AX$2:$AX$252)-MIN($AX$2:$AX$252)=0,"",(AX18-MIN($AX$2:$AX$252))/(MAX($AX$2:$AX$252)-MIN($AX$2:$AX$252))*100))</x:f>
      </x:c>
      <x:c r="AZ18">
        <x:f>IF(J18="","",LOG10(J18+1))</x:f>
      </x:c>
      <x:c r="BA18" s="10">
        <x:f>IF(AZ18="","",IF(MAX($AZ$2:$AZ$252)-MIN($AZ$2:$AZ$252)=0,"",(AZ18-MIN($AZ$2:$AZ$252))/(MAX($AZ$2:$AZ$252)-MIN($AZ$2:$AZ$252))*100))</x:f>
      </x:c>
      <x:c r="BB18">
        <x:f>IF(K18="","",LOG10(K18+1))</x:f>
      </x:c>
      <x:c r="BC18" s="10">
        <x:f>IF(BB18="","",IF(MAX($BB$2:$BB$252)-MIN($BB$2:$BB$252)=0,"",(BB18-MIN($BB$2:$BB$252))/(MAX($BB$2:$BB$252)-MIN($BB$2:$BB$252))*100))</x:f>
      </x:c>
      <x:c r="BD18">
        <x:f>IF(L18="","",LOG10(L18+1))</x:f>
      </x:c>
      <x:c r="BE18" s="10">
        <x:f>IF(BD18="","",IF(MAX($BD$2:$BD$252)-MIN($BD$2:$BD$252)=0,"",(BD18-MIN($BD$2:$BD$252))/(MAX($BD$2:$BD$252)-MIN($BD$2:$BD$252))*100))</x:f>
      </x:c>
      <x:c r="BF18" s="10">
        <x:f>IF(P18="","",IF(MAX($P$2:$P$252)-MIN($P$2:$P$252)=0,"",(P18-MIN($P$2:$P$252))/(MAX($P$2:$P$252)-MIN($P$2:$P$252))*100))</x:f>
      </x:c>
      <x:c r="BG18">
        <x:f>IF(AF18="","",LOG10(AF18+1))</x:f>
      </x:c>
      <x:c r="BH18" s="10">
        <x:f>IF(BG18="","",IF(MAX($BG$2:$BG$252)-MIN($BG$2:$BG$252)=0,"",(BG18-MIN($BG$2:$BG$252))/(MAX($BG$2:$BG$252)-MIN($BG$2:$BG$252))*100))</x:f>
      </x:c>
      <x:c r="BI18">
        <x:f>IF(AC18="","",LOG10(AC18+1))</x:f>
      </x:c>
      <x:c r="BJ18" s="10">
        <x:f>IF(BI18="","",IF(MAX($BI$2:$BI$252)-MIN($BI$2:$BI$252)=0,"",(BI18-MIN($BI$2:$BI$252))/(MAX($BI$2:$BI$252)-MIN($BI$2:$BI$252))*100))</x:f>
      </x:c>
      <x:c r="BK18">
        <x:f>IF(AD18="","",(AD18*2)+(AE18*1))</x:f>
      </x:c>
      <x:c r="BL18" s="10">
        <x:f>IF(BK18="","",IF(MAX($BK$2:$BK$252)-MIN($BK$2:$BK$252)=0,"",(BK18-MIN($BK$2:$BK$252))/(MAX($BK$2:$BK$252)-MIN($BK$2:$BK$252))*100))</x:f>
      </x:c>
      <x:c r="BM18" s="10">
        <x:f>IF(AB18="","",IF(MAX($AB$2:$AB$252)-MIN($AB$2:$AB$252)=0,"",(AB18-MIN($AB$2:$AB$252))/(MAX($AB$2:$AB$252)-MIN($AB$2:$AB$252))*100))</x:f>
      </x:c>
      <x:c r="BN18" s="10">
        <x:f>IF(X18="","",X18)</x:f>
      </x:c>
      <x:c r="BO18" s="10">
        <x:f>IF(X18="","",100-X18)</x:f>
      </x:c>
      <x:c r="BP18" s="10">
        <x:f>IF((Weights!$C$2*IF(BH18="",0,1)+Weights!$C$3*IF(BJ18="",0,1)+Weights!$C$4*IF(BL18="",0,1))=0,"",(Weights!$C$2*IF(BH18="",0,BH18)+Weights!$C$3*IF(BJ18="",0,BJ18)+Weights!$C$4*IF(BL18="",0,BL18))/(Weights!$C$2*IF(BH18="",0,1)+Weights!$C$3*IF(BJ18="",0,1)+Weights!$C$4*IF(BL18="",0,1)))</x:f>
      </x:c>
      <x:c r="BQ18" s="10">
        <x:f>IF((Weights!$C$5*IF(BA18="",0,1)+Weights!$C$6*IF(AW18="",0,1)+Weights!$C$7*IF(AU18="",0,1))=0,"",(Weights!$C$5*IF(BA18="",0,BA18)+Weights!$C$6*IF(AW18="",0,AW18)+Weights!$C$7*IF(AU18="",0,AU18))/(Weights!$C$5*IF(BA18="",0,1)+Weights!$C$6*IF(AW18="",0,1)+Weights!$C$7*IF(AU18="",0,1)))</x:f>
      </x:c>
      <x:c r="BR18" s="10">
        <x:f>IF((Weights!$C$8*IF(AW18="",0,1)+Weights!$C$9*IF(BC18="",0,1)+Weights!$C$10*IF(BF18="",0,1))=0,"",(Weights!$C$8*IF(AW18="",0,AW18)+Weights!$C$9*IF(BC18="",0,BC18)+Weights!$C$10*IF(BF18="",0,BF18))/(Weights!$C$8*IF(AW18="",0,1)+Weights!$C$9*IF(BC18="",0,1)+Weights!$C$10*IF(BF18="",0,1)))</x:f>
      </x:c>
      <x:c r="BS18" s="10">
        <x:f>IF(Y18="","",Y18)</x:f>
      </x:c>
      <x:c r="BT18" s="10">
        <x:f>IF(AS18="","",AS18)</x:f>
      </x:c>
      <x:c r="BU18" s="10">
        <x:f>IF(AJ18&lt;&gt;"",(0.6*AJ18+0.4*AU18),IF((Weights!$C$11*IF(AU18="",0,1)+Weights!$C$12*IF(BM18="",0,1))=0,"",(Weights!$C$11*IF(AU18="",0,AU18)+Weights!$C$12*IF(BM18="",0,BM18))/(Weights!$C$11*IF(AU18="",0,1)+Weights!$C$12*IF(BM18="",0,1))))</x:f>
      </x:c>
      <x:c r="BV18" s="10">
        <x:f>IF(CG18="",0,CG18)</x:f>
      </x:c>
      <x:c r="BW18" s="10">
        <x:f>IF(AP18="","",AP18)</x:f>
      </x:c>
      <x:c r="BX18" s="10">
        <x:f>IF(AO18="","",AO18)</x:f>
      </x:c>
      <x:c r="BY18" s="10">
        <x:f>IF(AL18="","",AL18)</x:f>
      </x:c>
      <x:c r="BZ18" s="10">
        <x:f>IF(AM18="","",AM18)</x:f>
      </x:c>
      <x:c r="CA18" s="10">
        <x:f>IF(AK18&lt;&gt;"",AK18,AW18)</x:f>
      </x:c>
      <x:c r="CB18" s="10">
        <x:f>IF((Weights!$C$13*IF(BP18="",0,1)+Weights!$C$14*IF(BR18="",0,1)+Weights!$C$15*IF(BQ18="",0,1)+Weights!$C$16*IF(BS18="",0,1)+Weights!$C$17*IF(BU18="",0,1)+Weights!$C$18*IF(BT18="",0,1)+Weights!$C$19*IF(BW18="",0,1)+Weights!$C$20*IF(BZ18="",0,1)+Weights!$C$21*IF(BO18="",0,1)+Weights!$C$22)=0,"",(Weights!$C$13*IF(BP18="",0,BP18)+Weights!$C$14*IF(BR18="",0,BR18)+Weights!$C$15*IF(BQ18="",0,BQ18)+Weights!$C$16*IF(BS18="",0,BS18)+Weights!$C$17*IF(BU18="",0,BU18)+Weights!$C$18*IF(BT18="",0,BT18)+Weights!$C$19*IF(BW18="",0,BW18)+Weights!$C$20*IF(BZ18="",0,BZ18)+Weights!$C$21*IF(BO18="",0,BO18)+Weights!$C$22*BV18)/(Weights!$C$13*IF(BP18="",0,1)+Weights!$C$14*IF(BR18="",0,1)+Weights!$C$15*IF(BQ18="",0,1)+Weights!$C$16*IF(BS18="",0,1)+Weights!$C$17*IF(BU18="",0,1)+Weights!$C$18*IF(BT18="",0,1)+Weights!$C$19*IF(BW18="",0,1)+Weights!$C$20*IF(BZ18="",0,1)+Weights!$C$21*IF(BO18="",0,1)+Weights!$C$22))</x:f>
      </x:c>
      <x:c r="CC18" s="10">
        <x:f>IF((Weights!$C$23*IF(BQ18="",0,1)+Weights!$C$24*IF(BN18="",0,1)+Weights!$C$25*IF(BS18="",0,1)+Weights!$C$26*IF(BY18="",0,1)+Weights!$C$27*IF(BX18="",0,1)+Weights!$C$28*IF(BT18="",0,1)+Weights!$C$29*IF(CA18="",0,1)+Weights!$C$30+Weights!$C$31*IF(BU18="",0,1))=0,"",(Weights!$C$23*IF(BQ18="",0,BQ18)+Weights!$C$24*IF(BN18="",0,BN18)+Weights!$C$25*IF(BS18="",0,BS18)+Weights!$C$26*IF(BY18="",0,BY18)+Weights!$C$27*IF(BX18="",0,BX18)+Weights!$C$28*IF(BT18="",0,BT18)+Weights!$C$29*IF(CA18="",0,CA18)+Weights!$C$30*BV18+Weights!$C$31*IF(BU18="",0,BU18))/(Weights!$C$23*IF(BQ18="",0,1)+Weights!$C$24*IF(BN18="",0,1)+Weights!$C$25*IF(BS18="",0,1)+Weights!$C$26*IF(BY18="",0,1)+Weights!$C$27*IF(BX18="",0,1)+Weights!$C$28*IF(BT18="",0,1)+Weights!$C$29*IF(CA18="",0,1)+Weights!$C$30+Weights!$C$31*IF(BU18="",0,1)))</x:f>
      </x:c>
      <x:c r="CD18" s="10">
        <x:f>IF(AND(CB18="",CC18=""),"",IF(CB18="",CC18,IF(CC18="",CB18,AVERAGE(CB18,CC18))))</x:f>
      </x:c>
      <x:c r="CE18" s="7">
        <x:f>ROUND(100*((IF(BP18&lt;&gt;"",1,0)+IF(BQ18&lt;&gt;"",1,0)+IF(BR18&lt;&gt;"",1,0)+IF(BS18&lt;&gt;"",1,0)+IF(BU18&lt;&gt;"",1,0)+IF(BT18&lt;&gt;"",1,0)+IF(BN18&lt;&gt;"",1,0)+IF(AW18&lt;&gt;"",1,0))/8),0)</x:f>
      </x:c>
      <x:c r="CF18">
        <x:f>IF(V18="","",LOG10(V18+1))</x:f>
      </x:c>
      <x:c r="CG18">
        <x:f>IF(CF18="","",IF(MAX($CF$2:$CF$252)-MIN($CF$2:$CF$252)=0,"",(CF18-MIN($CF$2:$CF$252))/(MAX($CF$2:$CF$252)-MIN($CF$2:$CF$252))*100))</x:f>
      </x:c>
    </x:row>
    <x:row r="19">
      <x:c r="A19" t="inlineStr">
        <x:is>
          <x:t xml:space="preserve">BFA</x:t>
        </x:is>
      </x:c>
      <x:c r="B19" t="inlineStr">
        <x:is>
          <x:t xml:space="preserve">Burkina Faso</x:t>
        </x:is>
      </x:c>
      <x:c r="C19" t="inlineStr">
        <x:is>
          <x:t xml:space="preserve">Sub-Saharan Africa</x:t>
        </x:is>
      </x:c>
      <x:c r="D19" t="inlineStr">
        <x:is>
          <x:t xml:space="preserve">Low income</x:t>
        </x:is>
      </x:c>
      <x:c r="E19" t="inlineStr">
        <x:is>
          <x:t xml:space="preserve">Africa</x:t>
        </x:is>
      </x:c>
      <x:c r="F19" t="n">
        <x:v>2024</x:v>
      </x:c>
      <x:c r="G19" t="n">
        <x:v>23548781</x:v>
      </x:c>
      <x:c r="H19" t="n">
        <x:v>2020</x:v>
      </x:c>
      <x:c r="I19" t="n">
        <x:v>11000</x:v>
      </x:c>
      <x:c r="J19" t="n">
        <x:v>7150</x:v>
      </x:c>
      <x:c r="K19" t="n">
        <x:v>2200</x:v>
      </x:c>
      <x:c r="L19" t="n">
        <x:v>1320</x:v>
      </x:c>
      <x:c r="M19" t="n">
        <x:v>2024</x:v>
      </x:c>
      <x:c r="N19" s="8" t="n">
        <x:v>1023672220.14258</x:v>
      </x:c>
      <x:c r="O19" s="9" t="n">
        <x:v>4.67973196943363</x:v>
      </x:c>
      <x:c r="P19" s="8" t="n">
        <x:v>93061.11092205273</x:v>
      </x:c>
      <x:c r="Q19" t="n">
        <x:v>2024</x:v>
      </x:c>
      <x:c r="R19" s="8" t="n">
        <x:v>23124729853.0218</x:v>
      </x:c>
      <x:c r="S19" t="n">
        <x:v>0</x:v>
      </x:c>
      <x:c r="T19" t="n">
        <x:v>0</x:v>
      </x:c>
      <x:c r="U19" t="inlineStr">
        <x:is>
          <x:t xml:space="preserve">No</x:t>
        </x:is>
      </x:c>
      <x:c r="W19" t="inlineStr">
        <x:is>
          <x:t xml:space="preserve">No</x:t>
        </x:is>
      </x:c>
      <x:c r="X19" t="n">
        <x:v>12.27770785923628</x:v>
      </x:c>
      <x:c r="Y19" t="n">
        <x:v>28.10278827824348</x:v>
      </x:c>
      <x:c r="Z19" t="n">
        <x:v>271593.6719431606</x:v>
      </x:c>
      <x:c r="AA19" t="n">
        <x:v>74.03526325240787</x:v>
      </x:c>
      <x:c r="AB19" s="8" t="n">
        <x:v>1640.680603450184</x:v>
      </x:c>
      <x:c r="AR19">
        <x:f>IF(G19="","",LOG10(G19+1))</x:f>
        <x:v>7.371968449284084</x:v>
      </x:c>
      <x:c r="AS19" s="10">
        <x:f>IF(AR19="","",IF(MAX($AR$2:$AR$252)-MIN($AR$2:$AR$252)=0,"",(AR19-MIN($AR$2:$AR$252))/(MAX($AR$2:$AR$252)-MIN($AR$2:$AR$252))*100))</x:f>
        <x:v>88.11021397332475</x:v>
      </x:c>
      <x:c r="AT19">
        <x:f>IF(R19="","",LOG10(R19+1))</x:f>
        <x:v>10.364076667958402</x:v>
      </x:c>
      <x:c r="AU19" s="10">
        <x:f>IF(AT19="","",IF(MAX($AT$2:$AT$252)-MIN($AT$2:$AT$252)=0,"",(AT19-MIN($AT$2:$AT$252))/(MAX($AT$2:$AT$252)-MIN($AT$2:$AT$252))*100))</x:f>
        <x:v>81.79519593377108</x:v>
      </x:c>
      <x:c r="AV19">
        <x:f>IF(N19="","",LOG10(N19+1))</x:f>
        <x:v>9.010160918224573</x:v>
      </x:c>
      <x:c r="AW19" s="10">
        <x:f>IF(AV19="","",IF(MAX($AV$2:$AV$252)-MIN($AV$2:$AV$252)=0,"",(AV19-MIN($AV$2:$AV$252))/(MAX($AV$2:$AV$252)-MIN($AV$2:$AV$252))*100))</x:f>
        <x:v>82.30908349854282</x:v>
      </x:c>
      <x:c r="AX19">
        <x:f>IF(I19="","",LOG10(I19+1))</x:f>
        <x:v>4.0414321646802644</x:v>
      </x:c>
      <x:c r="AY19" s="10">
        <x:f>IF(AX19="","",IF(MAX($AX$2:$AX$252)-MIN($AX$2:$AX$252)=0,"",(AX19-MIN($AX$2:$AX$252))/(MAX($AX$2:$AX$252)-MIN($AX$2:$AX$252))*100))</x:f>
      </x:c>
      <x:c r="AZ19">
        <x:f>IF(J19="","",LOG10(J19+1))</x:f>
      </x:c>
      <x:c r="BA19" s="10">
        <x:f>IF(AZ19="","",IF(MAX($AZ$2:$AZ$252)-MIN($AZ$2:$AZ$252)=0,"",(AZ19-MIN($AZ$2:$AZ$252))/(MAX($AZ$2:$AZ$252)-MIN($AZ$2:$AZ$252))*100))</x:f>
      </x:c>
      <x:c r="BB19">
        <x:f>IF(K19="","",LOG10(K19+1))</x:f>
      </x:c>
      <x:c r="BC19" s="10">
        <x:f>IF(BB19="","",IF(MAX($BB$2:$BB$252)-MIN($BB$2:$BB$252)=0,"",(BB19-MIN($BB$2:$BB$252))/(MAX($BB$2:$BB$252)-MIN($BB$2:$BB$252))*100))</x:f>
      </x:c>
      <x:c r="BD19">
        <x:f>IF(L19="","",LOG10(L19+1))</x:f>
      </x:c>
      <x:c r="BE19" s="10">
        <x:f>IF(BD19="","",IF(MAX($BD$2:$BD$252)-MIN($BD$2:$BD$252)=0,"",(BD19-MIN($BD$2:$BD$252))/(MAX($BD$2:$BD$252)-MIN($BD$2:$BD$252))*100))</x:f>
      </x:c>
      <x:c r="BF19" s="10">
        <x:f>IF(P19="","",IF(MAX($P$2:$P$252)-MIN($P$2:$P$252)=0,"",(P19-MIN($P$2:$P$252))/(MAX($P$2:$P$252)-MIN($P$2:$P$252))*100))</x:f>
      </x:c>
      <x:c r="BG19">
        <x:f>IF(AF19="","",LOG10(AF19+1))</x:f>
      </x:c>
      <x:c r="BH19" s="10">
        <x:f>IF(BG19="","",IF(MAX($BG$2:$BG$252)-MIN($BG$2:$BG$252)=0,"",(BG19-MIN($BG$2:$BG$252))/(MAX($BG$2:$BG$252)-MIN($BG$2:$BG$252))*100))</x:f>
      </x:c>
      <x:c r="BI19">
        <x:f>IF(AC19="","",LOG10(AC19+1))</x:f>
      </x:c>
      <x:c r="BJ19" s="10">
        <x:f>IF(BI19="","",IF(MAX($BI$2:$BI$252)-MIN($BI$2:$BI$252)=0,"",(BI19-MIN($BI$2:$BI$252))/(MAX($BI$2:$BI$252)-MIN($BI$2:$BI$252))*100))</x:f>
      </x:c>
      <x:c r="BK19">
        <x:f>IF(AD19="","",(AD19*2)+(AE19*1))</x:f>
      </x:c>
      <x:c r="BL19" s="10">
        <x:f>IF(BK19="","",IF(MAX($BK$2:$BK$252)-MIN($BK$2:$BK$252)=0,"",(BK19-MIN($BK$2:$BK$252))/(MAX($BK$2:$BK$252)-MIN($BK$2:$BK$252))*100))</x:f>
      </x:c>
      <x:c r="BM19" s="10">
        <x:f>IF(AB19="","",IF(MAX($AB$2:$AB$252)-MIN($AB$2:$AB$252)=0,"",(AB19-MIN($AB$2:$AB$252))/(MAX($AB$2:$AB$252)-MIN($AB$2:$AB$252))*100))</x:f>
      </x:c>
      <x:c r="BN19" s="10">
        <x:f>IF(X19="","",X19)</x:f>
      </x:c>
      <x:c r="BO19" s="10">
        <x:f>IF(X19="","",100-X19)</x:f>
      </x:c>
      <x:c r="BP19" s="10">
        <x:f>IF((Weights!$C$2*IF(BH19="",0,1)+Weights!$C$3*IF(BJ19="",0,1)+Weights!$C$4*IF(BL19="",0,1))=0,"",(Weights!$C$2*IF(BH19="",0,BH19)+Weights!$C$3*IF(BJ19="",0,BJ19)+Weights!$C$4*IF(BL19="",0,BL19))/(Weights!$C$2*IF(BH19="",0,1)+Weights!$C$3*IF(BJ19="",0,1)+Weights!$C$4*IF(BL19="",0,1)))</x:f>
      </x:c>
      <x:c r="BQ19" s="10">
        <x:f>IF((Weights!$C$5*IF(BA19="",0,1)+Weights!$C$6*IF(AW19="",0,1)+Weights!$C$7*IF(AU19="",0,1))=0,"",(Weights!$C$5*IF(BA19="",0,BA19)+Weights!$C$6*IF(AW19="",0,AW19)+Weights!$C$7*IF(AU19="",0,AU19))/(Weights!$C$5*IF(BA19="",0,1)+Weights!$C$6*IF(AW19="",0,1)+Weights!$C$7*IF(AU19="",0,1)))</x:f>
      </x:c>
      <x:c r="BR19" s="10">
        <x:f>IF((Weights!$C$8*IF(AW19="",0,1)+Weights!$C$9*IF(BC19="",0,1)+Weights!$C$10*IF(BF19="",0,1))=0,"",(Weights!$C$8*IF(AW19="",0,AW19)+Weights!$C$9*IF(BC19="",0,BC19)+Weights!$C$10*IF(BF19="",0,BF19))/(Weights!$C$8*IF(AW19="",0,1)+Weights!$C$9*IF(BC19="",0,1)+Weights!$C$10*IF(BF19="",0,1)))</x:f>
      </x:c>
      <x:c r="BS19" s="10">
        <x:f>IF(Y19="","",Y19)</x:f>
      </x:c>
      <x:c r="BT19" s="10">
        <x:f>IF(AS19="","",AS19)</x:f>
      </x:c>
      <x:c r="BU19" s="10">
        <x:f>IF(AJ19&lt;&gt;"",(0.6*AJ19+0.4*AU19),IF((Weights!$C$11*IF(AU19="",0,1)+Weights!$C$12*IF(BM19="",0,1))=0,"",(Weights!$C$11*IF(AU19="",0,AU19)+Weights!$C$12*IF(BM19="",0,BM19))/(Weights!$C$11*IF(AU19="",0,1)+Weights!$C$12*IF(BM19="",0,1))))</x:f>
      </x:c>
      <x:c r="BV19" s="10">
        <x:f>IF(CG19="",0,CG19)</x:f>
      </x:c>
      <x:c r="BW19" s="10">
        <x:f>IF(AP19="","",AP19)</x:f>
      </x:c>
      <x:c r="BX19" s="10">
        <x:f>IF(AO19="","",AO19)</x:f>
      </x:c>
      <x:c r="BY19" s="10">
        <x:f>IF(AL19="","",AL19)</x:f>
      </x:c>
      <x:c r="BZ19" s="10">
        <x:f>IF(AM19="","",AM19)</x:f>
      </x:c>
      <x:c r="CA19" s="10">
        <x:f>IF(AK19&lt;&gt;"",AK19,AW19)</x:f>
      </x:c>
      <x:c r="CB19" s="10">
        <x:f>IF((Weights!$C$13*IF(BP19="",0,1)+Weights!$C$14*IF(BR19="",0,1)+Weights!$C$15*IF(BQ19="",0,1)+Weights!$C$16*IF(BS19="",0,1)+Weights!$C$17*IF(BU19="",0,1)+Weights!$C$18*IF(BT19="",0,1)+Weights!$C$19*IF(BW19="",0,1)+Weights!$C$20*IF(BZ19="",0,1)+Weights!$C$21*IF(BO19="",0,1)+Weights!$C$22)=0,"",(Weights!$C$13*IF(BP19="",0,BP19)+Weights!$C$14*IF(BR19="",0,BR19)+Weights!$C$15*IF(BQ19="",0,BQ19)+Weights!$C$16*IF(BS19="",0,BS19)+Weights!$C$17*IF(BU19="",0,BU19)+Weights!$C$18*IF(BT19="",0,BT19)+Weights!$C$19*IF(BW19="",0,BW19)+Weights!$C$20*IF(BZ19="",0,BZ19)+Weights!$C$21*IF(BO19="",0,BO19)+Weights!$C$22*BV19)/(Weights!$C$13*IF(BP19="",0,1)+Weights!$C$14*IF(BR19="",0,1)+Weights!$C$15*IF(BQ19="",0,1)+Weights!$C$16*IF(BS19="",0,1)+Weights!$C$17*IF(BU19="",0,1)+Weights!$C$18*IF(BT19="",0,1)+Weights!$C$19*IF(BW19="",0,1)+Weights!$C$20*IF(BZ19="",0,1)+Weights!$C$21*IF(BO19="",0,1)+Weights!$C$22))</x:f>
      </x:c>
      <x:c r="CC19" s="10">
        <x:f>IF((Weights!$C$23*IF(BQ19="",0,1)+Weights!$C$24*IF(BN19="",0,1)+Weights!$C$25*IF(BS19="",0,1)+Weights!$C$26*IF(BY19="",0,1)+Weights!$C$27*IF(BX19="",0,1)+Weights!$C$28*IF(BT19="",0,1)+Weights!$C$29*IF(CA19="",0,1)+Weights!$C$30+Weights!$C$31*IF(BU19="",0,1))=0,"",(Weights!$C$23*IF(BQ19="",0,BQ19)+Weights!$C$24*IF(BN19="",0,BN19)+Weights!$C$25*IF(BS19="",0,BS19)+Weights!$C$26*IF(BY19="",0,BY19)+Weights!$C$27*IF(BX19="",0,BX19)+Weights!$C$28*IF(BT19="",0,BT19)+Weights!$C$29*IF(CA19="",0,CA19)+Weights!$C$30*BV19+Weights!$C$31*IF(BU19="",0,BU19))/(Weights!$C$23*IF(BQ19="",0,1)+Weights!$C$24*IF(BN19="",0,1)+Weights!$C$25*IF(BS19="",0,1)+Weights!$C$26*IF(BY19="",0,1)+Weights!$C$27*IF(BX19="",0,1)+Weights!$C$28*IF(BT19="",0,1)+Weights!$C$29*IF(CA19="",0,1)+Weights!$C$30+Weights!$C$31*IF(BU19="",0,1)))</x:f>
      </x:c>
      <x:c r="CD19" s="10">
        <x:f>IF(AND(CB19="",CC19=""),"",IF(CB19="",CC19,IF(CC19="",CB19,AVERAGE(CB19,CC19))))</x:f>
      </x:c>
      <x:c r="CE19" s="7">
        <x:f>ROUND(100*((IF(BP19&lt;&gt;"",1,0)+IF(BQ19&lt;&gt;"",1,0)+IF(BR19&lt;&gt;"",1,0)+IF(BS19&lt;&gt;"",1,0)+IF(BU19&lt;&gt;"",1,0)+IF(BT19&lt;&gt;"",1,0)+IF(BN19&lt;&gt;"",1,0)+IF(AW19&lt;&gt;"",1,0))/8),0)</x:f>
      </x:c>
      <x:c r="CF19">
        <x:f>IF(V19="","",LOG10(V19+1))</x:f>
      </x:c>
      <x:c r="CG19">
        <x:f>IF(CF19="","",IF(MAX($CF$2:$CF$252)-MIN($CF$2:$CF$252)=0,"",(CF19-MIN($CF$2:$CF$252))/(MAX($CF$2:$CF$252)-MIN($CF$2:$CF$252))*100))</x:f>
      </x:c>
    </x:row>
    <x:row r="20">
      <x:c r="A20" t="inlineStr">
        <x:is>
          <x:t xml:space="preserve">CAN</x:t>
        </x:is>
      </x:c>
      <x:c r="B20" t="inlineStr">
        <x:is>
          <x:t xml:space="preserve">Canada</x:t>
        </x:is>
      </x:c>
      <x:c r="C20" t="inlineStr">
        <x:is>
          <x:t xml:space="preserve">North America</x:t>
        </x:is>
      </x:c>
      <x:c r="D20" t="inlineStr">
        <x:is>
          <x:t xml:space="preserve">High income</x:t>
        </x:is>
      </x:c>
      <x:c r="E20" t="inlineStr">
        <x:is>
          <x:t xml:space="preserve">North America</x:t>
        </x:is>
      </x:c>
      <x:c r="F20" t="n">
        <x:v>2024</x:v>
      </x:c>
      <x:c r="G20" t="n">
        <x:v>41288599</x:v>
      </x:c>
      <x:c r="H20" t="n">
        <x:v>2020</x:v>
      </x:c>
      <x:c r="I20" t="n">
        <x:v>72000</x:v>
      </x:c>
      <x:c r="J20" t="n">
        <x:v>46800</x:v>
      </x:c>
      <x:c r="K20" t="n">
        <x:v>14400</x:v>
      </x:c>
      <x:c r="L20" t="n">
        <x:v>8640</x:v>
      </x:c>
      <x:c r="M20" t="n">
        <x:v>2024</x:v>
      </x:c>
      <x:c r="N20" s="8" t="n">
        <x:v>29346897810.219</x:v>
      </x:c>
      <x:c r="O20" s="9" t="n">
        <x:v>1.31303419578919</x:v>
      </x:c>
      <x:c r="P20" s="8" t="n">
        <x:v>407595.8029197084</x:v>
      </x:c>
      <x:c r="Q20" t="n">
        <x:v>2024</x:v>
      </x:c>
      <x:c r="R20" s="8" t="n">
        <x:v>2243636826633.76</x:v>
      </x:c>
      <x:c r="S20" t="n">
        <x:v>63</x:v>
      </x:c>
      <x:c r="T20" t="n">
        <x:v>1</x:v>
      </x:c>
      <x:c r="U20" t="inlineStr">
        <x:is>
          <x:t xml:space="preserve">No</x:t>
        </x:is>
      </x:c>
      <x:c r="W20" t="inlineStr">
        <x:is>
          <x:t xml:space="preserve">No</x:t>
        </x:is>
      </x:c>
      <x:c r="X20" t="n">
        <x:v>100</x:v>
      </x:c>
      <x:c r="Y20" t="n">
        <x:v>59.63932313978334</x:v>
      </x:c>
      <x:c r="Z20" t="n">
        <x:v>10036042.97678732</x:v>
      </x:c>
      <x:c r="AA20" t="n">
        <x:v>3.549574277670505</x:v>
      </x:c>
      <x:c r="AB20" s="8" t="n">
        <x:v>46991.21483238116</x:v>
      </x:c>
      <x:c r="AC20" t="n">
        <x:v>67</x:v>
      </x:c>
      <x:c r="AD20" t="n">
        <x:v>0</x:v>
      </x:c>
      <x:c r="AE20" t="n">
        <x:v>0</x:v>
      </x:c>
      <x:c r="AF20" t="n">
        <x:v>43.7</x:v>
      </x:c>
      <x:c r="AG20" t="n">
        <x:v>40</x:v>
      </x:c>
      <x:c r="AH20" t="n">
        <x:v>23</x:v>
      </x:c>
      <x:c r="AR20">
        <x:f>IF(G20="","",LOG10(G20+1))</x:f>
        <x:v>7.6158301572127325</x:v>
      </x:c>
      <x:c r="AS20" s="10">
        <x:f>IF(AR20="","",IF(MAX($AR$2:$AR$252)-MIN($AR$2:$AR$252)=0,"",(AR20-MIN($AR$2:$AR$252))/(MAX($AR$2:$AR$252)-MIN($AR$2:$AR$252))*100))</x:f>
        <x:v>91.0248638952978</x:v>
      </x:c>
      <x:c r="AT20">
        <x:f>IF(R20="","",LOG10(R20+1))</x:f>
        <x:v>12.350952559824288</x:v>
      </x:c>
      <x:c r="AU20" s="10">
        <x:f>IF(AT20="","",IF(MAX($AT$2:$AT$252)-MIN($AT$2:$AT$252)=0,"",(AT20-MIN($AT$2:$AT$252))/(MAX($AT$2:$AT$252)-MIN($AT$2:$AT$252))*100))</x:f>
        <x:v>97.47598526773015</x:v>
      </x:c>
      <x:c r="AV20">
        <x:f>IF(N20="","",LOG10(N20+1))</x:f>
        <x:v>10.467562199802547</x:v>
      </x:c>
      <x:c r="AW20" s="10">
        <x:f>IF(AV20="","",IF(MAX($AV$2:$AV$252)-MIN($AV$2:$AV$252)=0,"",(AV20-MIN($AV$2:$AV$252))/(MAX($AV$2:$AV$252)-MIN($AV$2:$AV$252))*100))</x:f>
        <x:v>95.62264857967814</x:v>
      </x:c>
      <x:c r="AX20">
        <x:f>IF(I20="","",LOG10(I20+1))</x:f>
        <x:v>4.857338528257184</x:v>
      </x:c>
      <x:c r="AY20" s="10">
        <x:f>IF(AX20="","",IF(MAX($AX$2:$AX$252)-MIN($AX$2:$AX$252)=0,"",(AX20-MIN($AX$2:$AX$252))/(MAX($AX$2:$AX$252)-MIN($AX$2:$AX$252))*100))</x:f>
      </x:c>
      <x:c r="AZ20">
        <x:f>IF(J20="","",LOG10(J20+1))</x:f>
      </x:c>
      <x:c r="BA20" s="10">
        <x:f>IF(AZ20="","",IF(MAX($AZ$2:$AZ$252)-MIN($AZ$2:$AZ$252)=0,"",(AZ20-MIN($AZ$2:$AZ$252))/(MAX($AZ$2:$AZ$252)-MIN($AZ$2:$AZ$252))*100))</x:f>
      </x:c>
      <x:c r="BB20">
        <x:f>IF(K20="","",LOG10(K20+1))</x:f>
      </x:c>
      <x:c r="BC20" s="10">
        <x:f>IF(BB20="","",IF(MAX($BB$2:$BB$252)-MIN($BB$2:$BB$252)=0,"",(BB20-MIN($BB$2:$BB$252))/(MAX($BB$2:$BB$252)-MIN($BB$2:$BB$252))*100))</x:f>
      </x:c>
      <x:c r="BD20">
        <x:f>IF(L20="","",LOG10(L20+1))</x:f>
      </x:c>
      <x:c r="BE20" s="10">
        <x:f>IF(BD20="","",IF(MAX($BD$2:$BD$252)-MIN($BD$2:$BD$252)=0,"",(BD20-MIN($BD$2:$BD$252))/(MAX($BD$2:$BD$252)-MIN($BD$2:$BD$252))*100))</x:f>
      </x:c>
      <x:c r="BF20" s="10">
        <x:f>IF(P20="","",IF(MAX($P$2:$P$252)-MIN($P$2:$P$252)=0,"",(P20-MIN($P$2:$P$252))/(MAX($P$2:$P$252)-MIN($P$2:$P$252))*100))</x:f>
      </x:c>
      <x:c r="BG20">
        <x:f>IF(AF20="","",LOG10(AF20+1))</x:f>
      </x:c>
      <x:c r="BH20" s="10">
        <x:f>IF(BG20="","",IF(MAX($BG$2:$BG$252)-MIN($BG$2:$BG$252)=0,"",(BG20-MIN($BG$2:$BG$252))/(MAX($BG$2:$BG$252)-MIN($BG$2:$BG$252))*100))</x:f>
      </x:c>
      <x:c r="BI20">
        <x:f>IF(AC20="","",LOG10(AC20+1))</x:f>
      </x:c>
      <x:c r="BJ20" s="10">
        <x:f>IF(BI20="","",IF(MAX($BI$2:$BI$252)-MIN($BI$2:$BI$252)=0,"",(BI20-MIN($BI$2:$BI$252))/(MAX($BI$2:$BI$252)-MIN($BI$2:$BI$252))*100))</x:f>
      </x:c>
      <x:c r="BK20">
        <x:f>IF(AD20="","",(AD20*2)+(AE20*1))</x:f>
      </x:c>
      <x:c r="BL20" s="10">
        <x:f>IF(BK20="","",IF(MAX($BK$2:$BK$252)-MIN($BK$2:$BK$252)=0,"",(BK20-MIN($BK$2:$BK$252))/(MAX($BK$2:$BK$252)-MIN($BK$2:$BK$252))*100))</x:f>
      </x:c>
      <x:c r="BM20" s="10">
        <x:f>IF(AB20="","",IF(MAX($AB$2:$AB$252)-MIN($AB$2:$AB$252)=0,"",(AB20-MIN($AB$2:$AB$252))/(MAX($AB$2:$AB$252)-MIN($AB$2:$AB$252))*100))</x:f>
      </x:c>
      <x:c r="BN20" s="10">
        <x:f>IF(X20="","",X20)</x:f>
      </x:c>
      <x:c r="BO20" s="10">
        <x:f>IF(X20="","",100-X20)</x:f>
      </x:c>
      <x:c r="BP20" s="10">
        <x:f>IF((Weights!$C$2*IF(BH20="",0,1)+Weights!$C$3*IF(BJ20="",0,1)+Weights!$C$4*IF(BL20="",0,1))=0,"",(Weights!$C$2*IF(BH20="",0,BH20)+Weights!$C$3*IF(BJ20="",0,BJ20)+Weights!$C$4*IF(BL20="",0,BL20))/(Weights!$C$2*IF(BH20="",0,1)+Weights!$C$3*IF(BJ20="",0,1)+Weights!$C$4*IF(BL20="",0,1)))</x:f>
      </x:c>
      <x:c r="BQ20" s="10">
        <x:f>IF((Weights!$C$5*IF(BA20="",0,1)+Weights!$C$6*IF(AW20="",0,1)+Weights!$C$7*IF(AU20="",0,1))=0,"",(Weights!$C$5*IF(BA20="",0,BA20)+Weights!$C$6*IF(AW20="",0,AW20)+Weights!$C$7*IF(AU20="",0,AU20))/(Weights!$C$5*IF(BA20="",0,1)+Weights!$C$6*IF(AW20="",0,1)+Weights!$C$7*IF(AU20="",0,1)))</x:f>
      </x:c>
      <x:c r="BR20" s="10">
        <x:f>IF((Weights!$C$8*IF(AW20="",0,1)+Weights!$C$9*IF(BC20="",0,1)+Weights!$C$10*IF(BF20="",0,1))=0,"",(Weights!$C$8*IF(AW20="",0,AW20)+Weights!$C$9*IF(BC20="",0,BC20)+Weights!$C$10*IF(BF20="",0,BF20))/(Weights!$C$8*IF(AW20="",0,1)+Weights!$C$9*IF(BC20="",0,1)+Weights!$C$10*IF(BF20="",0,1)))</x:f>
      </x:c>
      <x:c r="BS20" s="10">
        <x:f>IF(Y20="","",Y20)</x:f>
      </x:c>
      <x:c r="BT20" s="10">
        <x:f>IF(AS20="","",AS20)</x:f>
      </x:c>
      <x:c r="BU20" s="10">
        <x:f>IF(AJ20&lt;&gt;"",(0.6*AJ20+0.4*AU20),IF((Weights!$C$11*IF(AU20="",0,1)+Weights!$C$12*IF(BM20="",0,1))=0,"",(Weights!$C$11*IF(AU20="",0,AU20)+Weights!$C$12*IF(BM20="",0,BM20))/(Weights!$C$11*IF(AU20="",0,1)+Weights!$C$12*IF(BM20="",0,1))))</x:f>
      </x:c>
      <x:c r="BV20" s="10">
        <x:f>IF(CG20="",0,CG20)</x:f>
      </x:c>
      <x:c r="BW20" s="10">
        <x:f>IF(AP20="","",AP20)</x:f>
      </x:c>
      <x:c r="BX20" s="10">
        <x:f>IF(AO20="","",AO20)</x:f>
      </x:c>
      <x:c r="BY20" s="10">
        <x:f>IF(AL20="","",AL20)</x:f>
      </x:c>
      <x:c r="BZ20" s="10">
        <x:f>IF(AM20="","",AM20)</x:f>
      </x:c>
      <x:c r="CA20" s="10">
        <x:f>IF(AK20&lt;&gt;"",AK20,AW20)</x:f>
      </x:c>
      <x:c r="CB20" s="10">
        <x:f>IF((Weights!$C$13*IF(BP20="",0,1)+Weights!$C$14*IF(BR20="",0,1)+Weights!$C$15*IF(BQ20="",0,1)+Weights!$C$16*IF(BS20="",0,1)+Weights!$C$17*IF(BU20="",0,1)+Weights!$C$18*IF(BT20="",0,1)+Weights!$C$19*IF(BW20="",0,1)+Weights!$C$20*IF(BZ20="",0,1)+Weights!$C$21*IF(BO20="",0,1)+Weights!$C$22)=0,"",(Weights!$C$13*IF(BP20="",0,BP20)+Weights!$C$14*IF(BR20="",0,BR20)+Weights!$C$15*IF(BQ20="",0,BQ20)+Weights!$C$16*IF(BS20="",0,BS20)+Weights!$C$17*IF(BU20="",0,BU20)+Weights!$C$18*IF(BT20="",0,BT20)+Weights!$C$19*IF(BW20="",0,BW20)+Weights!$C$20*IF(BZ20="",0,BZ20)+Weights!$C$21*IF(BO20="",0,BO20)+Weights!$C$22*BV20)/(Weights!$C$13*IF(BP20="",0,1)+Weights!$C$14*IF(BR20="",0,1)+Weights!$C$15*IF(BQ20="",0,1)+Weights!$C$16*IF(BS20="",0,1)+Weights!$C$17*IF(BU20="",0,1)+Weights!$C$18*IF(BT20="",0,1)+Weights!$C$19*IF(BW20="",0,1)+Weights!$C$20*IF(BZ20="",0,1)+Weights!$C$21*IF(BO20="",0,1)+Weights!$C$22))</x:f>
      </x:c>
      <x:c r="CC20" s="10">
        <x:f>IF((Weights!$C$23*IF(BQ20="",0,1)+Weights!$C$24*IF(BN20="",0,1)+Weights!$C$25*IF(BS20="",0,1)+Weights!$C$26*IF(BY20="",0,1)+Weights!$C$27*IF(BX20="",0,1)+Weights!$C$28*IF(BT20="",0,1)+Weights!$C$29*IF(CA20="",0,1)+Weights!$C$30+Weights!$C$31*IF(BU20="",0,1))=0,"",(Weights!$C$23*IF(BQ20="",0,BQ20)+Weights!$C$24*IF(BN20="",0,BN20)+Weights!$C$25*IF(BS20="",0,BS20)+Weights!$C$26*IF(BY20="",0,BY20)+Weights!$C$27*IF(BX20="",0,BX20)+Weights!$C$28*IF(BT20="",0,BT20)+Weights!$C$29*IF(CA20="",0,CA20)+Weights!$C$30*BV20+Weights!$C$31*IF(BU20="",0,BU20))/(Weights!$C$23*IF(BQ20="",0,1)+Weights!$C$24*IF(BN20="",0,1)+Weights!$C$25*IF(BS20="",0,1)+Weights!$C$26*IF(BY20="",0,1)+Weights!$C$27*IF(BX20="",0,1)+Weights!$C$28*IF(BT20="",0,1)+Weights!$C$29*IF(CA20="",0,1)+Weights!$C$30+Weights!$C$31*IF(BU20="",0,1)))</x:f>
      </x:c>
      <x:c r="CD20" s="10">
        <x:f>IF(AND(CB20="",CC20=""),"",IF(CB20="",CC20,IF(CC20="",CB20,AVERAGE(CB20,CC20))))</x:f>
      </x:c>
      <x:c r="CE20" s="7">
        <x:f>ROUND(100*((IF(BP20&lt;&gt;"",1,0)+IF(BQ20&lt;&gt;"",1,0)+IF(BR20&lt;&gt;"",1,0)+IF(BS20&lt;&gt;"",1,0)+IF(BU20&lt;&gt;"",1,0)+IF(BT20&lt;&gt;"",1,0)+IF(BN20&lt;&gt;"",1,0)+IF(AW20&lt;&gt;"",1,0))/8),0)</x:f>
      </x:c>
      <x:c r="CF20">
        <x:f>IF(V20="","",LOG10(V20+1))</x:f>
      </x:c>
      <x:c r="CG20">
        <x:f>IF(CF20="","",IF(MAX($CF$2:$CF$252)-MIN($CF$2:$CF$252)=0,"",(CF20-MIN($CF$2:$CF$252))/(MAX($CF$2:$CF$252)-MIN($CF$2:$CF$252))*100))</x:f>
      </x:c>
    </x:row>
    <x:row r="21">
      <x:c r="A21" t="inlineStr">
        <x:is>
          <x:t xml:space="preserve">CYM</x:t>
        </x:is>
      </x:c>
      <x:c r="B21" t="inlineStr">
        <x:is>
          <x:t xml:space="preserve">Cayman Islands</x:t>
        </x:is>
      </x:c>
      <x:c r="C21" t="inlineStr">
        <x:is>
          <x:t xml:space="preserve">Latin America &amp; Caribbean</x:t>
        </x:is>
      </x:c>
      <x:c r="D21" t="inlineStr">
        <x:is>
          <x:t xml:space="preserve">High income</x:t>
        </x:is>
      </x:c>
      <x:c r="F21" t="n">
        <x:v>2024</x:v>
      </x:c>
      <x:c r="G21" t="n">
        <x:v>74457</x:v>
      </x:c>
      <x:c r="N21" s="8" t="n"/>
      <x:c r="O21" s="9" t="n"/>
      <x:c r="P21" s="8" t="n"/>
      <x:c r="Q21" t="n">
        <x:v>2023</x:v>
      </x:c>
      <x:c r="R21" s="8" t="n">
        <x:v>7241244269.45972</x:v>
      </x:c>
      <x:c r="S21" t="n">
        <x:v>0</x:v>
      </x:c>
      <x:c r="T21" t="n">
        <x:v>0</x:v>
      </x:c>
      <x:c r="U21" t="inlineStr">
        <x:is>
          <x:t xml:space="preserve">No</x:t>
        </x:is>
      </x:c>
      <x:c r="W21" t="inlineStr">
        <x:is>
          <x:t xml:space="preserve">No</x:t>
        </x:is>
      </x:c>
      <x:c r="AB21" s="8" t="n"/>
      <x:c r="AR21">
        <x:f>IF(G21="","",LOG10(G21+1))</x:f>
        <x:v>4.871911366550259</x:v>
      </x:c>
      <x:c r="AS21" s="10">
        <x:f>IF(AR21="","",IF(MAX($AR$2:$AR$252)-MIN($AR$2:$AR$252)=0,"",(AR21-MIN($AR$2:$AR$252))/(MAX($AR$2:$AR$252)-MIN($AR$2:$AR$252))*100))</x:f>
        <x:v>58.229380106408854</x:v>
      </x:c>
      <x:c r="AT21">
        <x:f>IF(R21="","",LOG10(R21+1))</x:f>
        <x:v>9.859813197877392</x:v>
      </x:c>
      <x:c r="AU21" s="10">
        <x:f>IF(AT21="","",IF(MAX($AT$2:$AT$252)-MIN($AT$2:$AT$252)=0,"",(AT21-MIN($AT$2:$AT$252))/(MAX($AT$2:$AT$252)-MIN($AT$2:$AT$252))*100))</x:f>
        <x:v>77.81545604386494</x:v>
      </x:c>
      <x:c r="AV21">
        <x:f>IF(N21="","",LOG10(N21+1))</x:f>
      </x:c>
      <x:c r="AW21" s="10">
        <x:f>IF(AV21="","",IF(MAX($AV$2:$AV$252)-MIN($AV$2:$AV$252)=0,"",(AV21-MIN($AV$2:$AV$252))/(MAX($AV$2:$AV$252)-MIN($AV$2:$AV$252))*100))</x:f>
      </x:c>
      <x:c r="AX21">
        <x:f>IF(I21="","",LOG10(I21+1))</x:f>
      </x:c>
      <x:c r="AY21" s="10">
        <x:f>IF(AX21="","",IF(MAX($AX$2:$AX$252)-MIN($AX$2:$AX$252)=0,"",(AX21-MIN($AX$2:$AX$252))/(MAX($AX$2:$AX$252)-MIN($AX$2:$AX$252))*100))</x:f>
      </x:c>
      <x:c r="AZ21">
        <x:f>IF(J21="","",LOG10(J21+1))</x:f>
      </x:c>
      <x:c r="BA21" s="10">
        <x:f>IF(AZ21="","",IF(MAX($AZ$2:$AZ$252)-MIN($AZ$2:$AZ$252)=0,"",(AZ21-MIN($AZ$2:$AZ$252))/(MAX($AZ$2:$AZ$252)-MIN($AZ$2:$AZ$252))*100))</x:f>
      </x:c>
      <x:c r="BB21">
        <x:f>IF(K21="","",LOG10(K21+1))</x:f>
      </x:c>
      <x:c r="BC21" s="10">
        <x:f>IF(BB21="","",IF(MAX($BB$2:$BB$252)-MIN($BB$2:$BB$252)=0,"",(BB21-MIN($BB$2:$BB$252))/(MAX($BB$2:$BB$252)-MIN($BB$2:$BB$252))*100))</x:f>
      </x:c>
      <x:c r="BD21">
        <x:f>IF(L21="","",LOG10(L21+1))</x:f>
      </x:c>
      <x:c r="BE21" s="10">
        <x:f>IF(BD21="","",IF(MAX($BD$2:$BD$252)-MIN($BD$2:$BD$252)=0,"",(BD21-MIN($BD$2:$BD$252))/(MAX($BD$2:$BD$252)-MIN($BD$2:$BD$252))*100))</x:f>
      </x:c>
      <x:c r="BF21" s="10">
        <x:f>IF(P21="","",IF(MAX($P$2:$P$252)-MIN($P$2:$P$252)=0,"",(P21-MIN($P$2:$P$252))/(MAX($P$2:$P$252)-MIN($P$2:$P$252))*100))</x:f>
      </x:c>
      <x:c r="BG21">
        <x:f>IF(AF21="","",LOG10(AF21+1))</x:f>
      </x:c>
      <x:c r="BH21" s="10">
        <x:f>IF(BG21="","",IF(MAX($BG$2:$BG$252)-MIN($BG$2:$BG$252)=0,"",(BG21-MIN($BG$2:$BG$252))/(MAX($BG$2:$BG$252)-MIN($BG$2:$BG$252))*100))</x:f>
      </x:c>
      <x:c r="BI21">
        <x:f>IF(AC21="","",LOG10(AC21+1))</x:f>
      </x:c>
      <x:c r="BJ21" s="10">
        <x:f>IF(BI21="","",IF(MAX($BI$2:$BI$252)-MIN($BI$2:$BI$252)=0,"",(BI21-MIN($BI$2:$BI$252))/(MAX($BI$2:$BI$252)-MIN($BI$2:$BI$252))*100))</x:f>
      </x:c>
      <x:c r="BK21">
        <x:f>IF(AD21="","",(AD21*2)+(AE21*1))</x:f>
      </x:c>
      <x:c r="BL21" s="10">
        <x:f>IF(BK21="","",IF(MAX($BK$2:$BK$252)-MIN($BK$2:$BK$252)=0,"",(BK21-MIN($BK$2:$BK$252))/(MAX($BK$2:$BK$252)-MIN($BK$2:$BK$252))*100))</x:f>
      </x:c>
      <x:c r="BM21" s="10">
        <x:f>IF(AB21="","",IF(MAX($AB$2:$AB$252)-MIN($AB$2:$AB$252)=0,"",(AB21-MIN($AB$2:$AB$252))/(MAX($AB$2:$AB$252)-MIN($AB$2:$AB$252))*100))</x:f>
      </x:c>
      <x:c r="BN21" s="10">
        <x:f>IF(X21="","",X21)</x:f>
      </x:c>
      <x:c r="BO21" s="10">
        <x:f>IF(X21="","",100-X21)</x:f>
      </x:c>
      <x:c r="BP21" s="10">
        <x:f>IF((Weights!$C$2*IF(BH21="",0,1)+Weights!$C$3*IF(BJ21="",0,1)+Weights!$C$4*IF(BL21="",0,1))=0,"",(Weights!$C$2*IF(BH21="",0,BH21)+Weights!$C$3*IF(BJ21="",0,BJ21)+Weights!$C$4*IF(BL21="",0,BL21))/(Weights!$C$2*IF(BH21="",0,1)+Weights!$C$3*IF(BJ21="",0,1)+Weights!$C$4*IF(BL21="",0,1)))</x:f>
      </x:c>
      <x:c r="BQ21" s="10">
        <x:f>IF((Weights!$C$5*IF(BA21="",0,1)+Weights!$C$6*IF(AW21="",0,1)+Weights!$C$7*IF(AU21="",0,1))=0,"",(Weights!$C$5*IF(BA21="",0,BA21)+Weights!$C$6*IF(AW21="",0,AW21)+Weights!$C$7*IF(AU21="",0,AU21))/(Weights!$C$5*IF(BA21="",0,1)+Weights!$C$6*IF(AW21="",0,1)+Weights!$C$7*IF(AU21="",0,1)))</x:f>
      </x:c>
      <x:c r="BR21" s="10">
        <x:f>IF((Weights!$C$8*IF(AW21="",0,1)+Weights!$C$9*IF(BC21="",0,1)+Weights!$C$10*IF(BF21="",0,1))=0,"",(Weights!$C$8*IF(AW21="",0,AW21)+Weights!$C$9*IF(BC21="",0,BC21)+Weights!$C$10*IF(BF21="",0,BF21))/(Weights!$C$8*IF(AW21="",0,1)+Weights!$C$9*IF(BC21="",0,1)+Weights!$C$10*IF(BF21="",0,1)))</x:f>
      </x:c>
      <x:c r="BS21" s="10">
        <x:f>IF(Y21="","",Y21)</x:f>
      </x:c>
      <x:c r="BT21" s="10">
        <x:f>IF(AS21="","",AS21)</x:f>
      </x:c>
      <x:c r="BU21" s="10">
        <x:f>IF(AJ21&lt;&gt;"",(0.6*AJ21+0.4*AU21),IF((Weights!$C$11*IF(AU21="",0,1)+Weights!$C$12*IF(BM21="",0,1))=0,"",(Weights!$C$11*IF(AU21="",0,AU21)+Weights!$C$12*IF(BM21="",0,BM21))/(Weights!$C$11*IF(AU21="",0,1)+Weights!$C$12*IF(BM21="",0,1))))</x:f>
      </x:c>
      <x:c r="BV21" s="10">
        <x:f>IF(CG21="",0,CG21)</x:f>
      </x:c>
      <x:c r="BW21" s="10">
        <x:f>IF(AP21="","",AP21)</x:f>
      </x:c>
      <x:c r="BX21" s="10">
        <x:f>IF(AO21="","",AO21)</x:f>
      </x:c>
      <x:c r="BY21" s="10">
        <x:f>IF(AL21="","",AL21)</x:f>
      </x:c>
      <x:c r="BZ21" s="10">
        <x:f>IF(AM21="","",AM21)</x:f>
      </x:c>
      <x:c r="CA21" s="10">
        <x:f>IF(AK21&lt;&gt;"",AK21,AW21)</x:f>
      </x:c>
      <x:c r="CB21" s="10">
        <x:f>IF((Weights!$C$13*IF(BP21="",0,1)+Weights!$C$14*IF(BR21="",0,1)+Weights!$C$15*IF(BQ21="",0,1)+Weights!$C$16*IF(BS21="",0,1)+Weights!$C$17*IF(BU21="",0,1)+Weights!$C$18*IF(BT21="",0,1)+Weights!$C$19*IF(BW21="",0,1)+Weights!$C$20*IF(BZ21="",0,1)+Weights!$C$21*IF(BO21="",0,1)+Weights!$C$22)=0,"",(Weights!$C$13*IF(BP21="",0,BP21)+Weights!$C$14*IF(BR21="",0,BR21)+Weights!$C$15*IF(BQ21="",0,BQ21)+Weights!$C$16*IF(BS21="",0,BS21)+Weights!$C$17*IF(BU21="",0,BU21)+Weights!$C$18*IF(BT21="",0,BT21)+Weights!$C$19*IF(BW21="",0,BW21)+Weights!$C$20*IF(BZ21="",0,BZ21)+Weights!$C$21*IF(BO21="",0,BO21)+Weights!$C$22*BV21)/(Weights!$C$13*IF(BP21="",0,1)+Weights!$C$14*IF(BR21="",0,1)+Weights!$C$15*IF(BQ21="",0,1)+Weights!$C$16*IF(BS21="",0,1)+Weights!$C$17*IF(BU21="",0,1)+Weights!$C$18*IF(BT21="",0,1)+Weights!$C$19*IF(BW21="",0,1)+Weights!$C$20*IF(BZ21="",0,1)+Weights!$C$21*IF(BO21="",0,1)+Weights!$C$22))</x:f>
      </x:c>
      <x:c r="CC21" s="10">
        <x:f>IF((Weights!$C$23*IF(BQ21="",0,1)+Weights!$C$24*IF(BN21="",0,1)+Weights!$C$25*IF(BS21="",0,1)+Weights!$C$26*IF(BY21="",0,1)+Weights!$C$27*IF(BX21="",0,1)+Weights!$C$28*IF(BT21="",0,1)+Weights!$C$29*IF(CA21="",0,1)+Weights!$C$30+Weights!$C$31*IF(BU21="",0,1))=0,"",(Weights!$C$23*IF(BQ21="",0,BQ21)+Weights!$C$24*IF(BN21="",0,BN21)+Weights!$C$25*IF(BS21="",0,BS21)+Weights!$C$26*IF(BY21="",0,BY21)+Weights!$C$27*IF(BX21="",0,BX21)+Weights!$C$28*IF(BT21="",0,BT21)+Weights!$C$29*IF(CA21="",0,CA21)+Weights!$C$30*BV21+Weights!$C$31*IF(BU21="",0,BU21))/(Weights!$C$23*IF(BQ21="",0,1)+Weights!$C$24*IF(BN21="",0,1)+Weights!$C$25*IF(BS21="",0,1)+Weights!$C$26*IF(BY21="",0,1)+Weights!$C$27*IF(BX21="",0,1)+Weights!$C$28*IF(BT21="",0,1)+Weights!$C$29*IF(CA21="",0,1)+Weights!$C$30+Weights!$C$31*IF(BU21="",0,1)))</x:f>
      </x:c>
      <x:c r="CD21" s="10">
        <x:f>IF(AND(CB21="",CC21=""),"",IF(CB21="",CC21,IF(CC21="",CB21,AVERAGE(CB21,CC21))))</x:f>
      </x:c>
      <x:c r="CE21" s="7">
        <x:f>ROUND(100*((IF(BP21&lt;&gt;"",1,0)+IF(BQ21&lt;&gt;"",1,0)+IF(BR21&lt;&gt;"",1,0)+IF(BS21&lt;&gt;"",1,0)+IF(BU21&lt;&gt;"",1,0)+IF(BT21&lt;&gt;"",1,0)+IF(BN21&lt;&gt;"",1,0)+IF(AW21&lt;&gt;"",1,0))/8),0)</x:f>
      </x:c>
      <x:c r="CF21">
        <x:f>IF(V21="","",LOG10(V21+1))</x:f>
      </x:c>
      <x:c r="CG21">
        <x:f>IF(CF21="","",IF(MAX($CF$2:$CF$252)-MIN($CF$2:$CF$252)=0,"",(CF21-MIN($CF$2:$CF$252))/(MAX($CF$2:$CF$252)-MIN($CF$2:$CF$252))*100))</x:f>
      </x:c>
    </x:row>
    <x:row r="22">
      <x:c r="A22" t="inlineStr">
        <x:is>
          <x:t xml:space="preserve">CAF</x:t>
        </x:is>
      </x:c>
      <x:c r="B22" t="inlineStr">
        <x:is>
          <x:t xml:space="preserve">Central African Republic</x:t>
        </x:is>
      </x:c>
      <x:c r="C22" t="inlineStr">
        <x:is>
          <x:t xml:space="preserve">Sub-Saharan Africa</x:t>
        </x:is>
      </x:c>
      <x:c r="D22" t="inlineStr">
        <x:is>
          <x:t xml:space="preserve">Low income</x:t>
        </x:is>
      </x:c>
      <x:c r="E22" t="inlineStr">
        <x:is>
          <x:t xml:space="preserve">Africa</x:t>
        </x:is>
      </x:c>
      <x:c r="F22" t="n">
        <x:v>2024</x:v>
      </x:c>
      <x:c r="G22" t="n">
        <x:v>5330690</x:v>
      </x:c>
      <x:c r="H22" t="n">
        <x:v>2020</x:v>
      </x:c>
      <x:c r="I22" t="n">
        <x:v>10000</x:v>
      </x:c>
      <x:c r="J22" t="n">
        <x:v>6500</x:v>
      </x:c>
      <x:c r="K22" t="n">
        <x:v>2000</x:v>
      </x:c>
      <x:c r="L22" t="n">
        <x:v>1200</x:v>
      </x:c>
      <x:c r="M22" t="n">
        <x:v>2024</x:v>
      </x:c>
      <x:c r="N22" s="8" t="n">
        <x:v>71174969.9459274</x:v>
      </x:c>
      <x:c r="O22" s="9" t="n">
        <x:v>2.51969119903231</x:v>
      </x:c>
      <x:c r="P22" s="8" t="n">
        <x:v>7117.49699459274</x:v>
      </x:c>
      <x:c r="Q22" t="n">
        <x:v>2024</x:v>
      </x:c>
      <x:c r="R22" s="8" t="n">
        <x:v>2751494281.06887</x:v>
      </x:c>
      <x:c r="S22" t="n">
        <x:v>0</x:v>
      </x:c>
      <x:c r="T22" t="n">
        <x:v>0</x:v>
      </x:c>
      <x:c r="U22" t="inlineStr">
        <x:is>
          <x:t xml:space="preserve">No</x:t>
        </x:is>
      </x:c>
      <x:c r="W22" t="inlineStr">
        <x:is>
          <x:t xml:space="preserve">No</x:t>
        </x:is>
      </x:c>
      <x:c r="X22" t="n">
        <x:v>16.92997002270527</x:v>
      </x:c>
      <x:c r="Y22" t="n">
        <x:v>0</x:v>
      </x:c>
      <x:c r="Z22" t="n">
        <x:v>621860.3491850537</x:v>
      </x:c>
      <x:c r="AA22" t="n">
        <x:v>9.045628986269508</x:v>
      </x:c>
      <x:c r="AB22" s="8" t="n">
        <x:v>569.9435994053814</x:v>
      </x:c>
      <x:c r="AR22">
        <x:f>IF(G22="","",LOG10(G22+1))</x:f>
        <x:v>6.726783508845676</x:v>
      </x:c>
      <x:c r="AS22" s="10">
        <x:f>IF(AR22="","",IF(MAX($AR$2:$AR$252)-MIN($AR$2:$AR$252)=0,"",(AR22-MIN($AR$2:$AR$252))/(MAX($AR$2:$AR$252)-MIN($AR$2:$AR$252))*100))</x:f>
        <x:v>80.3989244384495</x:v>
      </x:c>
      <x:c r="AT22">
        <x:f>IF(R22="","",LOG10(R22+1))</x:f>
        <x:v>9.439568614632721</x:v>
      </x:c>
      <x:c r="AU22" s="10">
        <x:f>IF(AT22="","",IF(MAX($AT$2:$AT$252)-MIN($AT$2:$AT$252)=0,"",(AT22-MIN($AT$2:$AT$252))/(MAX($AT$2:$AT$252)-MIN($AT$2:$AT$252))*100))</x:f>
        <x:v>74.4988086349477</x:v>
      </x:c>
      <x:c r="AV22">
        <x:f>IF(N22="","",LOG10(N22+1))</x:f>
        <x:v>7.852327298537277</x:v>
      </x:c>
      <x:c r="AW22" s="10">
        <x:f>IF(AV22="","",IF(MAX($AV$2:$AV$252)-MIN($AV$2:$AV$252)=0,"",(AV22-MIN($AV$2:$AV$252))/(MAX($AV$2:$AV$252)-MIN($AV$2:$AV$252))*100))</x:f>
        <x:v>71.73211101767393</x:v>
      </x:c>
      <x:c r="AX22">
        <x:f>IF(I22="","",LOG10(I22+1))</x:f>
        <x:v>4.000043427276863</x:v>
      </x:c>
      <x:c r="AY22" s="10">
        <x:f>IF(AX22="","",IF(MAX($AX$2:$AX$252)-MIN($AX$2:$AX$252)=0,"",(AX22-MIN($AX$2:$AX$252))/(MAX($AX$2:$AX$252)-MIN($AX$2:$AX$252))*100))</x:f>
      </x:c>
      <x:c r="AZ22">
        <x:f>IF(J22="","",LOG10(J22+1))</x:f>
      </x:c>
      <x:c r="BA22" s="10">
        <x:f>IF(AZ22="","",IF(MAX($AZ$2:$AZ$252)-MIN($AZ$2:$AZ$252)=0,"",(AZ22-MIN($AZ$2:$AZ$252))/(MAX($AZ$2:$AZ$252)-MIN($AZ$2:$AZ$252))*100))</x:f>
      </x:c>
      <x:c r="BB22">
        <x:f>IF(K22="","",LOG10(K22+1))</x:f>
      </x:c>
      <x:c r="BC22" s="10">
        <x:f>IF(BB22="","",IF(MAX($BB$2:$BB$252)-MIN($BB$2:$BB$252)=0,"",(BB22-MIN($BB$2:$BB$252))/(MAX($BB$2:$BB$252)-MIN($BB$2:$BB$252))*100))</x:f>
      </x:c>
      <x:c r="BD22">
        <x:f>IF(L22="","",LOG10(L22+1))</x:f>
      </x:c>
      <x:c r="BE22" s="10">
        <x:f>IF(BD22="","",IF(MAX($BD$2:$BD$252)-MIN($BD$2:$BD$252)=0,"",(BD22-MIN($BD$2:$BD$252))/(MAX($BD$2:$BD$252)-MIN($BD$2:$BD$252))*100))</x:f>
      </x:c>
      <x:c r="BF22" s="10">
        <x:f>IF(P22="","",IF(MAX($P$2:$P$252)-MIN($P$2:$P$252)=0,"",(P22-MIN($P$2:$P$252))/(MAX($P$2:$P$252)-MIN($P$2:$P$252))*100))</x:f>
      </x:c>
      <x:c r="BG22">
        <x:f>IF(AF22="","",LOG10(AF22+1))</x:f>
      </x:c>
      <x:c r="BH22" s="10">
        <x:f>IF(BG22="","",IF(MAX($BG$2:$BG$252)-MIN($BG$2:$BG$252)=0,"",(BG22-MIN($BG$2:$BG$252))/(MAX($BG$2:$BG$252)-MIN($BG$2:$BG$252))*100))</x:f>
      </x:c>
      <x:c r="BI22">
        <x:f>IF(AC22="","",LOG10(AC22+1))</x:f>
      </x:c>
      <x:c r="BJ22" s="10">
        <x:f>IF(BI22="","",IF(MAX($BI$2:$BI$252)-MIN($BI$2:$BI$252)=0,"",(BI22-MIN($BI$2:$BI$252))/(MAX($BI$2:$BI$252)-MIN($BI$2:$BI$252))*100))</x:f>
      </x:c>
      <x:c r="BK22">
        <x:f>IF(AD22="","",(AD22*2)+(AE22*1))</x:f>
      </x:c>
      <x:c r="BL22" s="10">
        <x:f>IF(BK22="","",IF(MAX($BK$2:$BK$252)-MIN($BK$2:$BK$252)=0,"",(BK22-MIN($BK$2:$BK$252))/(MAX($BK$2:$BK$252)-MIN($BK$2:$BK$252))*100))</x:f>
      </x:c>
      <x:c r="BM22" s="10">
        <x:f>IF(AB22="","",IF(MAX($AB$2:$AB$252)-MIN($AB$2:$AB$252)=0,"",(AB22-MIN($AB$2:$AB$252))/(MAX($AB$2:$AB$252)-MIN($AB$2:$AB$252))*100))</x:f>
      </x:c>
      <x:c r="BN22" s="10">
        <x:f>IF(X22="","",X22)</x:f>
      </x:c>
      <x:c r="BO22" s="10">
        <x:f>IF(X22="","",100-X22)</x:f>
      </x:c>
      <x:c r="BP22" s="10">
        <x:f>IF((Weights!$C$2*IF(BH22="",0,1)+Weights!$C$3*IF(BJ22="",0,1)+Weights!$C$4*IF(BL22="",0,1))=0,"",(Weights!$C$2*IF(BH22="",0,BH22)+Weights!$C$3*IF(BJ22="",0,BJ22)+Weights!$C$4*IF(BL22="",0,BL22))/(Weights!$C$2*IF(BH22="",0,1)+Weights!$C$3*IF(BJ22="",0,1)+Weights!$C$4*IF(BL22="",0,1)))</x:f>
      </x:c>
      <x:c r="BQ22" s="10">
        <x:f>IF((Weights!$C$5*IF(BA22="",0,1)+Weights!$C$6*IF(AW22="",0,1)+Weights!$C$7*IF(AU22="",0,1))=0,"",(Weights!$C$5*IF(BA22="",0,BA22)+Weights!$C$6*IF(AW22="",0,AW22)+Weights!$C$7*IF(AU22="",0,AU22))/(Weights!$C$5*IF(BA22="",0,1)+Weights!$C$6*IF(AW22="",0,1)+Weights!$C$7*IF(AU22="",0,1)))</x:f>
      </x:c>
      <x:c r="BR22" s="10">
        <x:f>IF((Weights!$C$8*IF(AW22="",0,1)+Weights!$C$9*IF(BC22="",0,1)+Weights!$C$10*IF(BF22="",0,1))=0,"",(Weights!$C$8*IF(AW22="",0,AW22)+Weights!$C$9*IF(BC22="",0,BC22)+Weights!$C$10*IF(BF22="",0,BF22))/(Weights!$C$8*IF(AW22="",0,1)+Weights!$C$9*IF(BC22="",0,1)+Weights!$C$10*IF(BF22="",0,1)))</x:f>
      </x:c>
      <x:c r="BS22" s="10">
        <x:f>IF(Y22="","",Y22)</x:f>
      </x:c>
      <x:c r="BT22" s="10">
        <x:f>IF(AS22="","",AS22)</x:f>
      </x:c>
      <x:c r="BU22" s="10">
        <x:f>IF(AJ22&lt;&gt;"",(0.6*AJ22+0.4*AU22),IF((Weights!$C$11*IF(AU22="",0,1)+Weights!$C$12*IF(BM22="",0,1))=0,"",(Weights!$C$11*IF(AU22="",0,AU22)+Weights!$C$12*IF(BM22="",0,BM22))/(Weights!$C$11*IF(AU22="",0,1)+Weights!$C$12*IF(BM22="",0,1))))</x:f>
      </x:c>
      <x:c r="BV22" s="10">
        <x:f>IF(CG22="",0,CG22)</x:f>
      </x:c>
      <x:c r="BW22" s="10">
        <x:f>IF(AP22="","",AP22)</x:f>
      </x:c>
      <x:c r="BX22" s="10">
        <x:f>IF(AO22="","",AO22)</x:f>
      </x:c>
      <x:c r="BY22" s="10">
        <x:f>IF(AL22="","",AL22)</x:f>
      </x:c>
      <x:c r="BZ22" s="10">
        <x:f>IF(AM22="","",AM22)</x:f>
      </x:c>
      <x:c r="CA22" s="10">
        <x:f>IF(AK22&lt;&gt;"",AK22,AW22)</x:f>
      </x:c>
      <x:c r="CB22" s="10">
        <x:f>IF((Weights!$C$13*IF(BP22="",0,1)+Weights!$C$14*IF(BR22="",0,1)+Weights!$C$15*IF(BQ22="",0,1)+Weights!$C$16*IF(BS22="",0,1)+Weights!$C$17*IF(BU22="",0,1)+Weights!$C$18*IF(BT22="",0,1)+Weights!$C$19*IF(BW22="",0,1)+Weights!$C$20*IF(BZ22="",0,1)+Weights!$C$21*IF(BO22="",0,1)+Weights!$C$22)=0,"",(Weights!$C$13*IF(BP22="",0,BP22)+Weights!$C$14*IF(BR22="",0,BR22)+Weights!$C$15*IF(BQ22="",0,BQ22)+Weights!$C$16*IF(BS22="",0,BS22)+Weights!$C$17*IF(BU22="",0,BU22)+Weights!$C$18*IF(BT22="",0,BT22)+Weights!$C$19*IF(BW22="",0,BW22)+Weights!$C$20*IF(BZ22="",0,BZ22)+Weights!$C$21*IF(BO22="",0,BO22)+Weights!$C$22*BV22)/(Weights!$C$13*IF(BP22="",0,1)+Weights!$C$14*IF(BR22="",0,1)+Weights!$C$15*IF(BQ22="",0,1)+Weights!$C$16*IF(BS22="",0,1)+Weights!$C$17*IF(BU22="",0,1)+Weights!$C$18*IF(BT22="",0,1)+Weights!$C$19*IF(BW22="",0,1)+Weights!$C$20*IF(BZ22="",0,1)+Weights!$C$21*IF(BO22="",0,1)+Weights!$C$22))</x:f>
      </x:c>
      <x:c r="CC22" s="10">
        <x:f>IF((Weights!$C$23*IF(BQ22="",0,1)+Weights!$C$24*IF(BN22="",0,1)+Weights!$C$25*IF(BS22="",0,1)+Weights!$C$26*IF(BY22="",0,1)+Weights!$C$27*IF(BX22="",0,1)+Weights!$C$28*IF(BT22="",0,1)+Weights!$C$29*IF(CA22="",0,1)+Weights!$C$30+Weights!$C$31*IF(BU22="",0,1))=0,"",(Weights!$C$23*IF(BQ22="",0,BQ22)+Weights!$C$24*IF(BN22="",0,BN22)+Weights!$C$25*IF(BS22="",0,BS22)+Weights!$C$26*IF(BY22="",0,BY22)+Weights!$C$27*IF(BX22="",0,BX22)+Weights!$C$28*IF(BT22="",0,BT22)+Weights!$C$29*IF(CA22="",0,CA22)+Weights!$C$30*BV22+Weights!$C$31*IF(BU22="",0,BU22))/(Weights!$C$23*IF(BQ22="",0,1)+Weights!$C$24*IF(BN22="",0,1)+Weights!$C$25*IF(BS22="",0,1)+Weights!$C$26*IF(BY22="",0,1)+Weights!$C$27*IF(BX22="",0,1)+Weights!$C$28*IF(BT22="",0,1)+Weights!$C$29*IF(CA22="",0,1)+Weights!$C$30+Weights!$C$31*IF(BU22="",0,1)))</x:f>
      </x:c>
      <x:c r="CD22" s="10">
        <x:f>IF(AND(CB22="",CC22=""),"",IF(CB22="",CC22,IF(CC22="",CB22,AVERAGE(CB22,CC22))))</x:f>
      </x:c>
      <x:c r="CE22" s="7">
        <x:f>ROUND(100*((IF(BP22&lt;&gt;"",1,0)+IF(BQ22&lt;&gt;"",1,0)+IF(BR22&lt;&gt;"",1,0)+IF(BS22&lt;&gt;"",1,0)+IF(BU22&lt;&gt;"",1,0)+IF(BT22&lt;&gt;"",1,0)+IF(BN22&lt;&gt;"",1,0)+IF(AW22&lt;&gt;"",1,0))/8),0)</x:f>
      </x:c>
      <x:c r="CF22">
        <x:f>IF(V22="","",LOG10(V22+1))</x:f>
      </x:c>
      <x:c r="CG22">
        <x:f>IF(CF22="","",IF(MAX($CF$2:$CF$252)-MIN($CF$2:$CF$252)=0,"",(CF22-MIN($CF$2:$CF$252))/(MAX($CF$2:$CF$252)-MIN($CF$2:$CF$252))*100))</x:f>
      </x:c>
    </x:row>
    <x:row r="23">
      <x:c r="A23" t="inlineStr">
        <x:is>
          <x:t xml:space="preserve">CXR</x:t>
        </x:is>
      </x:c>
      <x:c r="B23" t="inlineStr">
        <x:is>
          <x:t xml:space="preserve">Christmas Island</x:t>
        </x:is>
      </x:c>
      <x:c r="N23" s="8" t="n"/>
      <x:c r="O23" s="9" t="n"/>
      <x:c r="P23" s="8" t="n"/>
      <x:c r="R23" s="8" t="n"/>
      <x:c r="AB23" s="8" t="n"/>
      <x:c r="AR23">
        <x:f>IF(G23="","",LOG10(G23+1))</x:f>
      </x:c>
      <x:c r="AS23" s="10">
        <x:f>IF(AR23="","",IF(MAX($AR$2:$AR$252)-MIN($AR$2:$AR$252)=0,"",(AR23-MIN($AR$2:$AR$252))/(MAX($AR$2:$AR$252)-MIN($AR$2:$AR$252))*100))</x:f>
      </x:c>
      <x:c r="AT23">
        <x:f>IF(R23="","",LOG10(R23+1))</x:f>
      </x:c>
      <x:c r="AU23" s="10">
        <x:f>IF(AT23="","",IF(MAX($AT$2:$AT$252)-MIN($AT$2:$AT$252)=0,"",(AT23-MIN($AT$2:$AT$252))/(MAX($AT$2:$AT$252)-MIN($AT$2:$AT$252))*100))</x:f>
      </x:c>
      <x:c r="AV23">
        <x:f>IF(N23="","",LOG10(N23+1))</x:f>
      </x:c>
      <x:c r="AW23" s="10">
        <x:f>IF(AV23="","",IF(MAX($AV$2:$AV$252)-MIN($AV$2:$AV$252)=0,"",(AV23-MIN($AV$2:$AV$252))/(MAX($AV$2:$AV$252)-MIN($AV$2:$AV$252))*100))</x:f>
      </x:c>
      <x:c r="AX23">
        <x:f>IF(I23="","",LOG10(I23+1))</x:f>
      </x:c>
      <x:c r="AY23" s="10">
        <x:f>IF(AX23="","",IF(MAX($AX$2:$AX$252)-MIN($AX$2:$AX$252)=0,"",(AX23-MIN($AX$2:$AX$252))/(MAX($AX$2:$AX$252)-MIN($AX$2:$AX$252))*100))</x:f>
      </x:c>
      <x:c r="AZ23">
        <x:f>IF(J23="","",LOG10(J23+1))</x:f>
      </x:c>
      <x:c r="BA23" s="10">
        <x:f>IF(AZ23="","",IF(MAX($AZ$2:$AZ$252)-MIN($AZ$2:$AZ$252)=0,"",(AZ23-MIN($AZ$2:$AZ$252))/(MAX($AZ$2:$AZ$252)-MIN($AZ$2:$AZ$252))*100))</x:f>
      </x:c>
      <x:c r="BB23">
        <x:f>IF(K23="","",LOG10(K23+1))</x:f>
      </x:c>
      <x:c r="BC23" s="10">
        <x:f>IF(BB23="","",IF(MAX($BB$2:$BB$252)-MIN($BB$2:$BB$252)=0,"",(BB23-MIN($BB$2:$BB$252))/(MAX($BB$2:$BB$252)-MIN($BB$2:$BB$252))*100))</x:f>
      </x:c>
      <x:c r="BD23">
        <x:f>IF(L23="","",LOG10(L23+1))</x:f>
      </x:c>
      <x:c r="BE23" s="10">
        <x:f>IF(BD23="","",IF(MAX($BD$2:$BD$252)-MIN($BD$2:$BD$252)=0,"",(BD23-MIN($BD$2:$BD$252))/(MAX($BD$2:$BD$252)-MIN($BD$2:$BD$252))*100))</x:f>
      </x:c>
      <x:c r="BF23" s="10">
        <x:f>IF(P23="","",IF(MAX($P$2:$P$252)-MIN($P$2:$P$252)=0,"",(P23-MIN($P$2:$P$252))/(MAX($P$2:$P$252)-MIN($P$2:$P$252))*100))</x:f>
      </x:c>
      <x:c r="BG23">
        <x:f>IF(AF23="","",LOG10(AF23+1))</x:f>
      </x:c>
      <x:c r="BH23" s="10">
        <x:f>IF(BG23="","",IF(MAX($BG$2:$BG$252)-MIN($BG$2:$BG$252)=0,"",(BG23-MIN($BG$2:$BG$252))/(MAX($BG$2:$BG$252)-MIN($BG$2:$BG$252))*100))</x:f>
      </x:c>
      <x:c r="BI23">
        <x:f>IF(AC23="","",LOG10(AC23+1))</x:f>
      </x:c>
      <x:c r="BJ23" s="10">
        <x:f>IF(BI23="","",IF(MAX($BI$2:$BI$252)-MIN($BI$2:$BI$252)=0,"",(BI23-MIN($BI$2:$BI$252))/(MAX($BI$2:$BI$252)-MIN($BI$2:$BI$252))*100))</x:f>
      </x:c>
      <x:c r="BK23">
        <x:f>IF(AD23="","",(AD23*2)+(AE23*1))</x:f>
      </x:c>
      <x:c r="BL23" s="10">
        <x:f>IF(BK23="","",IF(MAX($BK$2:$BK$252)-MIN($BK$2:$BK$252)=0,"",(BK23-MIN($BK$2:$BK$252))/(MAX($BK$2:$BK$252)-MIN($BK$2:$BK$252))*100))</x:f>
      </x:c>
      <x:c r="BM23" s="10">
        <x:f>IF(AB23="","",IF(MAX($AB$2:$AB$252)-MIN($AB$2:$AB$252)=0,"",(AB23-MIN($AB$2:$AB$252))/(MAX($AB$2:$AB$252)-MIN($AB$2:$AB$252))*100))</x:f>
      </x:c>
      <x:c r="BN23" s="10">
        <x:f>IF(X23="","",X23)</x:f>
      </x:c>
      <x:c r="BO23" s="10">
        <x:f>IF(X23="","",100-X23)</x:f>
      </x:c>
      <x:c r="BP23" s="10">
        <x:f>IF((Weights!$C$2*IF(BH23="",0,1)+Weights!$C$3*IF(BJ23="",0,1)+Weights!$C$4*IF(BL23="",0,1))=0,"",(Weights!$C$2*IF(BH23="",0,BH23)+Weights!$C$3*IF(BJ23="",0,BJ23)+Weights!$C$4*IF(BL23="",0,BL23))/(Weights!$C$2*IF(BH23="",0,1)+Weights!$C$3*IF(BJ23="",0,1)+Weights!$C$4*IF(BL23="",0,1)))</x:f>
      </x:c>
      <x:c r="BQ23" s="10">
        <x:f>IF((Weights!$C$5*IF(BA23="",0,1)+Weights!$C$6*IF(AW23="",0,1)+Weights!$C$7*IF(AU23="",0,1))=0,"",(Weights!$C$5*IF(BA23="",0,BA23)+Weights!$C$6*IF(AW23="",0,AW23)+Weights!$C$7*IF(AU23="",0,AU23))/(Weights!$C$5*IF(BA23="",0,1)+Weights!$C$6*IF(AW23="",0,1)+Weights!$C$7*IF(AU23="",0,1)))</x:f>
      </x:c>
      <x:c r="BR23" s="10">
        <x:f>IF((Weights!$C$8*IF(AW23="",0,1)+Weights!$C$9*IF(BC23="",0,1)+Weights!$C$10*IF(BF23="",0,1))=0,"",(Weights!$C$8*IF(AW23="",0,AW23)+Weights!$C$9*IF(BC23="",0,BC23)+Weights!$C$10*IF(BF23="",0,BF23))/(Weights!$C$8*IF(AW23="",0,1)+Weights!$C$9*IF(BC23="",0,1)+Weights!$C$10*IF(BF23="",0,1)))</x:f>
      </x:c>
      <x:c r="BS23" s="10">
        <x:f>IF(Y23="","",Y23)</x:f>
      </x:c>
      <x:c r="BT23" s="10">
        <x:f>IF(AS23="","",AS23)</x:f>
      </x:c>
      <x:c r="BU23" s="10">
        <x:f>IF(AJ23&lt;&gt;"",(0.6*AJ23+0.4*AU23),IF((Weights!$C$11*IF(AU23="",0,1)+Weights!$C$12*IF(BM23="",0,1))=0,"",(Weights!$C$11*IF(AU23="",0,AU23)+Weights!$C$12*IF(BM23="",0,BM23))/(Weights!$C$11*IF(AU23="",0,1)+Weights!$C$12*IF(BM23="",0,1))))</x:f>
      </x:c>
      <x:c r="BV23" s="10">
        <x:f>IF(CG23="",0,CG23)</x:f>
      </x:c>
      <x:c r="BW23" s="10">
        <x:f>IF(AP23="","",AP23)</x:f>
      </x:c>
      <x:c r="BX23" s="10">
        <x:f>IF(AO23="","",AO23)</x:f>
      </x:c>
      <x:c r="BY23" s="10">
        <x:f>IF(AL23="","",AL23)</x:f>
      </x:c>
      <x:c r="BZ23" s="10">
        <x:f>IF(AM23="","",AM23)</x:f>
      </x:c>
      <x:c r="CA23" s="10">
        <x:f>IF(AK23&lt;&gt;"",AK23,AW23)</x:f>
      </x:c>
      <x:c r="CB23" s="10">
        <x:f>IF((Weights!$C$13*IF(BP23="",0,1)+Weights!$C$14*IF(BR23="",0,1)+Weights!$C$15*IF(BQ23="",0,1)+Weights!$C$16*IF(BS23="",0,1)+Weights!$C$17*IF(BU23="",0,1)+Weights!$C$18*IF(BT23="",0,1)+Weights!$C$19*IF(BW23="",0,1)+Weights!$C$20*IF(BZ23="",0,1)+Weights!$C$21*IF(BO23="",0,1)+Weights!$C$22)=0,"",(Weights!$C$13*IF(BP23="",0,BP23)+Weights!$C$14*IF(BR23="",0,BR23)+Weights!$C$15*IF(BQ23="",0,BQ23)+Weights!$C$16*IF(BS23="",0,BS23)+Weights!$C$17*IF(BU23="",0,BU23)+Weights!$C$18*IF(BT23="",0,BT23)+Weights!$C$19*IF(BW23="",0,BW23)+Weights!$C$20*IF(BZ23="",0,BZ23)+Weights!$C$21*IF(BO23="",0,BO23)+Weights!$C$22*BV23)/(Weights!$C$13*IF(BP23="",0,1)+Weights!$C$14*IF(BR23="",0,1)+Weights!$C$15*IF(BQ23="",0,1)+Weights!$C$16*IF(BS23="",0,1)+Weights!$C$17*IF(BU23="",0,1)+Weights!$C$18*IF(BT23="",0,1)+Weights!$C$19*IF(BW23="",0,1)+Weights!$C$20*IF(BZ23="",0,1)+Weights!$C$21*IF(BO23="",0,1)+Weights!$C$22))</x:f>
      </x:c>
      <x:c r="CC23" s="10">
        <x:f>IF((Weights!$C$23*IF(BQ23="",0,1)+Weights!$C$24*IF(BN23="",0,1)+Weights!$C$25*IF(BS23="",0,1)+Weights!$C$26*IF(BY23="",0,1)+Weights!$C$27*IF(BX23="",0,1)+Weights!$C$28*IF(BT23="",0,1)+Weights!$C$29*IF(CA23="",0,1)+Weights!$C$30+Weights!$C$31*IF(BU23="",0,1))=0,"",(Weights!$C$23*IF(BQ23="",0,BQ23)+Weights!$C$24*IF(BN23="",0,BN23)+Weights!$C$25*IF(BS23="",0,BS23)+Weights!$C$26*IF(BY23="",0,BY23)+Weights!$C$27*IF(BX23="",0,BX23)+Weights!$C$28*IF(BT23="",0,BT23)+Weights!$C$29*IF(CA23="",0,CA23)+Weights!$C$30*BV23+Weights!$C$31*IF(BU23="",0,BU23))/(Weights!$C$23*IF(BQ23="",0,1)+Weights!$C$24*IF(BN23="",0,1)+Weights!$C$25*IF(BS23="",0,1)+Weights!$C$26*IF(BY23="",0,1)+Weights!$C$27*IF(BX23="",0,1)+Weights!$C$28*IF(BT23="",0,1)+Weights!$C$29*IF(CA23="",0,1)+Weights!$C$30+Weights!$C$31*IF(BU23="",0,1)))</x:f>
      </x:c>
      <x:c r="CD23" s="10">
        <x:f>IF(AND(CB23="",CC23=""),"",IF(CB23="",CC23,IF(CC23="",CB23,AVERAGE(CB23,CC23))))</x:f>
      </x:c>
      <x:c r="CE23" s="7">
        <x:f>ROUND(100*((IF(BP23&lt;&gt;"",1,0)+IF(BQ23&lt;&gt;"",1,0)+IF(BR23&lt;&gt;"",1,0)+IF(BS23&lt;&gt;"",1,0)+IF(BU23&lt;&gt;"",1,0)+IF(BT23&lt;&gt;"",1,0)+IF(BN23&lt;&gt;"",1,0)+IF(AW23&lt;&gt;"",1,0))/8),0)</x:f>
      </x:c>
      <x:c r="CF23">
        <x:f>IF(V23="","",LOG10(V23+1))</x:f>
      </x:c>
      <x:c r="CG23">
        <x:f>IF(CF23="","",IF(MAX($CF$2:$CF$252)-MIN($CF$2:$CF$252)=0,"",(CF23-MIN($CF$2:$CF$252))/(MAX($CF$2:$CF$252)-MIN($CF$2:$CF$252))*100))</x:f>
      </x:c>
    </x:row>
    <x:row r="24">
      <x:c r="A24" t="inlineStr">
        <x:is>
          <x:t xml:space="preserve">CCK</x:t>
        </x:is>
      </x:c>
      <x:c r="B24" t="inlineStr">
        <x:is>
          <x:t xml:space="preserve">Cocos (Keeling) Islands</x:t>
        </x:is>
      </x:c>
      <x:c r="N24" s="8" t="n"/>
      <x:c r="O24" s="9" t="n"/>
      <x:c r="P24" s="8" t="n"/>
      <x:c r="R24" s="8" t="n"/>
      <x:c r="AB24" s="8" t="n"/>
      <x:c r="AR24">
        <x:f>IF(G24="","",LOG10(G24+1))</x:f>
      </x:c>
      <x:c r="AS24" s="10">
        <x:f>IF(AR24="","",IF(MAX($AR$2:$AR$252)-MIN($AR$2:$AR$252)=0,"",(AR24-MIN($AR$2:$AR$252))/(MAX($AR$2:$AR$252)-MIN($AR$2:$AR$252))*100))</x:f>
      </x:c>
      <x:c r="AT24">
        <x:f>IF(R24="","",LOG10(R24+1))</x:f>
      </x:c>
      <x:c r="AU24" s="10">
        <x:f>IF(AT24="","",IF(MAX($AT$2:$AT$252)-MIN($AT$2:$AT$252)=0,"",(AT24-MIN($AT$2:$AT$252))/(MAX($AT$2:$AT$252)-MIN($AT$2:$AT$252))*100))</x:f>
      </x:c>
      <x:c r="AV24">
        <x:f>IF(N24="","",LOG10(N24+1))</x:f>
      </x:c>
      <x:c r="AW24" s="10">
        <x:f>IF(AV24="","",IF(MAX($AV$2:$AV$252)-MIN($AV$2:$AV$252)=0,"",(AV24-MIN($AV$2:$AV$252))/(MAX($AV$2:$AV$252)-MIN($AV$2:$AV$252))*100))</x:f>
      </x:c>
      <x:c r="AX24">
        <x:f>IF(I24="","",LOG10(I24+1))</x:f>
      </x:c>
      <x:c r="AY24" s="10">
        <x:f>IF(AX24="","",IF(MAX($AX$2:$AX$252)-MIN($AX$2:$AX$252)=0,"",(AX24-MIN($AX$2:$AX$252))/(MAX($AX$2:$AX$252)-MIN($AX$2:$AX$252))*100))</x:f>
      </x:c>
      <x:c r="AZ24">
        <x:f>IF(J24="","",LOG10(J24+1))</x:f>
      </x:c>
      <x:c r="BA24" s="10">
        <x:f>IF(AZ24="","",IF(MAX($AZ$2:$AZ$252)-MIN($AZ$2:$AZ$252)=0,"",(AZ24-MIN($AZ$2:$AZ$252))/(MAX($AZ$2:$AZ$252)-MIN($AZ$2:$AZ$252))*100))</x:f>
      </x:c>
      <x:c r="BB24">
        <x:f>IF(K24="","",LOG10(K24+1))</x:f>
      </x:c>
      <x:c r="BC24" s="10">
        <x:f>IF(BB24="","",IF(MAX($BB$2:$BB$252)-MIN($BB$2:$BB$252)=0,"",(BB24-MIN($BB$2:$BB$252))/(MAX($BB$2:$BB$252)-MIN($BB$2:$BB$252))*100))</x:f>
      </x:c>
      <x:c r="BD24">
        <x:f>IF(L24="","",LOG10(L24+1))</x:f>
      </x:c>
      <x:c r="BE24" s="10">
        <x:f>IF(BD24="","",IF(MAX($BD$2:$BD$252)-MIN($BD$2:$BD$252)=0,"",(BD24-MIN($BD$2:$BD$252))/(MAX($BD$2:$BD$252)-MIN($BD$2:$BD$252))*100))</x:f>
      </x:c>
      <x:c r="BF24" s="10">
        <x:f>IF(P24="","",IF(MAX($P$2:$P$252)-MIN($P$2:$P$252)=0,"",(P24-MIN($P$2:$P$252))/(MAX($P$2:$P$252)-MIN($P$2:$P$252))*100))</x:f>
      </x:c>
      <x:c r="BG24">
        <x:f>IF(AF24="","",LOG10(AF24+1))</x:f>
      </x:c>
      <x:c r="BH24" s="10">
        <x:f>IF(BG24="","",IF(MAX($BG$2:$BG$252)-MIN($BG$2:$BG$252)=0,"",(BG24-MIN($BG$2:$BG$252))/(MAX($BG$2:$BG$252)-MIN($BG$2:$BG$252))*100))</x:f>
      </x:c>
      <x:c r="BI24">
        <x:f>IF(AC24="","",LOG10(AC24+1))</x:f>
      </x:c>
      <x:c r="BJ24" s="10">
        <x:f>IF(BI24="","",IF(MAX($BI$2:$BI$252)-MIN($BI$2:$BI$252)=0,"",(BI24-MIN($BI$2:$BI$252))/(MAX($BI$2:$BI$252)-MIN($BI$2:$BI$252))*100))</x:f>
      </x:c>
      <x:c r="BK24">
        <x:f>IF(AD24="","",(AD24*2)+(AE24*1))</x:f>
      </x:c>
      <x:c r="BL24" s="10">
        <x:f>IF(BK24="","",IF(MAX($BK$2:$BK$252)-MIN($BK$2:$BK$252)=0,"",(BK24-MIN($BK$2:$BK$252))/(MAX($BK$2:$BK$252)-MIN($BK$2:$BK$252))*100))</x:f>
      </x:c>
      <x:c r="BM24" s="10">
        <x:f>IF(AB24="","",IF(MAX($AB$2:$AB$252)-MIN($AB$2:$AB$252)=0,"",(AB24-MIN($AB$2:$AB$252))/(MAX($AB$2:$AB$252)-MIN($AB$2:$AB$252))*100))</x:f>
      </x:c>
      <x:c r="BN24" s="10">
        <x:f>IF(X24="","",X24)</x:f>
      </x:c>
      <x:c r="BO24" s="10">
        <x:f>IF(X24="","",100-X24)</x:f>
      </x:c>
      <x:c r="BP24" s="10">
        <x:f>IF((Weights!$C$2*IF(BH24="",0,1)+Weights!$C$3*IF(BJ24="",0,1)+Weights!$C$4*IF(BL24="",0,1))=0,"",(Weights!$C$2*IF(BH24="",0,BH24)+Weights!$C$3*IF(BJ24="",0,BJ24)+Weights!$C$4*IF(BL24="",0,BL24))/(Weights!$C$2*IF(BH24="",0,1)+Weights!$C$3*IF(BJ24="",0,1)+Weights!$C$4*IF(BL24="",0,1)))</x:f>
      </x:c>
      <x:c r="BQ24" s="10">
        <x:f>IF((Weights!$C$5*IF(BA24="",0,1)+Weights!$C$6*IF(AW24="",0,1)+Weights!$C$7*IF(AU24="",0,1))=0,"",(Weights!$C$5*IF(BA24="",0,BA24)+Weights!$C$6*IF(AW24="",0,AW24)+Weights!$C$7*IF(AU24="",0,AU24))/(Weights!$C$5*IF(BA24="",0,1)+Weights!$C$6*IF(AW24="",0,1)+Weights!$C$7*IF(AU24="",0,1)))</x:f>
      </x:c>
      <x:c r="BR24" s="10">
        <x:f>IF((Weights!$C$8*IF(AW24="",0,1)+Weights!$C$9*IF(BC24="",0,1)+Weights!$C$10*IF(BF24="",0,1))=0,"",(Weights!$C$8*IF(AW24="",0,AW24)+Weights!$C$9*IF(BC24="",0,BC24)+Weights!$C$10*IF(BF24="",0,BF24))/(Weights!$C$8*IF(AW24="",0,1)+Weights!$C$9*IF(BC24="",0,1)+Weights!$C$10*IF(BF24="",0,1)))</x:f>
      </x:c>
      <x:c r="BS24" s="10">
        <x:f>IF(Y24="","",Y24)</x:f>
      </x:c>
      <x:c r="BT24" s="10">
        <x:f>IF(AS24="","",AS24)</x:f>
      </x:c>
      <x:c r="BU24" s="10">
        <x:f>IF(AJ24&lt;&gt;"",(0.6*AJ24+0.4*AU24),IF((Weights!$C$11*IF(AU24="",0,1)+Weights!$C$12*IF(BM24="",0,1))=0,"",(Weights!$C$11*IF(AU24="",0,AU24)+Weights!$C$12*IF(BM24="",0,BM24))/(Weights!$C$11*IF(AU24="",0,1)+Weights!$C$12*IF(BM24="",0,1))))</x:f>
      </x:c>
      <x:c r="BV24" s="10">
        <x:f>IF(CG24="",0,CG24)</x:f>
      </x:c>
      <x:c r="BW24" s="10">
        <x:f>IF(AP24="","",AP24)</x:f>
      </x:c>
      <x:c r="BX24" s="10">
        <x:f>IF(AO24="","",AO24)</x:f>
      </x:c>
      <x:c r="BY24" s="10">
        <x:f>IF(AL24="","",AL24)</x:f>
      </x:c>
      <x:c r="BZ24" s="10">
        <x:f>IF(AM24="","",AM24)</x:f>
      </x:c>
      <x:c r="CA24" s="10">
        <x:f>IF(AK24&lt;&gt;"",AK24,AW24)</x:f>
      </x:c>
      <x:c r="CB24" s="10">
        <x:f>IF((Weights!$C$13*IF(BP24="",0,1)+Weights!$C$14*IF(BR24="",0,1)+Weights!$C$15*IF(BQ24="",0,1)+Weights!$C$16*IF(BS24="",0,1)+Weights!$C$17*IF(BU24="",0,1)+Weights!$C$18*IF(BT24="",0,1)+Weights!$C$19*IF(BW24="",0,1)+Weights!$C$20*IF(BZ24="",0,1)+Weights!$C$21*IF(BO24="",0,1)+Weights!$C$22)=0,"",(Weights!$C$13*IF(BP24="",0,BP24)+Weights!$C$14*IF(BR24="",0,BR24)+Weights!$C$15*IF(BQ24="",0,BQ24)+Weights!$C$16*IF(BS24="",0,BS24)+Weights!$C$17*IF(BU24="",0,BU24)+Weights!$C$18*IF(BT24="",0,BT24)+Weights!$C$19*IF(BW24="",0,BW24)+Weights!$C$20*IF(BZ24="",0,BZ24)+Weights!$C$21*IF(BO24="",0,BO24)+Weights!$C$22*BV24)/(Weights!$C$13*IF(BP24="",0,1)+Weights!$C$14*IF(BR24="",0,1)+Weights!$C$15*IF(BQ24="",0,1)+Weights!$C$16*IF(BS24="",0,1)+Weights!$C$17*IF(BU24="",0,1)+Weights!$C$18*IF(BT24="",0,1)+Weights!$C$19*IF(BW24="",0,1)+Weights!$C$20*IF(BZ24="",0,1)+Weights!$C$21*IF(BO24="",0,1)+Weights!$C$22))</x:f>
      </x:c>
      <x:c r="CC24" s="10">
        <x:f>IF((Weights!$C$23*IF(BQ24="",0,1)+Weights!$C$24*IF(BN24="",0,1)+Weights!$C$25*IF(BS24="",0,1)+Weights!$C$26*IF(BY24="",0,1)+Weights!$C$27*IF(BX24="",0,1)+Weights!$C$28*IF(BT24="",0,1)+Weights!$C$29*IF(CA24="",0,1)+Weights!$C$30+Weights!$C$31*IF(BU24="",0,1))=0,"",(Weights!$C$23*IF(BQ24="",0,BQ24)+Weights!$C$24*IF(BN24="",0,BN24)+Weights!$C$25*IF(BS24="",0,BS24)+Weights!$C$26*IF(BY24="",0,BY24)+Weights!$C$27*IF(BX24="",0,BX24)+Weights!$C$28*IF(BT24="",0,BT24)+Weights!$C$29*IF(CA24="",0,CA24)+Weights!$C$30*BV24+Weights!$C$31*IF(BU24="",0,BU24))/(Weights!$C$23*IF(BQ24="",0,1)+Weights!$C$24*IF(BN24="",0,1)+Weights!$C$25*IF(BS24="",0,1)+Weights!$C$26*IF(BY24="",0,1)+Weights!$C$27*IF(BX24="",0,1)+Weights!$C$28*IF(BT24="",0,1)+Weights!$C$29*IF(CA24="",0,1)+Weights!$C$30+Weights!$C$31*IF(BU24="",0,1)))</x:f>
      </x:c>
      <x:c r="CD24" s="10">
        <x:f>IF(AND(CB24="",CC24=""),"",IF(CB24="",CC24,IF(CC24="",CB24,AVERAGE(CB24,CC24))))</x:f>
      </x:c>
      <x:c r="CE24" s="7">
        <x:f>ROUND(100*((IF(BP24&lt;&gt;"",1,0)+IF(BQ24&lt;&gt;"",1,0)+IF(BR24&lt;&gt;"",1,0)+IF(BS24&lt;&gt;"",1,0)+IF(BU24&lt;&gt;"",1,0)+IF(BT24&lt;&gt;"",1,0)+IF(BN24&lt;&gt;"",1,0)+IF(AW24&lt;&gt;"",1,0))/8),0)</x:f>
      </x:c>
      <x:c r="CF24">
        <x:f>IF(V24="","",LOG10(V24+1))</x:f>
      </x:c>
      <x:c r="CG24">
        <x:f>IF(CF24="","",IF(MAX($CF$2:$CF$252)-MIN($CF$2:$CF$252)=0,"",(CF24-MIN($CF$2:$CF$252))/(MAX($CF$2:$CF$252)-MIN($CF$2:$CF$252))*100))</x:f>
      </x:c>
    </x:row>
    <x:row r="25">
      <x:c r="A25" t="inlineStr">
        <x:is>
          <x:t xml:space="preserve">DMA</x:t>
        </x:is>
      </x:c>
      <x:c r="B25" t="inlineStr">
        <x:is>
          <x:t xml:space="preserve">Dominica</x:t>
        </x:is>
      </x:c>
      <x:c r="C25" t="inlineStr">
        <x:is>
          <x:t xml:space="preserve">Latin America &amp; Caribbean</x:t>
        </x:is>
      </x:c>
      <x:c r="D25" t="inlineStr">
        <x:is>
          <x:t xml:space="preserve">Upper middle income</x:t>
        </x:is>
      </x:c>
      <x:c r="F25" t="n">
        <x:v>2024</x:v>
      </x:c>
      <x:c r="G25" t="n">
        <x:v>66205</x:v>
      </x:c>
      <x:c r="N25" s="8" t="n"/>
      <x:c r="O25" s="9" t="n"/>
      <x:c r="P25" s="8" t="n"/>
      <x:c r="Q25" t="n">
        <x:v>2024</x:v>
      </x:c>
      <x:c r="R25" s="8" t="n">
        <x:v>688881481.481481</x:v>
      </x:c>
      <x:c r="S25" t="n">
        <x:v>0</x:v>
      </x:c>
      <x:c r="T25" t="n">
        <x:v>0</x:v>
      </x:c>
      <x:c r="U25" t="inlineStr">
        <x:is>
          <x:t xml:space="preserve">No</x:t>
        </x:is>
      </x:c>
      <x:c r="W25" t="inlineStr">
        <x:is>
          <x:t xml:space="preserve">No</x:t>
        </x:is>
      </x:c>
      <x:c r="AB25" s="8" t="n"/>
      <x:c r="AR25">
        <x:f>IF(G25="","",LOG10(G25+1))</x:f>
        <x:v>4.820897349693664</x:v>
      </x:c>
      <x:c r="AS25" s="10">
        <x:f>IF(AR25="","",IF(MAX($AR$2:$AR$252)-MIN($AR$2:$AR$252)=0,"",(AR25-MIN($AR$2:$AR$252))/(MAX($AR$2:$AR$252)-MIN($AR$2:$AR$252))*100))</x:f>
        <x:v>57.619657483232146</x:v>
      </x:c>
      <x:c r="AT25">
        <x:f>IF(R25="","",LOG10(R25+1))</x:f>
        <x:v>8.838144510831118</x:v>
      </x:c>
      <x:c r="AU25" s="10">
        <x:f>IF(AT25="","",IF(MAX($AT$2:$AT$252)-MIN($AT$2:$AT$252)=0,"",(AT25-MIN($AT$2:$AT$252))/(MAX($AT$2:$AT$252)-MIN($AT$2:$AT$252))*100))</x:f>
        <x:v>69.75225918478473</x:v>
      </x:c>
      <x:c r="AV25">
        <x:f>IF(N25="","",LOG10(N25+1))</x:f>
      </x:c>
      <x:c r="AW25" s="10">
        <x:f>IF(AV25="","",IF(MAX($AV$2:$AV$252)-MIN($AV$2:$AV$252)=0,"",(AV25-MIN($AV$2:$AV$252))/(MAX($AV$2:$AV$252)-MIN($AV$2:$AV$252))*100))</x:f>
      </x:c>
      <x:c r="AX25">
        <x:f>IF(I25="","",LOG10(I25+1))</x:f>
      </x:c>
      <x:c r="AY25" s="10">
        <x:f>IF(AX25="","",IF(MAX($AX$2:$AX$252)-MIN($AX$2:$AX$252)=0,"",(AX25-MIN($AX$2:$AX$252))/(MAX($AX$2:$AX$252)-MIN($AX$2:$AX$252))*100))</x:f>
      </x:c>
      <x:c r="AZ25">
        <x:f>IF(J25="","",LOG10(J25+1))</x:f>
      </x:c>
      <x:c r="BA25" s="10">
        <x:f>IF(AZ25="","",IF(MAX($AZ$2:$AZ$252)-MIN($AZ$2:$AZ$252)=0,"",(AZ25-MIN($AZ$2:$AZ$252))/(MAX($AZ$2:$AZ$252)-MIN($AZ$2:$AZ$252))*100))</x:f>
      </x:c>
      <x:c r="BB25">
        <x:f>IF(K25="","",LOG10(K25+1))</x:f>
      </x:c>
      <x:c r="BC25" s="10">
        <x:f>IF(BB25="","",IF(MAX($BB$2:$BB$252)-MIN($BB$2:$BB$252)=0,"",(BB25-MIN($BB$2:$BB$252))/(MAX($BB$2:$BB$252)-MIN($BB$2:$BB$252))*100))</x:f>
      </x:c>
      <x:c r="BD25">
        <x:f>IF(L25="","",LOG10(L25+1))</x:f>
      </x:c>
      <x:c r="BE25" s="10">
        <x:f>IF(BD25="","",IF(MAX($BD$2:$BD$252)-MIN($BD$2:$BD$252)=0,"",(BD25-MIN($BD$2:$BD$252))/(MAX($BD$2:$BD$252)-MIN($BD$2:$BD$252))*100))</x:f>
      </x:c>
      <x:c r="BF25" s="10">
        <x:f>IF(P25="","",IF(MAX($P$2:$P$252)-MIN($P$2:$P$252)=0,"",(P25-MIN($P$2:$P$252))/(MAX($P$2:$P$252)-MIN($P$2:$P$252))*100))</x:f>
      </x:c>
      <x:c r="BG25">
        <x:f>IF(AF25="","",LOG10(AF25+1))</x:f>
      </x:c>
      <x:c r="BH25" s="10">
        <x:f>IF(BG25="","",IF(MAX($BG$2:$BG$252)-MIN($BG$2:$BG$252)=0,"",(BG25-MIN($BG$2:$BG$252))/(MAX($BG$2:$BG$252)-MIN($BG$2:$BG$252))*100))</x:f>
      </x:c>
      <x:c r="BI25">
        <x:f>IF(AC25="","",LOG10(AC25+1))</x:f>
      </x:c>
      <x:c r="BJ25" s="10">
        <x:f>IF(BI25="","",IF(MAX($BI$2:$BI$252)-MIN($BI$2:$BI$252)=0,"",(BI25-MIN($BI$2:$BI$252))/(MAX($BI$2:$BI$252)-MIN($BI$2:$BI$252))*100))</x:f>
      </x:c>
      <x:c r="BK25">
        <x:f>IF(AD25="","",(AD25*2)+(AE25*1))</x:f>
      </x:c>
      <x:c r="BL25" s="10">
        <x:f>IF(BK25="","",IF(MAX($BK$2:$BK$252)-MIN($BK$2:$BK$252)=0,"",(BK25-MIN($BK$2:$BK$252))/(MAX($BK$2:$BK$252)-MIN($BK$2:$BK$252))*100))</x:f>
      </x:c>
      <x:c r="BM25" s="10">
        <x:f>IF(AB25="","",IF(MAX($AB$2:$AB$252)-MIN($AB$2:$AB$252)=0,"",(AB25-MIN($AB$2:$AB$252))/(MAX($AB$2:$AB$252)-MIN($AB$2:$AB$252))*100))</x:f>
      </x:c>
      <x:c r="BN25" s="10">
        <x:f>IF(X25="","",X25)</x:f>
      </x:c>
      <x:c r="BO25" s="10">
        <x:f>IF(X25="","",100-X25)</x:f>
      </x:c>
      <x:c r="BP25" s="10">
        <x:f>IF((Weights!$C$2*IF(BH25="",0,1)+Weights!$C$3*IF(BJ25="",0,1)+Weights!$C$4*IF(BL25="",0,1))=0,"",(Weights!$C$2*IF(BH25="",0,BH25)+Weights!$C$3*IF(BJ25="",0,BJ25)+Weights!$C$4*IF(BL25="",0,BL25))/(Weights!$C$2*IF(BH25="",0,1)+Weights!$C$3*IF(BJ25="",0,1)+Weights!$C$4*IF(BL25="",0,1)))</x:f>
      </x:c>
      <x:c r="BQ25" s="10">
        <x:f>IF((Weights!$C$5*IF(BA25="",0,1)+Weights!$C$6*IF(AW25="",0,1)+Weights!$C$7*IF(AU25="",0,1))=0,"",(Weights!$C$5*IF(BA25="",0,BA25)+Weights!$C$6*IF(AW25="",0,AW25)+Weights!$C$7*IF(AU25="",0,AU25))/(Weights!$C$5*IF(BA25="",0,1)+Weights!$C$6*IF(AW25="",0,1)+Weights!$C$7*IF(AU25="",0,1)))</x:f>
      </x:c>
      <x:c r="BR25" s="10">
        <x:f>IF((Weights!$C$8*IF(AW25="",0,1)+Weights!$C$9*IF(BC25="",0,1)+Weights!$C$10*IF(BF25="",0,1))=0,"",(Weights!$C$8*IF(AW25="",0,AW25)+Weights!$C$9*IF(BC25="",0,BC25)+Weights!$C$10*IF(BF25="",0,BF25))/(Weights!$C$8*IF(AW25="",0,1)+Weights!$C$9*IF(BC25="",0,1)+Weights!$C$10*IF(BF25="",0,1)))</x:f>
      </x:c>
      <x:c r="BS25" s="10">
        <x:f>IF(Y25="","",Y25)</x:f>
      </x:c>
      <x:c r="BT25" s="10">
        <x:f>IF(AS25="","",AS25)</x:f>
      </x:c>
      <x:c r="BU25" s="10">
        <x:f>IF(AJ25&lt;&gt;"",(0.6*AJ25+0.4*AU25),IF((Weights!$C$11*IF(AU25="",0,1)+Weights!$C$12*IF(BM25="",0,1))=0,"",(Weights!$C$11*IF(AU25="",0,AU25)+Weights!$C$12*IF(BM25="",0,BM25))/(Weights!$C$11*IF(AU25="",0,1)+Weights!$C$12*IF(BM25="",0,1))))</x:f>
      </x:c>
      <x:c r="BV25" s="10">
        <x:f>IF(CG25="",0,CG25)</x:f>
      </x:c>
      <x:c r="BW25" s="10">
        <x:f>IF(AP25="","",AP25)</x:f>
      </x:c>
      <x:c r="BX25" s="10">
        <x:f>IF(AO25="","",AO25)</x:f>
      </x:c>
      <x:c r="BY25" s="10">
        <x:f>IF(AL25="","",AL25)</x:f>
      </x:c>
      <x:c r="BZ25" s="10">
        <x:f>IF(AM25="","",AM25)</x:f>
      </x:c>
      <x:c r="CA25" s="10">
        <x:f>IF(AK25&lt;&gt;"",AK25,AW25)</x:f>
      </x:c>
      <x:c r="CB25" s="10">
        <x:f>IF((Weights!$C$13*IF(BP25="",0,1)+Weights!$C$14*IF(BR25="",0,1)+Weights!$C$15*IF(BQ25="",0,1)+Weights!$C$16*IF(BS25="",0,1)+Weights!$C$17*IF(BU25="",0,1)+Weights!$C$18*IF(BT25="",0,1)+Weights!$C$19*IF(BW25="",0,1)+Weights!$C$20*IF(BZ25="",0,1)+Weights!$C$21*IF(BO25="",0,1)+Weights!$C$22)=0,"",(Weights!$C$13*IF(BP25="",0,BP25)+Weights!$C$14*IF(BR25="",0,BR25)+Weights!$C$15*IF(BQ25="",0,BQ25)+Weights!$C$16*IF(BS25="",0,BS25)+Weights!$C$17*IF(BU25="",0,BU25)+Weights!$C$18*IF(BT25="",0,BT25)+Weights!$C$19*IF(BW25="",0,BW25)+Weights!$C$20*IF(BZ25="",0,BZ25)+Weights!$C$21*IF(BO25="",0,BO25)+Weights!$C$22*BV25)/(Weights!$C$13*IF(BP25="",0,1)+Weights!$C$14*IF(BR25="",0,1)+Weights!$C$15*IF(BQ25="",0,1)+Weights!$C$16*IF(BS25="",0,1)+Weights!$C$17*IF(BU25="",0,1)+Weights!$C$18*IF(BT25="",0,1)+Weights!$C$19*IF(BW25="",0,1)+Weights!$C$20*IF(BZ25="",0,1)+Weights!$C$21*IF(BO25="",0,1)+Weights!$C$22))</x:f>
      </x:c>
      <x:c r="CC25" s="10">
        <x:f>IF((Weights!$C$23*IF(BQ25="",0,1)+Weights!$C$24*IF(BN25="",0,1)+Weights!$C$25*IF(BS25="",0,1)+Weights!$C$26*IF(BY25="",0,1)+Weights!$C$27*IF(BX25="",0,1)+Weights!$C$28*IF(BT25="",0,1)+Weights!$C$29*IF(CA25="",0,1)+Weights!$C$30+Weights!$C$31*IF(BU25="",0,1))=0,"",(Weights!$C$23*IF(BQ25="",0,BQ25)+Weights!$C$24*IF(BN25="",0,BN25)+Weights!$C$25*IF(BS25="",0,BS25)+Weights!$C$26*IF(BY25="",0,BY25)+Weights!$C$27*IF(BX25="",0,BX25)+Weights!$C$28*IF(BT25="",0,BT25)+Weights!$C$29*IF(CA25="",0,CA25)+Weights!$C$30*BV25+Weights!$C$31*IF(BU25="",0,BU25))/(Weights!$C$23*IF(BQ25="",0,1)+Weights!$C$24*IF(BN25="",0,1)+Weights!$C$25*IF(BS25="",0,1)+Weights!$C$26*IF(BY25="",0,1)+Weights!$C$27*IF(BX25="",0,1)+Weights!$C$28*IF(BT25="",0,1)+Weights!$C$29*IF(CA25="",0,1)+Weights!$C$30+Weights!$C$31*IF(BU25="",0,1)))</x:f>
      </x:c>
      <x:c r="CD25" s="10">
        <x:f>IF(AND(CB25="",CC25=""),"",IF(CB25="",CC25,IF(CC25="",CB25,AVERAGE(CB25,CC25))))</x:f>
      </x:c>
      <x:c r="CE25" s="7">
        <x:f>ROUND(100*((IF(BP25&lt;&gt;"",1,0)+IF(BQ25&lt;&gt;"",1,0)+IF(BR25&lt;&gt;"",1,0)+IF(BS25&lt;&gt;"",1,0)+IF(BU25&lt;&gt;"",1,0)+IF(BT25&lt;&gt;"",1,0)+IF(BN25&lt;&gt;"",1,0)+IF(AW25&lt;&gt;"",1,0))/8),0)</x:f>
      </x:c>
      <x:c r="CF25">
        <x:f>IF(V25="","",LOG10(V25+1))</x:f>
      </x:c>
      <x:c r="CG25">
        <x:f>IF(CF25="","",IF(MAX($CF$2:$CF$252)-MIN($CF$2:$CF$252)=0,"",(CF25-MIN($CF$2:$CF$252))/(MAX($CF$2:$CF$252)-MIN($CF$2:$CF$252))*100))</x:f>
      </x:c>
    </x:row>
    <x:row r="26">
      <x:c r="A26" t="inlineStr">
        <x:is>
          <x:t xml:space="preserve">BHS</x:t>
        </x:is>
      </x:c>
      <x:c r="B26" t="inlineStr">
        <x:is>
          <x:t xml:space="preserve">Bahamas, The</x:t>
        </x:is>
      </x:c>
      <x:c r="C26" t="inlineStr">
        <x:is>
          <x:t xml:space="preserve">Latin America &amp; Caribbean</x:t>
        </x:is>
      </x:c>
      <x:c r="D26" t="inlineStr">
        <x:is>
          <x:t xml:space="preserve">High income</x:t>
        </x:is>
      </x:c>
      <x:c r="E26" t="inlineStr">
        <x:is>
          <x:t xml:space="preserve">North America</x:t>
        </x:is>
      </x:c>
      <x:c r="F26" t="n">
        <x:v>2024</x:v>
      </x:c>
      <x:c r="G26" t="n">
        <x:v>401283</x:v>
      </x:c>
      <x:c r="H26" t="n">
        <x:v>2020</x:v>
      </x:c>
      <x:c r="I26" t="n">
        <x:v>2000</x:v>
      </x:c>
      <x:c r="J26" t="n">
        <x:v>1300</x:v>
      </x:c>
      <x:c r="K26" t="n">
        <x:v>400</x:v>
      </x:c>
      <x:c r="L26" t="n">
        <x:v>240</x:v>
      </x:c>
      <x:c r="N26" s="8" t="n"/>
      <x:c r="O26" s="9" t="n"/>
      <x:c r="P26" s="8" t="n"/>
      <x:c r="Q26" t="n">
        <x:v>2024</x:v>
      </x:c>
      <x:c r="R26" s="8" t="n">
        <x:v>15832800000</x:v>
      </x:c>
      <x:c r="S26" t="n">
        <x:v>0</x:v>
      </x:c>
      <x:c r="T26" t="n">
        <x:v>0</x:v>
      </x:c>
      <x:c r="U26" t="inlineStr">
        <x:is>
          <x:t xml:space="preserve">No</x:t>
        </x:is>
      </x:c>
      <x:c r="W26" t="inlineStr">
        <x:is>
          <x:t xml:space="preserve">No</x:t>
        </x:is>
      </x:c>
      <x:c r="X26" t="n">
        <x:v>47.70559254035646</x:v>
      </x:c>
      <x:c r="Y26" t="n">
        <x:v>61.71978753301557</x:v>
      </x:c>
      <x:c r="Z26" t="n">
        <x:v>15584.79082486321</x:v>
      </x:c>
      <x:c r="AA26" t="n">
        <x:v>21.1737201806747</x:v>
      </x:c>
      <x:c r="AB26" s="8" t="n">
        <x:v>27473.72631732063</x:v>
      </x:c>
      <x:c r="AR26">
        <x:f>IF(G26="","",LOG10(G26+1))</x:f>
        <x:v>5.603451843884752</x:v>
      </x:c>
      <x:c r="AS26" s="10">
        <x:f>IF(AR26="","",IF(MAX($AR$2:$AR$252)-MIN($AR$2:$AR$252)=0,"",(AR26-MIN($AR$2:$AR$252))/(MAX($AR$2:$AR$252)-MIN($AR$2:$AR$252))*100))</x:f>
        <x:v>66.9727962552327</x:v>
      </x:c>
      <x:c r="AT26">
        <x:f>IF(R26="","",LOG10(R26+1))</x:f>
        <x:v>10.199557725819487</x:v>
      </x:c>
      <x:c r="AU26" s="10">
        <x:f>IF(AT26="","",IF(MAX($AT$2:$AT$252)-MIN($AT$2:$AT$252)=0,"",(AT26-MIN($AT$2:$AT$252))/(MAX($AT$2:$AT$252)-MIN($AT$2:$AT$252))*100))</x:f>
        <x:v>80.49678223632395</x:v>
      </x:c>
      <x:c r="AV26">
        <x:f>IF(N26="","",LOG10(N26+1))</x:f>
      </x:c>
      <x:c r="AW26" s="10">
        <x:f>IF(AV26="","",IF(MAX($AV$2:$AV$252)-MIN($AV$2:$AV$252)=0,"",(AV26-MIN($AV$2:$AV$252))/(MAX($AV$2:$AV$252)-MIN($AV$2:$AV$252))*100))</x:f>
      </x:c>
      <x:c r="AX26">
        <x:f>IF(I26="","",LOG10(I26+1))</x:f>
        <x:v>3.301247088636211</x:v>
      </x:c>
      <x:c r="AY26" s="10">
        <x:f>IF(AX26="","",IF(MAX($AX$2:$AX$252)-MIN($AX$2:$AX$252)=0,"",(AX26-MIN($AX$2:$AX$252))/(MAX($AX$2:$AX$252)-MIN($AX$2:$AX$252))*100))</x:f>
      </x:c>
      <x:c r="AZ26">
        <x:f>IF(J26="","",LOG10(J26+1))</x:f>
      </x:c>
      <x:c r="BA26" s="10">
        <x:f>IF(AZ26="","",IF(MAX($AZ$2:$AZ$252)-MIN($AZ$2:$AZ$252)=0,"",(AZ26-MIN($AZ$2:$AZ$252))/(MAX($AZ$2:$AZ$252)-MIN($AZ$2:$AZ$252))*100))</x:f>
      </x:c>
      <x:c r="BB26">
        <x:f>IF(K26="","",LOG10(K26+1))</x:f>
      </x:c>
      <x:c r="BC26" s="10">
        <x:f>IF(BB26="","",IF(MAX($BB$2:$BB$252)-MIN($BB$2:$BB$252)=0,"",(BB26-MIN($BB$2:$BB$252))/(MAX($BB$2:$BB$252)-MIN($BB$2:$BB$252))*100))</x:f>
      </x:c>
      <x:c r="BD26">
        <x:f>IF(L26="","",LOG10(L26+1))</x:f>
      </x:c>
      <x:c r="BE26" s="10">
        <x:f>IF(BD26="","",IF(MAX($BD$2:$BD$252)-MIN($BD$2:$BD$252)=0,"",(BD26-MIN($BD$2:$BD$252))/(MAX($BD$2:$BD$252)-MIN($BD$2:$BD$252))*100))</x:f>
      </x:c>
      <x:c r="BF26" s="10">
        <x:f>IF(P26="","",IF(MAX($P$2:$P$252)-MIN($P$2:$P$252)=0,"",(P26-MIN($P$2:$P$252))/(MAX($P$2:$P$252)-MIN($P$2:$P$252))*100))</x:f>
      </x:c>
      <x:c r="BG26">
        <x:f>IF(AF26="","",LOG10(AF26+1))</x:f>
      </x:c>
      <x:c r="BH26" s="10">
        <x:f>IF(BG26="","",IF(MAX($BG$2:$BG$252)-MIN($BG$2:$BG$252)=0,"",(BG26-MIN($BG$2:$BG$252))/(MAX($BG$2:$BG$252)-MIN($BG$2:$BG$252))*100))</x:f>
      </x:c>
      <x:c r="BI26">
        <x:f>IF(AC26="","",LOG10(AC26+1))</x:f>
      </x:c>
      <x:c r="BJ26" s="10">
        <x:f>IF(BI26="","",IF(MAX($BI$2:$BI$252)-MIN($BI$2:$BI$252)=0,"",(BI26-MIN($BI$2:$BI$252))/(MAX($BI$2:$BI$252)-MIN($BI$2:$BI$252))*100))</x:f>
      </x:c>
      <x:c r="BK26">
        <x:f>IF(AD26="","",(AD26*2)+(AE26*1))</x:f>
      </x:c>
      <x:c r="BL26" s="10">
        <x:f>IF(BK26="","",IF(MAX($BK$2:$BK$252)-MIN($BK$2:$BK$252)=0,"",(BK26-MIN($BK$2:$BK$252))/(MAX($BK$2:$BK$252)-MIN($BK$2:$BK$252))*100))</x:f>
      </x:c>
      <x:c r="BM26" s="10">
        <x:f>IF(AB26="","",IF(MAX($AB$2:$AB$252)-MIN($AB$2:$AB$252)=0,"",(AB26-MIN($AB$2:$AB$252))/(MAX($AB$2:$AB$252)-MIN($AB$2:$AB$252))*100))</x:f>
      </x:c>
      <x:c r="BN26" s="10">
        <x:f>IF(X26="","",X26)</x:f>
      </x:c>
      <x:c r="BO26" s="10">
        <x:f>IF(X26="","",100-X26)</x:f>
      </x:c>
      <x:c r="BP26" s="10">
        <x:f>IF((Weights!$C$2*IF(BH26="",0,1)+Weights!$C$3*IF(BJ26="",0,1)+Weights!$C$4*IF(BL26="",0,1))=0,"",(Weights!$C$2*IF(BH26="",0,BH26)+Weights!$C$3*IF(BJ26="",0,BJ26)+Weights!$C$4*IF(BL26="",0,BL26))/(Weights!$C$2*IF(BH26="",0,1)+Weights!$C$3*IF(BJ26="",0,1)+Weights!$C$4*IF(BL26="",0,1)))</x:f>
      </x:c>
      <x:c r="BQ26" s="10">
        <x:f>IF((Weights!$C$5*IF(BA26="",0,1)+Weights!$C$6*IF(AW26="",0,1)+Weights!$C$7*IF(AU26="",0,1))=0,"",(Weights!$C$5*IF(BA26="",0,BA26)+Weights!$C$6*IF(AW26="",0,AW26)+Weights!$C$7*IF(AU26="",0,AU26))/(Weights!$C$5*IF(BA26="",0,1)+Weights!$C$6*IF(AW26="",0,1)+Weights!$C$7*IF(AU26="",0,1)))</x:f>
      </x:c>
      <x:c r="BR26" s="10">
        <x:f>IF((Weights!$C$8*IF(AW26="",0,1)+Weights!$C$9*IF(BC26="",0,1)+Weights!$C$10*IF(BF26="",0,1))=0,"",(Weights!$C$8*IF(AW26="",0,AW26)+Weights!$C$9*IF(BC26="",0,BC26)+Weights!$C$10*IF(BF26="",0,BF26))/(Weights!$C$8*IF(AW26="",0,1)+Weights!$C$9*IF(BC26="",0,1)+Weights!$C$10*IF(BF26="",0,1)))</x:f>
      </x:c>
      <x:c r="BS26" s="10">
        <x:f>IF(Y26="","",Y26)</x:f>
      </x:c>
      <x:c r="BT26" s="10">
        <x:f>IF(AS26="","",AS26)</x:f>
      </x:c>
      <x:c r="BU26" s="10">
        <x:f>IF(AJ26&lt;&gt;"",(0.6*AJ26+0.4*AU26),IF((Weights!$C$11*IF(AU26="",0,1)+Weights!$C$12*IF(BM26="",0,1))=0,"",(Weights!$C$11*IF(AU26="",0,AU26)+Weights!$C$12*IF(BM26="",0,BM26))/(Weights!$C$11*IF(AU26="",0,1)+Weights!$C$12*IF(BM26="",0,1))))</x:f>
      </x:c>
      <x:c r="BV26" s="10">
        <x:f>IF(CG26="",0,CG26)</x:f>
      </x:c>
      <x:c r="BW26" s="10">
        <x:f>IF(AP26="","",AP26)</x:f>
      </x:c>
      <x:c r="BX26" s="10">
        <x:f>IF(AO26="","",AO26)</x:f>
      </x:c>
      <x:c r="BY26" s="10">
        <x:f>IF(AL26="","",AL26)</x:f>
      </x:c>
      <x:c r="BZ26" s="10">
        <x:f>IF(AM26="","",AM26)</x:f>
      </x:c>
      <x:c r="CA26" s="10">
        <x:f>IF(AK26&lt;&gt;"",AK26,AW26)</x:f>
      </x:c>
      <x:c r="CB26" s="10">
        <x:f>IF((Weights!$C$13*IF(BP26="",0,1)+Weights!$C$14*IF(BR26="",0,1)+Weights!$C$15*IF(BQ26="",0,1)+Weights!$C$16*IF(BS26="",0,1)+Weights!$C$17*IF(BU26="",0,1)+Weights!$C$18*IF(BT26="",0,1)+Weights!$C$19*IF(BW26="",0,1)+Weights!$C$20*IF(BZ26="",0,1)+Weights!$C$21*IF(BO26="",0,1)+Weights!$C$22)=0,"",(Weights!$C$13*IF(BP26="",0,BP26)+Weights!$C$14*IF(BR26="",0,BR26)+Weights!$C$15*IF(BQ26="",0,BQ26)+Weights!$C$16*IF(BS26="",0,BS26)+Weights!$C$17*IF(BU26="",0,BU26)+Weights!$C$18*IF(BT26="",0,BT26)+Weights!$C$19*IF(BW26="",0,BW26)+Weights!$C$20*IF(BZ26="",0,BZ26)+Weights!$C$21*IF(BO26="",0,BO26)+Weights!$C$22*BV26)/(Weights!$C$13*IF(BP26="",0,1)+Weights!$C$14*IF(BR26="",0,1)+Weights!$C$15*IF(BQ26="",0,1)+Weights!$C$16*IF(BS26="",0,1)+Weights!$C$17*IF(BU26="",0,1)+Weights!$C$18*IF(BT26="",0,1)+Weights!$C$19*IF(BW26="",0,1)+Weights!$C$20*IF(BZ26="",0,1)+Weights!$C$21*IF(BO26="",0,1)+Weights!$C$22))</x:f>
      </x:c>
      <x:c r="CC26" s="10">
        <x:f>IF((Weights!$C$23*IF(BQ26="",0,1)+Weights!$C$24*IF(BN26="",0,1)+Weights!$C$25*IF(BS26="",0,1)+Weights!$C$26*IF(BY26="",0,1)+Weights!$C$27*IF(BX26="",0,1)+Weights!$C$28*IF(BT26="",0,1)+Weights!$C$29*IF(CA26="",0,1)+Weights!$C$30+Weights!$C$31*IF(BU26="",0,1))=0,"",(Weights!$C$23*IF(BQ26="",0,BQ26)+Weights!$C$24*IF(BN26="",0,BN26)+Weights!$C$25*IF(BS26="",0,BS26)+Weights!$C$26*IF(BY26="",0,BY26)+Weights!$C$27*IF(BX26="",0,BX26)+Weights!$C$28*IF(BT26="",0,BT26)+Weights!$C$29*IF(CA26="",0,CA26)+Weights!$C$30*BV26+Weights!$C$31*IF(BU26="",0,BU26))/(Weights!$C$23*IF(BQ26="",0,1)+Weights!$C$24*IF(BN26="",0,1)+Weights!$C$25*IF(BS26="",0,1)+Weights!$C$26*IF(BY26="",0,1)+Weights!$C$27*IF(BX26="",0,1)+Weights!$C$28*IF(BT26="",0,1)+Weights!$C$29*IF(CA26="",0,1)+Weights!$C$30+Weights!$C$31*IF(BU26="",0,1)))</x:f>
      </x:c>
      <x:c r="CD26" s="10">
        <x:f>IF(AND(CB26="",CC26=""),"",IF(CB26="",CC26,IF(CC26="",CB26,AVERAGE(CB26,CC26))))</x:f>
      </x:c>
      <x:c r="CE26" s="7">
        <x:f>ROUND(100*((IF(BP26&lt;&gt;"",1,0)+IF(BQ26&lt;&gt;"",1,0)+IF(BR26&lt;&gt;"",1,0)+IF(BS26&lt;&gt;"",1,0)+IF(BU26&lt;&gt;"",1,0)+IF(BT26&lt;&gt;"",1,0)+IF(BN26&lt;&gt;"",1,0)+IF(AW26&lt;&gt;"",1,0))/8),0)</x:f>
      </x:c>
      <x:c r="CF26">
        <x:f>IF(V26="","",LOG10(V26+1))</x:f>
      </x:c>
      <x:c r="CG26">
        <x:f>IF(CF26="","",IF(MAX($CF$2:$CF$252)-MIN($CF$2:$CF$252)=0,"",(CF26-MIN($CF$2:$CF$252))/(MAX($CF$2:$CF$252)-MIN($CF$2:$CF$252))*100))</x:f>
      </x:c>
    </x:row>
    <x:row r="27">
      <x:c r="A27" t="inlineStr">
        <x:is>
          <x:t xml:space="preserve">MNP</x:t>
        </x:is>
      </x:c>
      <x:c r="B27" t="inlineStr">
        <x:is>
          <x:t xml:space="preserve">Northern Mariana Islands</x:t>
        </x:is>
      </x:c>
      <x:c r="C27" t="inlineStr">
        <x:is>
          <x:t xml:space="preserve">East Asia &amp; Pacific</x:t>
        </x:is>
      </x:c>
      <x:c r="D27" t="inlineStr">
        <x:is>
          <x:t xml:space="preserve">High income</x:t>
        </x:is>
      </x:c>
      <x:c r="F27" t="n">
        <x:v>2024</x:v>
      </x:c>
      <x:c r="G27" t="n">
        <x:v>44278</x:v>
      </x:c>
      <x:c r="N27" s="8" t="n"/>
      <x:c r="O27" s="9" t="n"/>
      <x:c r="P27" s="8" t="n"/>
      <x:c r="Q27" t="n">
        <x:v>2022</x:v>
      </x:c>
      <x:c r="R27" s="8" t="n">
        <x:v>1096000000</x:v>
      </x:c>
      <x:c r="S27" t="n">
        <x:v>0</x:v>
      </x:c>
      <x:c r="T27" t="n">
        <x:v>0</x:v>
      </x:c>
      <x:c r="U27" t="inlineStr">
        <x:is>
          <x:t xml:space="preserve">No</x:t>
        </x:is>
      </x:c>
      <x:c r="W27" t="inlineStr">
        <x:is>
          <x:t xml:space="preserve">No</x:t>
        </x:is>
      </x:c>
      <x:c r="AB27" s="8" t="n"/>
      <x:c r="AR27">
        <x:f>IF(G27="","",LOG10(G27+1))</x:f>
        <x:v>4.646197804180805</x:v>
      </x:c>
      <x:c r="AS27" s="10">
        <x:f>IF(AR27="","",IF(MAX($AR$2:$AR$252)-MIN($AR$2:$AR$252)=0,"",(AR27-MIN($AR$2:$AR$252))/(MAX($AR$2:$AR$252)-MIN($AR$2:$AR$252))*100))</x:f>
        <x:v>55.53163792073993</x:v>
      </x:c>
      <x:c r="AT27">
        <x:f>IF(R27="","",LOG10(R27+1))</x:f>
        <x:v>9.039810554544603</x:v>
      </x:c>
      <x:c r="AU27" s="10">
        <x:f>IF(AT27="","",IF(MAX($AT$2:$AT$252)-MIN($AT$2:$AT$252)=0,"",(AT27-MIN($AT$2:$AT$252))/(MAX($AT$2:$AT$252)-MIN($AT$2:$AT$252))*100))</x:f>
        <x:v>71.34384462815856</x:v>
      </x:c>
      <x:c r="AV27">
        <x:f>IF(N27="","",LOG10(N27+1))</x:f>
      </x:c>
      <x:c r="AW27" s="10">
        <x:f>IF(AV27="","",IF(MAX($AV$2:$AV$252)-MIN($AV$2:$AV$252)=0,"",(AV27-MIN($AV$2:$AV$252))/(MAX($AV$2:$AV$252)-MIN($AV$2:$AV$252))*100))</x:f>
      </x:c>
      <x:c r="AX27">
        <x:f>IF(I27="","",LOG10(I27+1))</x:f>
      </x:c>
      <x:c r="AY27" s="10">
        <x:f>IF(AX27="","",IF(MAX($AX$2:$AX$252)-MIN($AX$2:$AX$252)=0,"",(AX27-MIN($AX$2:$AX$252))/(MAX($AX$2:$AX$252)-MIN($AX$2:$AX$252))*100))</x:f>
      </x:c>
      <x:c r="AZ27">
        <x:f>IF(J27="","",LOG10(J27+1))</x:f>
      </x:c>
      <x:c r="BA27" s="10">
        <x:f>IF(AZ27="","",IF(MAX($AZ$2:$AZ$252)-MIN($AZ$2:$AZ$252)=0,"",(AZ27-MIN($AZ$2:$AZ$252))/(MAX($AZ$2:$AZ$252)-MIN($AZ$2:$AZ$252))*100))</x:f>
      </x:c>
      <x:c r="BB27">
        <x:f>IF(K27="","",LOG10(K27+1))</x:f>
      </x:c>
      <x:c r="BC27" s="10">
        <x:f>IF(BB27="","",IF(MAX($BB$2:$BB$252)-MIN($BB$2:$BB$252)=0,"",(BB27-MIN($BB$2:$BB$252))/(MAX($BB$2:$BB$252)-MIN($BB$2:$BB$252))*100))</x:f>
      </x:c>
      <x:c r="BD27">
        <x:f>IF(L27="","",LOG10(L27+1))</x:f>
      </x:c>
      <x:c r="BE27" s="10">
        <x:f>IF(BD27="","",IF(MAX($BD$2:$BD$252)-MIN($BD$2:$BD$252)=0,"",(BD27-MIN($BD$2:$BD$252))/(MAX($BD$2:$BD$252)-MIN($BD$2:$BD$252))*100))</x:f>
      </x:c>
      <x:c r="BF27" s="10">
        <x:f>IF(P27="","",IF(MAX($P$2:$P$252)-MIN($P$2:$P$252)=0,"",(P27-MIN($P$2:$P$252))/(MAX($P$2:$P$252)-MIN($P$2:$P$252))*100))</x:f>
      </x:c>
      <x:c r="BG27">
        <x:f>IF(AF27="","",LOG10(AF27+1))</x:f>
      </x:c>
      <x:c r="BH27" s="10">
        <x:f>IF(BG27="","",IF(MAX($BG$2:$BG$252)-MIN($BG$2:$BG$252)=0,"",(BG27-MIN($BG$2:$BG$252))/(MAX($BG$2:$BG$252)-MIN($BG$2:$BG$252))*100))</x:f>
      </x:c>
      <x:c r="BI27">
        <x:f>IF(AC27="","",LOG10(AC27+1))</x:f>
      </x:c>
      <x:c r="BJ27" s="10">
        <x:f>IF(BI27="","",IF(MAX($BI$2:$BI$252)-MIN($BI$2:$BI$252)=0,"",(BI27-MIN($BI$2:$BI$252))/(MAX($BI$2:$BI$252)-MIN($BI$2:$BI$252))*100))</x:f>
      </x:c>
      <x:c r="BK27">
        <x:f>IF(AD27="","",(AD27*2)+(AE27*1))</x:f>
      </x:c>
      <x:c r="BL27" s="10">
        <x:f>IF(BK27="","",IF(MAX($BK$2:$BK$252)-MIN($BK$2:$BK$252)=0,"",(BK27-MIN($BK$2:$BK$252))/(MAX($BK$2:$BK$252)-MIN($BK$2:$BK$252))*100))</x:f>
      </x:c>
      <x:c r="BM27" s="10">
        <x:f>IF(AB27="","",IF(MAX($AB$2:$AB$252)-MIN($AB$2:$AB$252)=0,"",(AB27-MIN($AB$2:$AB$252))/(MAX($AB$2:$AB$252)-MIN($AB$2:$AB$252))*100))</x:f>
      </x:c>
      <x:c r="BN27" s="10">
        <x:f>IF(X27="","",X27)</x:f>
      </x:c>
      <x:c r="BO27" s="10">
        <x:f>IF(X27="","",100-X27)</x:f>
      </x:c>
      <x:c r="BP27" s="10">
        <x:f>IF((Weights!$C$2*IF(BH27="",0,1)+Weights!$C$3*IF(BJ27="",0,1)+Weights!$C$4*IF(BL27="",0,1))=0,"",(Weights!$C$2*IF(BH27="",0,BH27)+Weights!$C$3*IF(BJ27="",0,BJ27)+Weights!$C$4*IF(BL27="",0,BL27))/(Weights!$C$2*IF(BH27="",0,1)+Weights!$C$3*IF(BJ27="",0,1)+Weights!$C$4*IF(BL27="",0,1)))</x:f>
      </x:c>
      <x:c r="BQ27" s="10">
        <x:f>IF((Weights!$C$5*IF(BA27="",0,1)+Weights!$C$6*IF(AW27="",0,1)+Weights!$C$7*IF(AU27="",0,1))=0,"",(Weights!$C$5*IF(BA27="",0,BA27)+Weights!$C$6*IF(AW27="",0,AW27)+Weights!$C$7*IF(AU27="",0,AU27))/(Weights!$C$5*IF(BA27="",0,1)+Weights!$C$6*IF(AW27="",0,1)+Weights!$C$7*IF(AU27="",0,1)))</x:f>
      </x:c>
      <x:c r="BR27" s="10">
        <x:f>IF((Weights!$C$8*IF(AW27="",0,1)+Weights!$C$9*IF(BC27="",0,1)+Weights!$C$10*IF(BF27="",0,1))=0,"",(Weights!$C$8*IF(AW27="",0,AW27)+Weights!$C$9*IF(BC27="",0,BC27)+Weights!$C$10*IF(BF27="",0,BF27))/(Weights!$C$8*IF(AW27="",0,1)+Weights!$C$9*IF(BC27="",0,1)+Weights!$C$10*IF(BF27="",0,1)))</x:f>
      </x:c>
      <x:c r="BS27" s="10">
        <x:f>IF(Y27="","",Y27)</x:f>
      </x:c>
      <x:c r="BT27" s="10">
        <x:f>IF(AS27="","",AS27)</x:f>
      </x:c>
      <x:c r="BU27" s="10">
        <x:f>IF(AJ27&lt;&gt;"",(0.6*AJ27+0.4*AU27),IF((Weights!$C$11*IF(AU27="",0,1)+Weights!$C$12*IF(BM27="",0,1))=0,"",(Weights!$C$11*IF(AU27="",0,AU27)+Weights!$C$12*IF(BM27="",0,BM27))/(Weights!$C$11*IF(AU27="",0,1)+Weights!$C$12*IF(BM27="",0,1))))</x:f>
      </x:c>
      <x:c r="BV27" s="10">
        <x:f>IF(CG27="",0,CG27)</x:f>
      </x:c>
      <x:c r="BW27" s="10">
        <x:f>IF(AP27="","",AP27)</x:f>
      </x:c>
      <x:c r="BX27" s="10">
        <x:f>IF(AO27="","",AO27)</x:f>
      </x:c>
      <x:c r="BY27" s="10">
        <x:f>IF(AL27="","",AL27)</x:f>
      </x:c>
      <x:c r="BZ27" s="10">
        <x:f>IF(AM27="","",AM27)</x:f>
      </x:c>
      <x:c r="CA27" s="10">
        <x:f>IF(AK27&lt;&gt;"",AK27,AW27)</x:f>
      </x:c>
      <x:c r="CB27" s="10">
        <x:f>IF((Weights!$C$13*IF(BP27="",0,1)+Weights!$C$14*IF(BR27="",0,1)+Weights!$C$15*IF(BQ27="",0,1)+Weights!$C$16*IF(BS27="",0,1)+Weights!$C$17*IF(BU27="",0,1)+Weights!$C$18*IF(BT27="",0,1)+Weights!$C$19*IF(BW27="",0,1)+Weights!$C$20*IF(BZ27="",0,1)+Weights!$C$21*IF(BO27="",0,1)+Weights!$C$22)=0,"",(Weights!$C$13*IF(BP27="",0,BP27)+Weights!$C$14*IF(BR27="",0,BR27)+Weights!$C$15*IF(BQ27="",0,BQ27)+Weights!$C$16*IF(BS27="",0,BS27)+Weights!$C$17*IF(BU27="",0,BU27)+Weights!$C$18*IF(BT27="",0,BT27)+Weights!$C$19*IF(BW27="",0,BW27)+Weights!$C$20*IF(BZ27="",0,BZ27)+Weights!$C$21*IF(BO27="",0,BO27)+Weights!$C$22*BV27)/(Weights!$C$13*IF(BP27="",0,1)+Weights!$C$14*IF(BR27="",0,1)+Weights!$C$15*IF(BQ27="",0,1)+Weights!$C$16*IF(BS27="",0,1)+Weights!$C$17*IF(BU27="",0,1)+Weights!$C$18*IF(BT27="",0,1)+Weights!$C$19*IF(BW27="",0,1)+Weights!$C$20*IF(BZ27="",0,1)+Weights!$C$21*IF(BO27="",0,1)+Weights!$C$22))</x:f>
      </x:c>
      <x:c r="CC27" s="10">
        <x:f>IF((Weights!$C$23*IF(BQ27="",0,1)+Weights!$C$24*IF(BN27="",0,1)+Weights!$C$25*IF(BS27="",0,1)+Weights!$C$26*IF(BY27="",0,1)+Weights!$C$27*IF(BX27="",0,1)+Weights!$C$28*IF(BT27="",0,1)+Weights!$C$29*IF(CA27="",0,1)+Weights!$C$30+Weights!$C$31*IF(BU27="",0,1))=0,"",(Weights!$C$23*IF(BQ27="",0,BQ27)+Weights!$C$24*IF(BN27="",0,BN27)+Weights!$C$25*IF(BS27="",0,BS27)+Weights!$C$26*IF(BY27="",0,BY27)+Weights!$C$27*IF(BX27="",0,BX27)+Weights!$C$28*IF(BT27="",0,BT27)+Weights!$C$29*IF(CA27="",0,CA27)+Weights!$C$30*BV27+Weights!$C$31*IF(BU27="",0,BU27))/(Weights!$C$23*IF(BQ27="",0,1)+Weights!$C$24*IF(BN27="",0,1)+Weights!$C$25*IF(BS27="",0,1)+Weights!$C$26*IF(BY27="",0,1)+Weights!$C$27*IF(BX27="",0,1)+Weights!$C$28*IF(BT27="",0,1)+Weights!$C$29*IF(CA27="",0,1)+Weights!$C$30+Weights!$C$31*IF(BU27="",0,1)))</x:f>
      </x:c>
      <x:c r="CD27" s="10">
        <x:f>IF(AND(CB27="",CC27=""),"",IF(CB27="",CC27,IF(CC27="",CB27,AVERAGE(CB27,CC27))))</x:f>
      </x:c>
      <x:c r="CE27" s="7">
        <x:f>ROUND(100*((IF(BP27&lt;&gt;"",1,0)+IF(BQ27&lt;&gt;"",1,0)+IF(BR27&lt;&gt;"",1,0)+IF(BS27&lt;&gt;"",1,0)+IF(BU27&lt;&gt;"",1,0)+IF(BT27&lt;&gt;"",1,0)+IF(BN27&lt;&gt;"",1,0)+IF(AW27&lt;&gt;"",1,0))/8),0)</x:f>
      </x:c>
      <x:c r="CF27">
        <x:f>IF(V27="","",LOG10(V27+1))</x:f>
      </x:c>
      <x:c r="CG27">
        <x:f>IF(CF27="","",IF(MAX($CF$2:$CF$252)-MIN($CF$2:$CF$252)=0,"",(CF27-MIN($CF$2:$CF$252))/(MAX($CF$2:$CF$252)-MIN($CF$2:$CF$252))*100))</x:f>
      </x:c>
    </x:row>
    <x:row r="28">
      <x:c r="A28" t="inlineStr">
        <x:is>
          <x:t xml:space="preserve">COD</x:t>
        </x:is>
      </x:c>
      <x:c r="B28" t="inlineStr">
        <x:is>
          <x:t xml:space="preserve">Congo, Dem. Rep.</x:t>
        </x:is>
      </x:c>
      <x:c r="C28" t="inlineStr">
        <x:is>
          <x:t xml:space="preserve">Sub-Saharan Africa</x:t>
        </x:is>
      </x:c>
      <x:c r="D28" t="inlineStr">
        <x:is>
          <x:t xml:space="preserve">Low income</x:t>
        </x:is>
      </x:c>
      <x:c r="E28" t="inlineStr">
        <x:is>
          <x:t xml:space="preserve">Africa</x:t>
        </x:is>
      </x:c>
      <x:c r="F28" t="n">
        <x:v>2024</x:v>
      </x:c>
      <x:c r="G28" t="n">
        <x:v>109276265</x:v>
      </x:c>
      <x:c r="H28" t="n">
        <x:v>2020</x:v>
      </x:c>
      <x:c r="I28" t="n">
        <x:v>134000</x:v>
      </x:c>
      <x:c r="J28" t="n">
        <x:v>87100</x:v>
      </x:c>
      <x:c r="K28" t="n">
        <x:v>26800</x:v>
      </x:c>
      <x:c r="L28" t="n">
        <x:v>16080</x:v>
      </x:c>
      <x:c r="M28" t="n">
        <x:v>2024</x:v>
      </x:c>
      <x:c r="N28" s="8" t="n">
        <x:v>899187778.403836</x:v>
      </x:c>
      <x:c r="O28" s="9" t="n">
        <x:v>1.22855267131451</x:v>
      </x:c>
      <x:c r="P28" s="8" t="n">
        <x:v>6710.356555252508</x:v>
      </x:c>
      <x:c r="Q28" t="n">
        <x:v>2024</x:v>
      </x:c>
      <x:c r="R28" s="8" t="n">
        <x:v>70962185790.7094</x:v>
      </x:c>
      <x:c r="S28" t="n">
        <x:v>0</x:v>
      </x:c>
      <x:c r="T28" t="n">
        <x:v>0</x:v>
      </x:c>
      <x:c r="U28" t="inlineStr">
        <x:is>
          <x:t xml:space="preserve">No</x:t>
        </x:is>
      </x:c>
      <x:c r="W28" t="inlineStr">
        <x:is>
          <x:t xml:space="preserve">No</x:t>
        </x:is>
      </x:c>
      <x:c r="X28" t="n">
        <x:v>18.68165553997235</x:v>
      </x:c>
      <x:c r="Y28" t="n">
        <x:v>12.9831223668898</x:v>
      </x:c>
      <x:c r="Z28" t="n">
        <x:v>2323492.477462138</x:v>
      </x:c>
      <x:c r="AA28" t="n">
        <x:v>35.85169816903676</x:v>
      </x:c>
      <x:c r="AB28" s="8" t="n">
        <x:v>792.4260254219056</x:v>
      </x:c>
      <x:c r="AC28" t="n">
        <x:v>16</x:v>
      </x:c>
      <x:c r="AD28" t="n">
        <x:v>0</x:v>
      </x:c>
      <x:c r="AE28" t="n">
        <x:v>0</x:v>
      </x:c>
      <x:c r="AR28">
        <x:f>IF(G28="","",LOG10(G28+1))</x:f>
        <x:v>8.038525846629357</x:v>
      </x:c>
      <x:c r="AS28" s="10">
        <x:f>IF(AR28="","",IF(MAX($AR$2:$AR$252)-MIN($AR$2:$AR$252)=0,"",(AR28-MIN($AR$2:$AR$252))/(MAX($AR$2:$AR$252)-MIN($AR$2:$AR$252))*100))</x:f>
        <x:v>96.07694840926743</x:v>
      </x:c>
      <x:c r="AT28">
        <x:f>IF(R28="","",LOG10(R28+1))</x:f>
        <x:v>10.851026984256842</x:v>
      </x:c>
      <x:c r="AU28" s="10">
        <x:f>IF(AT28="","",IF(MAX($AT$2:$AT$252)-MIN($AT$2:$AT$252)=0,"",(AT28-MIN($AT$2:$AT$252))/(MAX($AT$2:$AT$252)-MIN($AT$2:$AT$252))*100))</x:f>
        <x:v>85.6382972352871</x:v>
      </x:c>
      <x:c r="AV28">
        <x:f>IF(N28="","",LOG10(N28+1))</x:f>
        <x:v>8.953850395896755</x:v>
      </x:c>
      <x:c r="AW28" s="10">
        <x:f>IF(AV28="","",IF(MAX($AV$2:$AV$252)-MIN($AV$2:$AV$252)=0,"",(AV28-MIN($AV$2:$AV$252))/(MAX($AV$2:$AV$252)-MIN($AV$2:$AV$252))*100))</x:f>
        <x:v>81.79467898055556</x:v>
      </x:c>
      <x:c r="AX28">
        <x:f>IF(I28="","",LOG10(I28+1))</x:f>
        <x:v>5.12710803935631</x:v>
      </x:c>
      <x:c r="AY28" s="10">
        <x:f>IF(AX28="","",IF(MAX($AX$2:$AX$252)-MIN($AX$2:$AX$252)=0,"",(AX28-MIN($AX$2:$AX$252))/(MAX($AX$2:$AX$252)-MIN($AX$2:$AX$252))*100))</x:f>
      </x:c>
      <x:c r="AZ28">
        <x:f>IF(J28="","",LOG10(J28+1))</x:f>
      </x:c>
      <x:c r="BA28" s="10">
        <x:f>IF(AZ28="","",IF(MAX($AZ$2:$AZ$252)-MIN($AZ$2:$AZ$252)=0,"",(AZ28-MIN($AZ$2:$AZ$252))/(MAX($AZ$2:$AZ$252)-MIN($AZ$2:$AZ$252))*100))</x:f>
      </x:c>
      <x:c r="BB28">
        <x:f>IF(K28="","",LOG10(K28+1))</x:f>
      </x:c>
      <x:c r="BC28" s="10">
        <x:f>IF(BB28="","",IF(MAX($BB$2:$BB$252)-MIN($BB$2:$BB$252)=0,"",(BB28-MIN($BB$2:$BB$252))/(MAX($BB$2:$BB$252)-MIN($BB$2:$BB$252))*100))</x:f>
      </x:c>
      <x:c r="BD28">
        <x:f>IF(L28="","",LOG10(L28+1))</x:f>
      </x:c>
      <x:c r="BE28" s="10">
        <x:f>IF(BD28="","",IF(MAX($BD$2:$BD$252)-MIN($BD$2:$BD$252)=0,"",(BD28-MIN($BD$2:$BD$252))/(MAX($BD$2:$BD$252)-MIN($BD$2:$BD$252))*100))</x:f>
      </x:c>
      <x:c r="BF28" s="10">
        <x:f>IF(P28="","",IF(MAX($P$2:$P$252)-MIN($P$2:$P$252)=0,"",(P28-MIN($P$2:$P$252))/(MAX($P$2:$P$252)-MIN($P$2:$P$252))*100))</x:f>
      </x:c>
      <x:c r="BG28">
        <x:f>IF(AF28="","",LOG10(AF28+1))</x:f>
      </x:c>
      <x:c r="BH28" s="10">
        <x:f>IF(BG28="","",IF(MAX($BG$2:$BG$252)-MIN($BG$2:$BG$252)=0,"",(BG28-MIN($BG$2:$BG$252))/(MAX($BG$2:$BG$252)-MIN($BG$2:$BG$252))*100))</x:f>
      </x:c>
      <x:c r="BI28">
        <x:f>IF(AC28="","",LOG10(AC28+1))</x:f>
      </x:c>
      <x:c r="BJ28" s="10">
        <x:f>IF(BI28="","",IF(MAX($BI$2:$BI$252)-MIN($BI$2:$BI$252)=0,"",(BI28-MIN($BI$2:$BI$252))/(MAX($BI$2:$BI$252)-MIN($BI$2:$BI$252))*100))</x:f>
      </x:c>
      <x:c r="BK28">
        <x:f>IF(AD28="","",(AD28*2)+(AE28*1))</x:f>
      </x:c>
      <x:c r="BL28" s="10">
        <x:f>IF(BK28="","",IF(MAX($BK$2:$BK$252)-MIN($BK$2:$BK$252)=0,"",(BK28-MIN($BK$2:$BK$252))/(MAX($BK$2:$BK$252)-MIN($BK$2:$BK$252))*100))</x:f>
      </x:c>
      <x:c r="BM28" s="10">
        <x:f>IF(AB28="","",IF(MAX($AB$2:$AB$252)-MIN($AB$2:$AB$252)=0,"",(AB28-MIN($AB$2:$AB$252))/(MAX($AB$2:$AB$252)-MIN($AB$2:$AB$252))*100))</x:f>
      </x:c>
      <x:c r="BN28" s="10">
        <x:f>IF(X28="","",X28)</x:f>
      </x:c>
      <x:c r="BO28" s="10">
        <x:f>IF(X28="","",100-X28)</x:f>
      </x:c>
      <x:c r="BP28" s="10">
        <x:f>IF((Weights!$C$2*IF(BH28="",0,1)+Weights!$C$3*IF(BJ28="",0,1)+Weights!$C$4*IF(BL28="",0,1))=0,"",(Weights!$C$2*IF(BH28="",0,BH28)+Weights!$C$3*IF(BJ28="",0,BJ28)+Weights!$C$4*IF(BL28="",0,BL28))/(Weights!$C$2*IF(BH28="",0,1)+Weights!$C$3*IF(BJ28="",0,1)+Weights!$C$4*IF(BL28="",0,1)))</x:f>
      </x:c>
      <x:c r="BQ28" s="10">
        <x:f>IF((Weights!$C$5*IF(BA28="",0,1)+Weights!$C$6*IF(AW28="",0,1)+Weights!$C$7*IF(AU28="",0,1))=0,"",(Weights!$C$5*IF(BA28="",0,BA28)+Weights!$C$6*IF(AW28="",0,AW28)+Weights!$C$7*IF(AU28="",0,AU28))/(Weights!$C$5*IF(BA28="",0,1)+Weights!$C$6*IF(AW28="",0,1)+Weights!$C$7*IF(AU28="",0,1)))</x:f>
      </x:c>
      <x:c r="BR28" s="10">
        <x:f>IF((Weights!$C$8*IF(AW28="",0,1)+Weights!$C$9*IF(BC28="",0,1)+Weights!$C$10*IF(BF28="",0,1))=0,"",(Weights!$C$8*IF(AW28="",0,AW28)+Weights!$C$9*IF(BC28="",0,BC28)+Weights!$C$10*IF(BF28="",0,BF28))/(Weights!$C$8*IF(AW28="",0,1)+Weights!$C$9*IF(BC28="",0,1)+Weights!$C$10*IF(BF28="",0,1)))</x:f>
      </x:c>
      <x:c r="BS28" s="10">
        <x:f>IF(Y28="","",Y28)</x:f>
      </x:c>
      <x:c r="BT28" s="10">
        <x:f>IF(AS28="","",AS28)</x:f>
      </x:c>
      <x:c r="BU28" s="10">
        <x:f>IF(AJ28&lt;&gt;"",(0.6*AJ28+0.4*AU28),IF((Weights!$C$11*IF(AU28="",0,1)+Weights!$C$12*IF(BM28="",0,1))=0,"",(Weights!$C$11*IF(AU28="",0,AU28)+Weights!$C$12*IF(BM28="",0,BM28))/(Weights!$C$11*IF(AU28="",0,1)+Weights!$C$12*IF(BM28="",0,1))))</x:f>
      </x:c>
      <x:c r="BV28" s="10">
        <x:f>IF(CG28="",0,CG28)</x:f>
      </x:c>
      <x:c r="BW28" s="10">
        <x:f>IF(AP28="","",AP28)</x:f>
      </x:c>
      <x:c r="BX28" s="10">
        <x:f>IF(AO28="","",AO28)</x:f>
      </x:c>
      <x:c r="BY28" s="10">
        <x:f>IF(AL28="","",AL28)</x:f>
      </x:c>
      <x:c r="BZ28" s="10">
        <x:f>IF(AM28="","",AM28)</x:f>
      </x:c>
      <x:c r="CA28" s="10">
        <x:f>IF(AK28&lt;&gt;"",AK28,AW28)</x:f>
      </x:c>
      <x:c r="CB28" s="10">
        <x:f>IF((Weights!$C$13*IF(BP28="",0,1)+Weights!$C$14*IF(BR28="",0,1)+Weights!$C$15*IF(BQ28="",0,1)+Weights!$C$16*IF(BS28="",0,1)+Weights!$C$17*IF(BU28="",0,1)+Weights!$C$18*IF(BT28="",0,1)+Weights!$C$19*IF(BW28="",0,1)+Weights!$C$20*IF(BZ28="",0,1)+Weights!$C$21*IF(BO28="",0,1)+Weights!$C$22)=0,"",(Weights!$C$13*IF(BP28="",0,BP28)+Weights!$C$14*IF(BR28="",0,BR28)+Weights!$C$15*IF(BQ28="",0,BQ28)+Weights!$C$16*IF(BS28="",0,BS28)+Weights!$C$17*IF(BU28="",0,BU28)+Weights!$C$18*IF(BT28="",0,BT28)+Weights!$C$19*IF(BW28="",0,BW28)+Weights!$C$20*IF(BZ28="",0,BZ28)+Weights!$C$21*IF(BO28="",0,BO28)+Weights!$C$22*BV28)/(Weights!$C$13*IF(BP28="",0,1)+Weights!$C$14*IF(BR28="",0,1)+Weights!$C$15*IF(BQ28="",0,1)+Weights!$C$16*IF(BS28="",0,1)+Weights!$C$17*IF(BU28="",0,1)+Weights!$C$18*IF(BT28="",0,1)+Weights!$C$19*IF(BW28="",0,1)+Weights!$C$20*IF(BZ28="",0,1)+Weights!$C$21*IF(BO28="",0,1)+Weights!$C$22))</x:f>
      </x:c>
      <x:c r="CC28" s="10">
        <x:f>IF((Weights!$C$23*IF(BQ28="",0,1)+Weights!$C$24*IF(BN28="",0,1)+Weights!$C$25*IF(BS28="",0,1)+Weights!$C$26*IF(BY28="",0,1)+Weights!$C$27*IF(BX28="",0,1)+Weights!$C$28*IF(BT28="",0,1)+Weights!$C$29*IF(CA28="",0,1)+Weights!$C$30+Weights!$C$31*IF(BU28="",0,1))=0,"",(Weights!$C$23*IF(BQ28="",0,BQ28)+Weights!$C$24*IF(BN28="",0,BN28)+Weights!$C$25*IF(BS28="",0,BS28)+Weights!$C$26*IF(BY28="",0,BY28)+Weights!$C$27*IF(BX28="",0,BX28)+Weights!$C$28*IF(BT28="",0,BT28)+Weights!$C$29*IF(CA28="",0,CA28)+Weights!$C$30*BV28+Weights!$C$31*IF(BU28="",0,BU28))/(Weights!$C$23*IF(BQ28="",0,1)+Weights!$C$24*IF(BN28="",0,1)+Weights!$C$25*IF(BS28="",0,1)+Weights!$C$26*IF(BY28="",0,1)+Weights!$C$27*IF(BX28="",0,1)+Weights!$C$28*IF(BT28="",0,1)+Weights!$C$29*IF(CA28="",0,1)+Weights!$C$30+Weights!$C$31*IF(BU28="",0,1)))</x:f>
      </x:c>
      <x:c r="CD28" s="10">
        <x:f>IF(AND(CB28="",CC28=""),"",IF(CB28="",CC28,IF(CC28="",CB28,AVERAGE(CB28,CC28))))</x:f>
      </x:c>
      <x:c r="CE28" s="7">
        <x:f>ROUND(100*((IF(BP28&lt;&gt;"",1,0)+IF(BQ28&lt;&gt;"",1,0)+IF(BR28&lt;&gt;"",1,0)+IF(BS28&lt;&gt;"",1,0)+IF(BU28&lt;&gt;"",1,0)+IF(BT28&lt;&gt;"",1,0)+IF(BN28&lt;&gt;"",1,0)+IF(AW28&lt;&gt;"",1,0))/8),0)</x:f>
      </x:c>
      <x:c r="CF28">
        <x:f>IF(V28="","",LOG10(V28+1))</x:f>
      </x:c>
      <x:c r="CG28">
        <x:f>IF(CF28="","",IF(MAX($CF$2:$CF$252)-MIN($CF$2:$CF$252)=0,"",(CF28-MIN($CF$2:$CF$252))/(MAX($CF$2:$CF$252)-MIN($CF$2:$CF$252))*100))</x:f>
      </x:c>
    </x:row>
    <x:row r="29">
      <x:c r="A29" t="inlineStr">
        <x:is>
          <x:t xml:space="preserve">COK</x:t>
        </x:is>
      </x:c>
      <x:c r="B29" t="inlineStr">
        <x:is>
          <x:t xml:space="preserve">Cook Islands</x:t>
        </x:is>
      </x:c>
      <x:c r="N29" s="8" t="n"/>
      <x:c r="O29" s="9" t="n"/>
      <x:c r="P29" s="8" t="n"/>
      <x:c r="R29" s="8" t="n"/>
      <x:c r="AB29" s="8" t="n"/>
      <x:c r="AR29">
        <x:f>IF(G29="","",LOG10(G29+1))</x:f>
      </x:c>
      <x:c r="AS29" s="10">
        <x:f>IF(AR29="","",IF(MAX($AR$2:$AR$252)-MIN($AR$2:$AR$252)=0,"",(AR29-MIN($AR$2:$AR$252))/(MAX($AR$2:$AR$252)-MIN($AR$2:$AR$252))*100))</x:f>
      </x:c>
      <x:c r="AT29">
        <x:f>IF(R29="","",LOG10(R29+1))</x:f>
      </x:c>
      <x:c r="AU29" s="10">
        <x:f>IF(AT29="","",IF(MAX($AT$2:$AT$252)-MIN($AT$2:$AT$252)=0,"",(AT29-MIN($AT$2:$AT$252))/(MAX($AT$2:$AT$252)-MIN($AT$2:$AT$252))*100))</x:f>
      </x:c>
      <x:c r="AV29">
        <x:f>IF(N29="","",LOG10(N29+1))</x:f>
      </x:c>
      <x:c r="AW29" s="10">
        <x:f>IF(AV29="","",IF(MAX($AV$2:$AV$252)-MIN($AV$2:$AV$252)=0,"",(AV29-MIN($AV$2:$AV$252))/(MAX($AV$2:$AV$252)-MIN($AV$2:$AV$252))*100))</x:f>
      </x:c>
      <x:c r="AX29">
        <x:f>IF(I29="","",LOG10(I29+1))</x:f>
      </x:c>
      <x:c r="AY29" s="10">
        <x:f>IF(AX29="","",IF(MAX($AX$2:$AX$252)-MIN($AX$2:$AX$252)=0,"",(AX29-MIN($AX$2:$AX$252))/(MAX($AX$2:$AX$252)-MIN($AX$2:$AX$252))*100))</x:f>
      </x:c>
      <x:c r="AZ29">
        <x:f>IF(J29="","",LOG10(J29+1))</x:f>
      </x:c>
      <x:c r="BA29" s="10">
        <x:f>IF(AZ29="","",IF(MAX($AZ$2:$AZ$252)-MIN($AZ$2:$AZ$252)=0,"",(AZ29-MIN($AZ$2:$AZ$252))/(MAX($AZ$2:$AZ$252)-MIN($AZ$2:$AZ$252))*100))</x:f>
      </x:c>
      <x:c r="BB29">
        <x:f>IF(K29="","",LOG10(K29+1))</x:f>
      </x:c>
      <x:c r="BC29" s="10">
        <x:f>IF(BB29="","",IF(MAX($BB$2:$BB$252)-MIN($BB$2:$BB$252)=0,"",(BB29-MIN($BB$2:$BB$252))/(MAX($BB$2:$BB$252)-MIN($BB$2:$BB$252))*100))</x:f>
      </x:c>
      <x:c r="BD29">
        <x:f>IF(L29="","",LOG10(L29+1))</x:f>
      </x:c>
      <x:c r="BE29" s="10">
        <x:f>IF(BD29="","",IF(MAX($BD$2:$BD$252)-MIN($BD$2:$BD$252)=0,"",(BD29-MIN($BD$2:$BD$252))/(MAX($BD$2:$BD$252)-MIN($BD$2:$BD$252))*100))</x:f>
      </x:c>
      <x:c r="BF29" s="10">
        <x:f>IF(P29="","",IF(MAX($P$2:$P$252)-MIN($P$2:$P$252)=0,"",(P29-MIN($P$2:$P$252))/(MAX($P$2:$P$252)-MIN($P$2:$P$252))*100))</x:f>
      </x:c>
      <x:c r="BG29">
        <x:f>IF(AF29="","",LOG10(AF29+1))</x:f>
      </x:c>
      <x:c r="BH29" s="10">
        <x:f>IF(BG29="","",IF(MAX($BG$2:$BG$252)-MIN($BG$2:$BG$252)=0,"",(BG29-MIN($BG$2:$BG$252))/(MAX($BG$2:$BG$252)-MIN($BG$2:$BG$252))*100))</x:f>
      </x:c>
      <x:c r="BI29">
        <x:f>IF(AC29="","",LOG10(AC29+1))</x:f>
      </x:c>
      <x:c r="BJ29" s="10">
        <x:f>IF(BI29="","",IF(MAX($BI$2:$BI$252)-MIN($BI$2:$BI$252)=0,"",(BI29-MIN($BI$2:$BI$252))/(MAX($BI$2:$BI$252)-MIN($BI$2:$BI$252))*100))</x:f>
      </x:c>
      <x:c r="BK29">
        <x:f>IF(AD29="","",(AD29*2)+(AE29*1))</x:f>
      </x:c>
      <x:c r="BL29" s="10">
        <x:f>IF(BK29="","",IF(MAX($BK$2:$BK$252)-MIN($BK$2:$BK$252)=0,"",(BK29-MIN($BK$2:$BK$252))/(MAX($BK$2:$BK$252)-MIN($BK$2:$BK$252))*100))</x:f>
      </x:c>
      <x:c r="BM29" s="10">
        <x:f>IF(AB29="","",IF(MAX($AB$2:$AB$252)-MIN($AB$2:$AB$252)=0,"",(AB29-MIN($AB$2:$AB$252))/(MAX($AB$2:$AB$252)-MIN($AB$2:$AB$252))*100))</x:f>
      </x:c>
      <x:c r="BN29" s="10">
        <x:f>IF(X29="","",X29)</x:f>
      </x:c>
      <x:c r="BO29" s="10">
        <x:f>IF(X29="","",100-X29)</x:f>
      </x:c>
      <x:c r="BP29" s="10">
        <x:f>IF((Weights!$C$2*IF(BH29="",0,1)+Weights!$C$3*IF(BJ29="",0,1)+Weights!$C$4*IF(BL29="",0,1))=0,"",(Weights!$C$2*IF(BH29="",0,BH29)+Weights!$C$3*IF(BJ29="",0,BJ29)+Weights!$C$4*IF(BL29="",0,BL29))/(Weights!$C$2*IF(BH29="",0,1)+Weights!$C$3*IF(BJ29="",0,1)+Weights!$C$4*IF(BL29="",0,1)))</x:f>
      </x:c>
      <x:c r="BQ29" s="10">
        <x:f>IF((Weights!$C$5*IF(BA29="",0,1)+Weights!$C$6*IF(AW29="",0,1)+Weights!$C$7*IF(AU29="",0,1))=0,"",(Weights!$C$5*IF(BA29="",0,BA29)+Weights!$C$6*IF(AW29="",0,AW29)+Weights!$C$7*IF(AU29="",0,AU29))/(Weights!$C$5*IF(BA29="",0,1)+Weights!$C$6*IF(AW29="",0,1)+Weights!$C$7*IF(AU29="",0,1)))</x:f>
      </x:c>
      <x:c r="BR29" s="10">
        <x:f>IF((Weights!$C$8*IF(AW29="",0,1)+Weights!$C$9*IF(BC29="",0,1)+Weights!$C$10*IF(BF29="",0,1))=0,"",(Weights!$C$8*IF(AW29="",0,AW29)+Weights!$C$9*IF(BC29="",0,BC29)+Weights!$C$10*IF(BF29="",0,BF29))/(Weights!$C$8*IF(AW29="",0,1)+Weights!$C$9*IF(BC29="",0,1)+Weights!$C$10*IF(BF29="",0,1)))</x:f>
      </x:c>
      <x:c r="BS29" s="10">
        <x:f>IF(Y29="","",Y29)</x:f>
      </x:c>
      <x:c r="BT29" s="10">
        <x:f>IF(AS29="","",AS29)</x:f>
      </x:c>
      <x:c r="BU29" s="10">
        <x:f>IF(AJ29&lt;&gt;"",(0.6*AJ29+0.4*AU29),IF((Weights!$C$11*IF(AU29="",0,1)+Weights!$C$12*IF(BM29="",0,1))=0,"",(Weights!$C$11*IF(AU29="",0,AU29)+Weights!$C$12*IF(BM29="",0,BM29))/(Weights!$C$11*IF(AU29="",0,1)+Weights!$C$12*IF(BM29="",0,1))))</x:f>
      </x:c>
      <x:c r="BV29" s="10">
        <x:f>IF(CG29="",0,CG29)</x:f>
      </x:c>
      <x:c r="BW29" s="10">
        <x:f>IF(AP29="","",AP29)</x:f>
      </x:c>
      <x:c r="BX29" s="10">
        <x:f>IF(AO29="","",AO29)</x:f>
      </x:c>
      <x:c r="BY29" s="10">
        <x:f>IF(AL29="","",AL29)</x:f>
      </x:c>
      <x:c r="BZ29" s="10">
        <x:f>IF(AM29="","",AM29)</x:f>
      </x:c>
      <x:c r="CA29" s="10">
        <x:f>IF(AK29&lt;&gt;"",AK29,AW29)</x:f>
      </x:c>
      <x:c r="CB29" s="10">
        <x:f>IF((Weights!$C$13*IF(BP29="",0,1)+Weights!$C$14*IF(BR29="",0,1)+Weights!$C$15*IF(BQ29="",0,1)+Weights!$C$16*IF(BS29="",0,1)+Weights!$C$17*IF(BU29="",0,1)+Weights!$C$18*IF(BT29="",0,1)+Weights!$C$19*IF(BW29="",0,1)+Weights!$C$20*IF(BZ29="",0,1)+Weights!$C$21*IF(BO29="",0,1)+Weights!$C$22)=0,"",(Weights!$C$13*IF(BP29="",0,BP29)+Weights!$C$14*IF(BR29="",0,BR29)+Weights!$C$15*IF(BQ29="",0,BQ29)+Weights!$C$16*IF(BS29="",0,BS29)+Weights!$C$17*IF(BU29="",0,BU29)+Weights!$C$18*IF(BT29="",0,BT29)+Weights!$C$19*IF(BW29="",0,BW29)+Weights!$C$20*IF(BZ29="",0,BZ29)+Weights!$C$21*IF(BO29="",0,BO29)+Weights!$C$22*BV29)/(Weights!$C$13*IF(BP29="",0,1)+Weights!$C$14*IF(BR29="",0,1)+Weights!$C$15*IF(BQ29="",0,1)+Weights!$C$16*IF(BS29="",0,1)+Weights!$C$17*IF(BU29="",0,1)+Weights!$C$18*IF(BT29="",0,1)+Weights!$C$19*IF(BW29="",0,1)+Weights!$C$20*IF(BZ29="",0,1)+Weights!$C$21*IF(BO29="",0,1)+Weights!$C$22))</x:f>
      </x:c>
      <x:c r="CC29" s="10">
        <x:f>IF((Weights!$C$23*IF(BQ29="",0,1)+Weights!$C$24*IF(BN29="",0,1)+Weights!$C$25*IF(BS29="",0,1)+Weights!$C$26*IF(BY29="",0,1)+Weights!$C$27*IF(BX29="",0,1)+Weights!$C$28*IF(BT29="",0,1)+Weights!$C$29*IF(CA29="",0,1)+Weights!$C$30+Weights!$C$31*IF(BU29="",0,1))=0,"",(Weights!$C$23*IF(BQ29="",0,BQ29)+Weights!$C$24*IF(BN29="",0,BN29)+Weights!$C$25*IF(BS29="",0,BS29)+Weights!$C$26*IF(BY29="",0,BY29)+Weights!$C$27*IF(BX29="",0,BX29)+Weights!$C$28*IF(BT29="",0,BT29)+Weights!$C$29*IF(CA29="",0,CA29)+Weights!$C$30*BV29+Weights!$C$31*IF(BU29="",0,BU29))/(Weights!$C$23*IF(BQ29="",0,1)+Weights!$C$24*IF(BN29="",0,1)+Weights!$C$25*IF(BS29="",0,1)+Weights!$C$26*IF(BY29="",0,1)+Weights!$C$27*IF(BX29="",0,1)+Weights!$C$28*IF(BT29="",0,1)+Weights!$C$29*IF(CA29="",0,1)+Weights!$C$30+Weights!$C$31*IF(BU29="",0,1)))</x:f>
      </x:c>
      <x:c r="CD29" s="10">
        <x:f>IF(AND(CB29="",CC29=""),"",IF(CB29="",CC29,IF(CC29="",CB29,AVERAGE(CB29,CC29))))</x:f>
      </x:c>
      <x:c r="CE29" s="7">
        <x:f>ROUND(100*((IF(BP29&lt;&gt;"",1,0)+IF(BQ29&lt;&gt;"",1,0)+IF(BR29&lt;&gt;"",1,0)+IF(BS29&lt;&gt;"",1,0)+IF(BU29&lt;&gt;"",1,0)+IF(BT29&lt;&gt;"",1,0)+IF(BN29&lt;&gt;"",1,0)+IF(AW29&lt;&gt;"",1,0))/8),0)</x:f>
      </x:c>
      <x:c r="CF29">
        <x:f>IF(V29="","",LOG10(V29+1))</x:f>
      </x:c>
      <x:c r="CG29">
        <x:f>IF(CF29="","",IF(MAX($CF$2:$CF$252)-MIN($CF$2:$CF$252)=0,"",(CF29-MIN($CF$2:$CF$252))/(MAX($CF$2:$CF$252)-MIN($CF$2:$CF$252))*100))</x:f>
      </x:c>
    </x:row>
    <x:row r="30">
      <x:c r="A30" t="inlineStr">
        <x:is>
          <x:t xml:space="preserve">CUW</x:t>
        </x:is>
      </x:c>
      <x:c r="B30" t="inlineStr">
        <x:is>
          <x:t xml:space="preserve">Curaçao</x:t>
        </x:is>
      </x:c>
      <x:c r="C30" t="inlineStr">
        <x:is>
          <x:t xml:space="preserve">Latin America &amp; Caribbean</x:t>
        </x:is>
      </x:c>
      <x:c r="D30" t="inlineStr">
        <x:is>
          <x:t xml:space="preserve">High income</x:t>
        </x:is>
      </x:c>
      <x:c r="F30" t="n">
        <x:v>2024</x:v>
      </x:c>
      <x:c r="G30" t="n">
        <x:v>155967</x:v>
      </x:c>
      <x:c r="N30" s="8" t="n"/>
      <x:c r="O30" s="9" t="n"/>
      <x:c r="P30" s="8" t="n"/>
      <x:c r="Q30" t="n">
        <x:v>2024</x:v>
      </x:c>
      <x:c r="R30" s="8" t="n">
        <x:v>3561178196.20713</x:v>
      </x:c>
      <x:c r="S30" t="n">
        <x:v>0</x:v>
      </x:c>
      <x:c r="T30" t="n">
        <x:v>0</x:v>
      </x:c>
      <x:c r="U30" t="inlineStr">
        <x:is>
          <x:t xml:space="preserve">No</x:t>
        </x:is>
      </x:c>
      <x:c r="W30" t="inlineStr">
        <x:is>
          <x:t xml:space="preserve">No</x:t>
        </x:is>
      </x:c>
      <x:c r="AB30" s="8" t="n"/>
      <x:c r="AR30">
        <x:f>IF(G30="","",LOG10(G30+1))</x:f>
        <x:v>5.193035503168611</x:v>
      </x:c>
      <x:c r="AS30" s="10">
        <x:f>IF(AR30="","",IF(MAX($AR$2:$AR$252)-MIN($AR$2:$AR$252)=0,"",(AR30-MIN($AR$2:$AR$252))/(MAX($AR$2:$AR$252)-MIN($AR$2:$AR$252))*100))</x:f>
        <x:v>62.067475261603114</x:v>
      </x:c>
      <x:c r="AT30">
        <x:f>IF(R30="","",LOG10(R30+1))</x:f>
        <x:v>9.551593705807772</x:v>
      </x:c>
      <x:c r="AU30" s="10">
        <x:f>IF(AT30="","",IF(MAX($AT$2:$AT$252)-MIN($AT$2:$AT$252)=0,"",(AT30-MIN($AT$2:$AT$252))/(MAX($AT$2:$AT$252)-MIN($AT$2:$AT$252))*100))</x:f>
        <x:v>75.38293122258646</x:v>
      </x:c>
      <x:c r="AV30">
        <x:f>IF(N30="","",LOG10(N30+1))</x:f>
      </x:c>
      <x:c r="AW30" s="10">
        <x:f>IF(AV30="","",IF(MAX($AV$2:$AV$252)-MIN($AV$2:$AV$252)=0,"",(AV30-MIN($AV$2:$AV$252))/(MAX($AV$2:$AV$252)-MIN($AV$2:$AV$252))*100))</x:f>
      </x:c>
      <x:c r="AX30">
        <x:f>IF(I30="","",LOG10(I30+1))</x:f>
      </x:c>
      <x:c r="AY30" s="10">
        <x:f>IF(AX30="","",IF(MAX($AX$2:$AX$252)-MIN($AX$2:$AX$252)=0,"",(AX30-MIN($AX$2:$AX$252))/(MAX($AX$2:$AX$252)-MIN($AX$2:$AX$252))*100))</x:f>
      </x:c>
      <x:c r="AZ30">
        <x:f>IF(J30="","",LOG10(J30+1))</x:f>
      </x:c>
      <x:c r="BA30" s="10">
        <x:f>IF(AZ30="","",IF(MAX($AZ$2:$AZ$252)-MIN($AZ$2:$AZ$252)=0,"",(AZ30-MIN($AZ$2:$AZ$252))/(MAX($AZ$2:$AZ$252)-MIN($AZ$2:$AZ$252))*100))</x:f>
      </x:c>
      <x:c r="BB30">
        <x:f>IF(K30="","",LOG10(K30+1))</x:f>
      </x:c>
      <x:c r="BC30" s="10">
        <x:f>IF(BB30="","",IF(MAX($BB$2:$BB$252)-MIN($BB$2:$BB$252)=0,"",(BB30-MIN($BB$2:$BB$252))/(MAX($BB$2:$BB$252)-MIN($BB$2:$BB$252))*100))</x:f>
      </x:c>
      <x:c r="BD30">
        <x:f>IF(L30="","",LOG10(L30+1))</x:f>
      </x:c>
      <x:c r="BE30" s="10">
        <x:f>IF(BD30="","",IF(MAX($BD$2:$BD$252)-MIN($BD$2:$BD$252)=0,"",(BD30-MIN($BD$2:$BD$252))/(MAX($BD$2:$BD$252)-MIN($BD$2:$BD$252))*100))</x:f>
      </x:c>
      <x:c r="BF30" s="10">
        <x:f>IF(P30="","",IF(MAX($P$2:$P$252)-MIN($P$2:$P$252)=0,"",(P30-MIN($P$2:$P$252))/(MAX($P$2:$P$252)-MIN($P$2:$P$252))*100))</x:f>
      </x:c>
      <x:c r="BG30">
        <x:f>IF(AF30="","",LOG10(AF30+1))</x:f>
      </x:c>
      <x:c r="BH30" s="10">
        <x:f>IF(BG30="","",IF(MAX($BG$2:$BG$252)-MIN($BG$2:$BG$252)=0,"",(BG30-MIN($BG$2:$BG$252))/(MAX($BG$2:$BG$252)-MIN($BG$2:$BG$252))*100))</x:f>
      </x:c>
      <x:c r="BI30">
        <x:f>IF(AC30="","",LOG10(AC30+1))</x:f>
      </x:c>
      <x:c r="BJ30" s="10">
        <x:f>IF(BI30="","",IF(MAX($BI$2:$BI$252)-MIN($BI$2:$BI$252)=0,"",(BI30-MIN($BI$2:$BI$252))/(MAX($BI$2:$BI$252)-MIN($BI$2:$BI$252))*100))</x:f>
      </x:c>
      <x:c r="BK30">
        <x:f>IF(AD30="","",(AD30*2)+(AE30*1))</x:f>
      </x:c>
      <x:c r="BL30" s="10">
        <x:f>IF(BK30="","",IF(MAX($BK$2:$BK$252)-MIN($BK$2:$BK$252)=0,"",(BK30-MIN($BK$2:$BK$252))/(MAX($BK$2:$BK$252)-MIN($BK$2:$BK$252))*100))</x:f>
      </x:c>
      <x:c r="BM30" s="10">
        <x:f>IF(AB30="","",IF(MAX($AB$2:$AB$252)-MIN($AB$2:$AB$252)=0,"",(AB30-MIN($AB$2:$AB$252))/(MAX($AB$2:$AB$252)-MIN($AB$2:$AB$252))*100))</x:f>
      </x:c>
      <x:c r="BN30" s="10">
        <x:f>IF(X30="","",X30)</x:f>
      </x:c>
      <x:c r="BO30" s="10">
        <x:f>IF(X30="","",100-X30)</x:f>
      </x:c>
      <x:c r="BP30" s="10">
        <x:f>IF((Weights!$C$2*IF(BH30="",0,1)+Weights!$C$3*IF(BJ30="",0,1)+Weights!$C$4*IF(BL30="",0,1))=0,"",(Weights!$C$2*IF(BH30="",0,BH30)+Weights!$C$3*IF(BJ30="",0,BJ30)+Weights!$C$4*IF(BL30="",0,BL30))/(Weights!$C$2*IF(BH30="",0,1)+Weights!$C$3*IF(BJ30="",0,1)+Weights!$C$4*IF(BL30="",0,1)))</x:f>
      </x:c>
      <x:c r="BQ30" s="10">
        <x:f>IF((Weights!$C$5*IF(BA30="",0,1)+Weights!$C$6*IF(AW30="",0,1)+Weights!$C$7*IF(AU30="",0,1))=0,"",(Weights!$C$5*IF(BA30="",0,BA30)+Weights!$C$6*IF(AW30="",0,AW30)+Weights!$C$7*IF(AU30="",0,AU30))/(Weights!$C$5*IF(BA30="",0,1)+Weights!$C$6*IF(AW30="",0,1)+Weights!$C$7*IF(AU30="",0,1)))</x:f>
      </x:c>
      <x:c r="BR30" s="10">
        <x:f>IF((Weights!$C$8*IF(AW30="",0,1)+Weights!$C$9*IF(BC30="",0,1)+Weights!$C$10*IF(BF30="",0,1))=0,"",(Weights!$C$8*IF(AW30="",0,AW30)+Weights!$C$9*IF(BC30="",0,BC30)+Weights!$C$10*IF(BF30="",0,BF30))/(Weights!$C$8*IF(AW30="",0,1)+Weights!$C$9*IF(BC30="",0,1)+Weights!$C$10*IF(BF30="",0,1)))</x:f>
      </x:c>
      <x:c r="BS30" s="10">
        <x:f>IF(Y30="","",Y30)</x:f>
      </x:c>
      <x:c r="BT30" s="10">
        <x:f>IF(AS30="","",AS30)</x:f>
      </x:c>
      <x:c r="BU30" s="10">
        <x:f>IF(AJ30&lt;&gt;"",(0.6*AJ30+0.4*AU30),IF((Weights!$C$11*IF(AU30="",0,1)+Weights!$C$12*IF(BM30="",0,1))=0,"",(Weights!$C$11*IF(AU30="",0,AU30)+Weights!$C$12*IF(BM30="",0,BM30))/(Weights!$C$11*IF(AU30="",0,1)+Weights!$C$12*IF(BM30="",0,1))))</x:f>
      </x:c>
      <x:c r="BV30" s="10">
        <x:f>IF(CG30="",0,CG30)</x:f>
      </x:c>
      <x:c r="BW30" s="10">
        <x:f>IF(AP30="","",AP30)</x:f>
      </x:c>
      <x:c r="BX30" s="10">
        <x:f>IF(AO30="","",AO30)</x:f>
      </x:c>
      <x:c r="BY30" s="10">
        <x:f>IF(AL30="","",AL30)</x:f>
      </x:c>
      <x:c r="BZ30" s="10">
        <x:f>IF(AM30="","",AM30)</x:f>
      </x:c>
      <x:c r="CA30" s="10">
        <x:f>IF(AK30&lt;&gt;"",AK30,AW30)</x:f>
      </x:c>
      <x:c r="CB30" s="10">
        <x:f>IF((Weights!$C$13*IF(BP30="",0,1)+Weights!$C$14*IF(BR30="",0,1)+Weights!$C$15*IF(BQ30="",0,1)+Weights!$C$16*IF(BS30="",0,1)+Weights!$C$17*IF(BU30="",0,1)+Weights!$C$18*IF(BT30="",0,1)+Weights!$C$19*IF(BW30="",0,1)+Weights!$C$20*IF(BZ30="",0,1)+Weights!$C$21*IF(BO30="",0,1)+Weights!$C$22)=0,"",(Weights!$C$13*IF(BP30="",0,BP30)+Weights!$C$14*IF(BR30="",0,BR30)+Weights!$C$15*IF(BQ30="",0,BQ30)+Weights!$C$16*IF(BS30="",0,BS30)+Weights!$C$17*IF(BU30="",0,BU30)+Weights!$C$18*IF(BT30="",0,BT30)+Weights!$C$19*IF(BW30="",0,BW30)+Weights!$C$20*IF(BZ30="",0,BZ30)+Weights!$C$21*IF(BO30="",0,BO30)+Weights!$C$22*BV30)/(Weights!$C$13*IF(BP30="",0,1)+Weights!$C$14*IF(BR30="",0,1)+Weights!$C$15*IF(BQ30="",0,1)+Weights!$C$16*IF(BS30="",0,1)+Weights!$C$17*IF(BU30="",0,1)+Weights!$C$18*IF(BT30="",0,1)+Weights!$C$19*IF(BW30="",0,1)+Weights!$C$20*IF(BZ30="",0,1)+Weights!$C$21*IF(BO30="",0,1)+Weights!$C$22))</x:f>
      </x:c>
      <x:c r="CC30" s="10">
        <x:f>IF((Weights!$C$23*IF(BQ30="",0,1)+Weights!$C$24*IF(BN30="",0,1)+Weights!$C$25*IF(BS30="",0,1)+Weights!$C$26*IF(BY30="",0,1)+Weights!$C$27*IF(BX30="",0,1)+Weights!$C$28*IF(BT30="",0,1)+Weights!$C$29*IF(CA30="",0,1)+Weights!$C$30+Weights!$C$31*IF(BU30="",0,1))=0,"",(Weights!$C$23*IF(BQ30="",0,BQ30)+Weights!$C$24*IF(BN30="",0,BN30)+Weights!$C$25*IF(BS30="",0,BS30)+Weights!$C$26*IF(BY30="",0,BY30)+Weights!$C$27*IF(BX30="",0,BX30)+Weights!$C$28*IF(BT30="",0,BT30)+Weights!$C$29*IF(CA30="",0,CA30)+Weights!$C$30*BV30+Weights!$C$31*IF(BU30="",0,BU30))/(Weights!$C$23*IF(BQ30="",0,1)+Weights!$C$24*IF(BN30="",0,1)+Weights!$C$25*IF(BS30="",0,1)+Weights!$C$26*IF(BY30="",0,1)+Weights!$C$27*IF(BX30="",0,1)+Weights!$C$28*IF(BT30="",0,1)+Weights!$C$29*IF(CA30="",0,1)+Weights!$C$30+Weights!$C$31*IF(BU30="",0,1)))</x:f>
      </x:c>
      <x:c r="CD30" s="10">
        <x:f>IF(AND(CB30="",CC30=""),"",IF(CB30="",CC30,IF(CC30="",CB30,AVERAGE(CB30,CC30))))</x:f>
      </x:c>
      <x:c r="CE30" s="7">
        <x:f>ROUND(100*((IF(BP30&lt;&gt;"",1,0)+IF(BQ30&lt;&gt;"",1,0)+IF(BR30&lt;&gt;"",1,0)+IF(BS30&lt;&gt;"",1,0)+IF(BU30&lt;&gt;"",1,0)+IF(BT30&lt;&gt;"",1,0)+IF(BN30&lt;&gt;"",1,0)+IF(AW30&lt;&gt;"",1,0))/8),0)</x:f>
      </x:c>
      <x:c r="CF30">
        <x:f>IF(V30="","",LOG10(V30+1))</x:f>
      </x:c>
      <x:c r="CG30">
        <x:f>IF(CF30="","",IF(MAX($CF$2:$CF$252)-MIN($CF$2:$CF$252)=0,"",(CF30-MIN($CF$2:$CF$252))/(MAX($CF$2:$CF$252)-MIN($CF$2:$CF$252))*100))</x:f>
      </x:c>
    </x:row>
    <x:row r="31">
      <x:c r="A31" t="inlineStr">
        <x:is>
          <x:t xml:space="preserve">CZE</x:t>
        </x:is>
      </x:c>
      <x:c r="B31" t="inlineStr">
        <x:is>
          <x:t xml:space="preserve">Czechia</x:t>
        </x:is>
      </x:c>
      <x:c r="C31" t="inlineStr">
        <x:is>
          <x:t xml:space="preserve">Europe &amp; Central Asia</x:t>
        </x:is>
      </x:c>
      <x:c r="D31" t="inlineStr">
        <x:is>
          <x:t xml:space="preserve">High income</x:t>
        </x:is>
      </x:c>
      <x:c r="E31" t="inlineStr">
        <x:is>
          <x:t xml:space="preserve">Europe</x:t>
        </x:is>
      </x:c>
      <x:c r="F31" t="n">
        <x:v>2024</x:v>
      </x:c>
      <x:c r="G31" t="n">
        <x:v>10905028</x:v>
      </x:c>
      <x:c r="H31" t="n">
        <x:v>2020</x:v>
      </x:c>
      <x:c r="I31" t="n">
        <x:v>27000</x:v>
      </x:c>
      <x:c r="J31" t="n">
        <x:v>17550</x:v>
      </x:c>
      <x:c r="K31" t="n">
        <x:v>5400</x:v>
      </x:c>
      <x:c r="L31" t="n">
        <x:v>3240</x:v>
      </x:c>
      <x:c r="M31" t="n">
        <x:v>2024</x:v>
      </x:c>
      <x:c r="N31" s="8" t="n">
        <x:v>6524946704.27873</x:v>
      </x:c>
      <x:c r="O31" s="9" t="n">
        <x:v>1.91680849222604</x:v>
      </x:c>
      <x:c r="P31" s="8" t="n">
        <x:v>241664.6927510641</x:v>
      </x:c>
      <x:c r="Q31" t="n">
        <x:v>2024</x:v>
      </x:c>
      <x:c r="R31" s="8" t="n">
        <x:v>347034062928.479</x:v>
      </x:c>
      <x:c r="S31" t="n">
        <x:v>4</x:v>
      </x:c>
      <x:c r="T31" t="n">
        <x:v>0</x:v>
      </x:c>
      <x:c r="U31" t="inlineStr">
        <x:is>
          <x:t xml:space="preserve">No</x:t>
        </x:is>
      </x:c>
      <x:c r="W31" t="inlineStr">
        <x:is>
          <x:t xml:space="preserve">No</x:t>
        </x:is>
      </x:c>
      <x:c r="X31" t="n">
        <x:v>11.01687861198584</x:v>
      </x:c>
      <x:c r="Y31" t="n">
        <x:v>75.56356152487893</x:v>
      </x:c>
      <x:c r="Z31" t="n">
        <x:v>81207.60292943663</x:v>
      </x:c>
      <x:c r="AA31" t="n">
        <x:v>131.4497979859785</x:v>
      </x:c>
      <x:c r="AB31" s="8" t="n">
        <x:v>32872.04735898065</x:v>
      </x:c>
      <x:c r="AR31">
        <x:f>IF(G31="","",LOG10(G31+1))</x:f>
        <x:v>7.03762682484578</x:v>
      </x:c>
      <x:c r="AS31" s="10">
        <x:f>IF(AR31="","",IF(MAX($AR$2:$AR$252)-MIN($AR$2:$AR$252)=0,"",(AR31-MIN($AR$2:$AR$252))/(MAX($AR$2:$AR$252)-MIN($AR$2:$AR$252))*100))</x:f>
        <x:v>84.11414260214181</x:v>
      </x:c>
      <x:c r="AT31">
        <x:f>IF(R31="","",LOG10(R31+1))</x:f>
        <x:v>11.540372104808943</x:v>
      </x:c>
      <x:c r="AU31" s="10">
        <x:f>IF(AT31="","",IF(MAX($AT$2:$AT$252)-MIN($AT$2:$AT$252)=0,"",(AT31-MIN($AT$2:$AT$252))/(MAX($AT$2:$AT$252)-MIN($AT$2:$AT$252))*100))</x:f>
        <x:v>91.07873549216225</x:v>
      </x:c>
      <x:c r="AV31">
        <x:f>IF(N31="","",LOG10(N31+1))</x:f>
        <x:v>9.814576968776924</x:v>
      </x:c>
      <x:c r="AW31" s="10">
        <x:f>IF(AV31="","",IF(MAX($AV$2:$AV$252)-MIN($AV$2:$AV$252)=0,"",(AV31-MIN($AV$2:$AV$252))/(MAX($AV$2:$AV$252)-MIN($AV$2:$AV$252))*100))</x:f>
        <x:v>89.65753692500262</x:v>
      </x:c>
      <x:c r="AX31">
        <x:f>IF(I31="","",LOG10(I31+1))</x:f>
        <x:v>4.431379848841935</x:v>
      </x:c>
      <x:c r="AY31" s="10">
        <x:f>IF(AX31="","",IF(MAX($AX$2:$AX$252)-MIN($AX$2:$AX$252)=0,"",(AX31-MIN($AX$2:$AX$252))/(MAX($AX$2:$AX$252)-MIN($AX$2:$AX$252))*100))</x:f>
      </x:c>
      <x:c r="AZ31">
        <x:f>IF(J31="","",LOG10(J31+1))</x:f>
      </x:c>
      <x:c r="BA31" s="10">
        <x:f>IF(AZ31="","",IF(MAX($AZ$2:$AZ$252)-MIN($AZ$2:$AZ$252)=0,"",(AZ31-MIN($AZ$2:$AZ$252))/(MAX($AZ$2:$AZ$252)-MIN($AZ$2:$AZ$252))*100))</x:f>
      </x:c>
      <x:c r="BB31">
        <x:f>IF(K31="","",LOG10(K31+1))</x:f>
      </x:c>
      <x:c r="BC31" s="10">
        <x:f>IF(BB31="","",IF(MAX($BB$2:$BB$252)-MIN($BB$2:$BB$252)=0,"",(BB31-MIN($BB$2:$BB$252))/(MAX($BB$2:$BB$252)-MIN($BB$2:$BB$252))*100))</x:f>
      </x:c>
      <x:c r="BD31">
        <x:f>IF(L31="","",LOG10(L31+1))</x:f>
      </x:c>
      <x:c r="BE31" s="10">
        <x:f>IF(BD31="","",IF(MAX($BD$2:$BD$252)-MIN($BD$2:$BD$252)=0,"",(BD31-MIN($BD$2:$BD$252))/(MAX($BD$2:$BD$252)-MIN($BD$2:$BD$252))*100))</x:f>
      </x:c>
      <x:c r="BF31" s="10">
        <x:f>IF(P31="","",IF(MAX($P$2:$P$252)-MIN($P$2:$P$252)=0,"",(P31-MIN($P$2:$P$252))/(MAX($P$2:$P$252)-MIN($P$2:$P$252))*100))</x:f>
      </x:c>
      <x:c r="BG31">
        <x:f>IF(AF31="","",LOG10(AF31+1))</x:f>
      </x:c>
      <x:c r="BH31" s="10">
        <x:f>IF(BG31="","",IF(MAX($BG$2:$BG$252)-MIN($BG$2:$BG$252)=0,"",(BG31-MIN($BG$2:$BG$252))/(MAX($BG$2:$BG$252)-MIN($BG$2:$BG$252))*100))</x:f>
      </x:c>
      <x:c r="BI31">
        <x:f>IF(AC31="","",LOG10(AC31+1))</x:f>
      </x:c>
      <x:c r="BJ31" s="10">
        <x:f>IF(BI31="","",IF(MAX($BI$2:$BI$252)-MIN($BI$2:$BI$252)=0,"",(BI31-MIN($BI$2:$BI$252))/(MAX($BI$2:$BI$252)-MIN($BI$2:$BI$252))*100))</x:f>
      </x:c>
      <x:c r="BK31">
        <x:f>IF(AD31="","",(AD31*2)+(AE31*1))</x:f>
      </x:c>
      <x:c r="BL31" s="10">
        <x:f>IF(BK31="","",IF(MAX($BK$2:$BK$252)-MIN($BK$2:$BK$252)=0,"",(BK31-MIN($BK$2:$BK$252))/(MAX($BK$2:$BK$252)-MIN($BK$2:$BK$252))*100))</x:f>
      </x:c>
      <x:c r="BM31" s="10">
        <x:f>IF(AB31="","",IF(MAX($AB$2:$AB$252)-MIN($AB$2:$AB$252)=0,"",(AB31-MIN($AB$2:$AB$252))/(MAX($AB$2:$AB$252)-MIN($AB$2:$AB$252))*100))</x:f>
      </x:c>
      <x:c r="BN31" s="10">
        <x:f>IF(X31="","",X31)</x:f>
      </x:c>
      <x:c r="BO31" s="10">
        <x:f>IF(X31="","",100-X31)</x:f>
      </x:c>
      <x:c r="BP31" s="10">
        <x:f>IF((Weights!$C$2*IF(BH31="",0,1)+Weights!$C$3*IF(BJ31="",0,1)+Weights!$C$4*IF(BL31="",0,1))=0,"",(Weights!$C$2*IF(BH31="",0,BH31)+Weights!$C$3*IF(BJ31="",0,BJ31)+Weights!$C$4*IF(BL31="",0,BL31))/(Weights!$C$2*IF(BH31="",0,1)+Weights!$C$3*IF(BJ31="",0,1)+Weights!$C$4*IF(BL31="",0,1)))</x:f>
      </x:c>
      <x:c r="BQ31" s="10">
        <x:f>IF((Weights!$C$5*IF(BA31="",0,1)+Weights!$C$6*IF(AW31="",0,1)+Weights!$C$7*IF(AU31="",0,1))=0,"",(Weights!$C$5*IF(BA31="",0,BA31)+Weights!$C$6*IF(AW31="",0,AW31)+Weights!$C$7*IF(AU31="",0,AU31))/(Weights!$C$5*IF(BA31="",0,1)+Weights!$C$6*IF(AW31="",0,1)+Weights!$C$7*IF(AU31="",0,1)))</x:f>
      </x:c>
      <x:c r="BR31" s="10">
        <x:f>IF((Weights!$C$8*IF(AW31="",0,1)+Weights!$C$9*IF(BC31="",0,1)+Weights!$C$10*IF(BF31="",0,1))=0,"",(Weights!$C$8*IF(AW31="",0,AW31)+Weights!$C$9*IF(BC31="",0,BC31)+Weights!$C$10*IF(BF31="",0,BF31))/(Weights!$C$8*IF(AW31="",0,1)+Weights!$C$9*IF(BC31="",0,1)+Weights!$C$10*IF(BF31="",0,1)))</x:f>
      </x:c>
      <x:c r="BS31" s="10">
        <x:f>IF(Y31="","",Y31)</x:f>
      </x:c>
      <x:c r="BT31" s="10">
        <x:f>IF(AS31="","",AS31)</x:f>
      </x:c>
      <x:c r="BU31" s="10">
        <x:f>IF(AJ31&lt;&gt;"",(0.6*AJ31+0.4*AU31),IF((Weights!$C$11*IF(AU31="",0,1)+Weights!$C$12*IF(BM31="",0,1))=0,"",(Weights!$C$11*IF(AU31="",0,AU31)+Weights!$C$12*IF(BM31="",0,BM31))/(Weights!$C$11*IF(AU31="",0,1)+Weights!$C$12*IF(BM31="",0,1))))</x:f>
      </x:c>
      <x:c r="BV31" s="10">
        <x:f>IF(CG31="",0,CG31)</x:f>
      </x:c>
      <x:c r="BW31" s="10">
        <x:f>IF(AP31="","",AP31)</x:f>
      </x:c>
      <x:c r="BX31" s="10">
        <x:f>IF(AO31="","",AO31)</x:f>
      </x:c>
      <x:c r="BY31" s="10">
        <x:f>IF(AL31="","",AL31)</x:f>
      </x:c>
      <x:c r="BZ31" s="10">
        <x:f>IF(AM31="","",AM31)</x:f>
      </x:c>
      <x:c r="CA31" s="10">
        <x:f>IF(AK31&lt;&gt;"",AK31,AW31)</x:f>
      </x:c>
      <x:c r="CB31" s="10">
        <x:f>IF((Weights!$C$13*IF(BP31="",0,1)+Weights!$C$14*IF(BR31="",0,1)+Weights!$C$15*IF(BQ31="",0,1)+Weights!$C$16*IF(BS31="",0,1)+Weights!$C$17*IF(BU31="",0,1)+Weights!$C$18*IF(BT31="",0,1)+Weights!$C$19*IF(BW31="",0,1)+Weights!$C$20*IF(BZ31="",0,1)+Weights!$C$21*IF(BO31="",0,1)+Weights!$C$22)=0,"",(Weights!$C$13*IF(BP31="",0,BP31)+Weights!$C$14*IF(BR31="",0,BR31)+Weights!$C$15*IF(BQ31="",0,BQ31)+Weights!$C$16*IF(BS31="",0,BS31)+Weights!$C$17*IF(BU31="",0,BU31)+Weights!$C$18*IF(BT31="",0,BT31)+Weights!$C$19*IF(BW31="",0,BW31)+Weights!$C$20*IF(BZ31="",0,BZ31)+Weights!$C$21*IF(BO31="",0,BO31)+Weights!$C$22*BV31)/(Weights!$C$13*IF(BP31="",0,1)+Weights!$C$14*IF(BR31="",0,1)+Weights!$C$15*IF(BQ31="",0,1)+Weights!$C$16*IF(BS31="",0,1)+Weights!$C$17*IF(BU31="",0,1)+Weights!$C$18*IF(BT31="",0,1)+Weights!$C$19*IF(BW31="",0,1)+Weights!$C$20*IF(BZ31="",0,1)+Weights!$C$21*IF(BO31="",0,1)+Weights!$C$22))</x:f>
      </x:c>
      <x:c r="CC31" s="10">
        <x:f>IF((Weights!$C$23*IF(BQ31="",0,1)+Weights!$C$24*IF(BN31="",0,1)+Weights!$C$25*IF(BS31="",0,1)+Weights!$C$26*IF(BY31="",0,1)+Weights!$C$27*IF(BX31="",0,1)+Weights!$C$28*IF(BT31="",0,1)+Weights!$C$29*IF(CA31="",0,1)+Weights!$C$30+Weights!$C$31*IF(BU31="",0,1))=0,"",(Weights!$C$23*IF(BQ31="",0,BQ31)+Weights!$C$24*IF(BN31="",0,BN31)+Weights!$C$25*IF(BS31="",0,BS31)+Weights!$C$26*IF(BY31="",0,BY31)+Weights!$C$27*IF(BX31="",0,BX31)+Weights!$C$28*IF(BT31="",0,BT31)+Weights!$C$29*IF(CA31="",0,CA31)+Weights!$C$30*BV31+Weights!$C$31*IF(BU31="",0,BU31))/(Weights!$C$23*IF(BQ31="",0,1)+Weights!$C$24*IF(BN31="",0,1)+Weights!$C$25*IF(BS31="",0,1)+Weights!$C$26*IF(BY31="",0,1)+Weights!$C$27*IF(BX31="",0,1)+Weights!$C$28*IF(BT31="",0,1)+Weights!$C$29*IF(CA31="",0,1)+Weights!$C$30+Weights!$C$31*IF(BU31="",0,1)))</x:f>
      </x:c>
      <x:c r="CD31" s="10">
        <x:f>IF(AND(CB31="",CC31=""),"",IF(CB31="",CC31,IF(CC31="",CB31,AVERAGE(CB31,CC31))))</x:f>
      </x:c>
      <x:c r="CE31" s="7">
        <x:f>ROUND(100*((IF(BP31&lt;&gt;"",1,0)+IF(BQ31&lt;&gt;"",1,0)+IF(BR31&lt;&gt;"",1,0)+IF(BS31&lt;&gt;"",1,0)+IF(BU31&lt;&gt;"",1,0)+IF(BT31&lt;&gt;"",1,0)+IF(BN31&lt;&gt;"",1,0)+IF(AW31&lt;&gt;"",1,0))/8),0)</x:f>
      </x:c>
      <x:c r="CF31">
        <x:f>IF(V31="","",LOG10(V31+1))</x:f>
      </x:c>
      <x:c r="CG31">
        <x:f>IF(CF31="","",IF(MAX($CF$2:$CF$252)-MIN($CF$2:$CF$252)=0,"",(CF31-MIN($CF$2:$CF$252))/(MAX($CF$2:$CF$252)-MIN($CF$2:$CF$252))*100))</x:f>
      </x:c>
    </x:row>
    <x:row r="32">
      <x:c r="A32" t="inlineStr">
        <x:is>
          <x:t xml:space="preserve">PRK</x:t>
        </x:is>
      </x:c>
      <x:c r="B32" t="inlineStr">
        <x:is>
          <x:t xml:space="preserve">Korea, Dem. People's Rep.</x:t>
        </x:is>
      </x:c>
      <x:c r="C32" t="inlineStr">
        <x:is>
          <x:t xml:space="preserve">East Asia &amp; Pacific</x:t>
        </x:is>
      </x:c>
      <x:c r="D32" t="inlineStr">
        <x:is>
          <x:t xml:space="preserve">Low income</x:t>
        </x:is>
      </x:c>
      <x:c r="E32" t="inlineStr">
        <x:is>
          <x:t xml:space="preserve">Asia</x:t>
        </x:is>
      </x:c>
      <x:c r="F32" t="n">
        <x:v>2024</x:v>
      </x:c>
      <x:c r="G32" t="n">
        <x:v>26498823</x:v>
      </x:c>
      <x:c r="H32" t="n">
        <x:v>2020</x:v>
      </x:c>
      <x:c r="I32" t="n">
        <x:v>1469000</x:v>
      </x:c>
      <x:c r="J32" t="n">
        <x:v>954850</x:v>
      </x:c>
      <x:c r="K32" t="n">
        <x:v>293800</x:v>
      </x:c>
      <x:c r="L32" t="n">
        <x:v>176280</x:v>
      </x:c>
      <x:c r="M32" t="n">
        <x:v>2018</x:v>
      </x:c>
      <x:c r="N32" s="8" t="n">
        <x:v>1604444444.44444</x:v>
      </x:c>
      <x:c r="O32" s="9" t="n"/>
      <x:c r="P32" s="8" t="n">
        <x:v>1092.201800166399</x:v>
      </x:c>
      <x:c r="R32" s="8" t="n"/>
      <x:c r="S32" t="n">
        <x:v>0</x:v>
      </x:c>
      <x:c r="T32" t="n">
        <x:v>0</x:v>
      </x:c>
      <x:c r="U32" t="inlineStr">
        <x:is>
          <x:t xml:space="preserve">Yes</x:t>
        </x:is>
      </x:c>
      <x:c r="V32" t="n">
        <x:v>50</x:v>
      </x:c>
      <x:c r="W32" t="inlineStr">
        <x:is>
          <x:t xml:space="preserve">Yes</x:t>
        </x:is>
      </x:c>
      <x:c r="X32" t="n">
        <x:v>28.29744126788533</x:v>
      </x:c>
      <x:c r="Y32" t="n">
        <x:v>33.8022217276764</x:v>
      </x:c>
      <x:c r="Z32" t="n">
        <x:v>125679.2160301879</x:v>
      </x:c>
      <x:c r="AA32" t="n">
        <x:v>200.8935192111275</x:v>
      </x:c>
      <x:c r="AB32" s="8" t="n">
        <x:v>1584.275118880044</x:v>
      </x:c>
      <x:c r="AC32" t="n">
        <x:v>505</x:v>
      </x:c>
      <x:c r="AD32" t="n">
        <x:v>0</x:v>
      </x:c>
      <x:c r="AE32" t="n">
        <x:v>0</x:v>
      </x:c>
      <x:c r="AF32" t="n">
        <x:v>67.90000000000001</x:v>
      </x:c>
      <x:c r="AG32" t="n">
        <x:v>195</x:v>
      </x:c>
      <x:c r="AH32" t="n">
        <x:v>14</x:v>
      </x:c>
      <x:c r="AI32" t="n">
        <x:v>12.8</x:v>
      </x:c>
      <x:c r="AJ32" t="n">
        <x:v>2.5</x:v>
      </x:c>
      <x:c r="AK32" t="n">
        <x:v>31.1</x:v>
      </x:c>
      <x:c r="AL32" t="n">
        <x:v>39.9</x:v>
      </x:c>
      <x:c r="AM32" t="n">
        <x:v>4.7</x:v>
      </x:c>
      <x:c r="AN32" t="n">
        <x:v>0.6</x:v>
      </x:c>
      <x:c r="AO32" t="n">
        <x:v>9.800000000000001</x:v>
      </x:c>
      <x:c r="AP32" t="n">
        <x:v>12.2</x:v>
      </x:c>
      <x:c r="AQ32" t="n">
        <x:v>1.3</x:v>
      </x:c>
      <x:c r="AR32">
        <x:f>IF(G32="","",LOG10(G32+1))</x:f>
        <x:v>7.423226600667242</x:v>
      </x:c>
      <x:c r="AS32" s="10">
        <x:f>IF(AR32="","",IF(MAX($AR$2:$AR$252)-MIN($AR$2:$AR$252)=0,"",(AR32-MIN($AR$2:$AR$252))/(MAX($AR$2:$AR$252)-MIN($AR$2:$AR$252))*100))</x:f>
        <x:v>88.7228545071683</x:v>
      </x:c>
      <x:c r="AT32">
        <x:f>IF(R32="","",LOG10(R32+1))</x:f>
      </x:c>
      <x:c r="AU32" s="10">
        <x:f>IF(AT32="","",IF(MAX($AT$2:$AT$252)-MIN($AT$2:$AT$252)=0,"",(AT32-MIN($AT$2:$AT$252))/(MAX($AT$2:$AT$252)-MIN($AT$2:$AT$252))*100))</x:f>
      </x:c>
      <x:c r="AV32">
        <x:f>IF(N32="","",LOG10(N32+1))</x:f>
        <x:v>9.205324684064975</x:v>
      </x:c>
      <x:c r="AW32" s="10">
        <x:f>IF(AV32="","",IF(MAX($AV$2:$AV$252)-MIN($AV$2:$AV$252)=0,"",(AV32-MIN($AV$2:$AV$252))/(MAX($AV$2:$AV$252)-MIN($AV$2:$AV$252))*100))</x:f>
        <x:v>84.09193186764975</x:v>
      </x:c>
      <x:c r="AX32">
        <x:f>IF(I32="","",LOG10(I32+1))</x:f>
        <x:v>6.167022091429694</x:v>
      </x:c>
      <x:c r="AY32" s="10">
        <x:f>IF(AX32="","",IF(MAX($AX$2:$AX$252)-MIN($AX$2:$AX$252)=0,"",(AX32-MIN($AX$2:$AX$252))/(MAX($AX$2:$AX$252)-MIN($AX$2:$AX$252))*100))</x:f>
      </x:c>
      <x:c r="AZ32">
        <x:f>IF(J32="","",LOG10(J32+1))</x:f>
      </x:c>
      <x:c r="BA32" s="10">
        <x:f>IF(AZ32="","",IF(MAX($AZ$2:$AZ$252)-MIN($AZ$2:$AZ$252)=0,"",(AZ32-MIN($AZ$2:$AZ$252))/(MAX($AZ$2:$AZ$252)-MIN($AZ$2:$AZ$252))*100))</x:f>
      </x:c>
      <x:c r="BB32">
        <x:f>IF(K32="","",LOG10(K32+1))</x:f>
      </x:c>
      <x:c r="BC32" s="10">
        <x:f>IF(BB32="","",IF(MAX($BB$2:$BB$252)-MIN($BB$2:$BB$252)=0,"",(BB32-MIN($BB$2:$BB$252))/(MAX($BB$2:$BB$252)-MIN($BB$2:$BB$252))*100))</x:f>
      </x:c>
      <x:c r="BD32">
        <x:f>IF(L32="","",LOG10(L32+1))</x:f>
      </x:c>
      <x:c r="BE32" s="10">
        <x:f>IF(BD32="","",IF(MAX($BD$2:$BD$252)-MIN($BD$2:$BD$252)=0,"",(BD32-MIN($BD$2:$BD$252))/(MAX($BD$2:$BD$252)-MIN($BD$2:$BD$252))*100))</x:f>
      </x:c>
      <x:c r="BF32" s="10">
        <x:f>IF(P32="","",IF(MAX($P$2:$P$252)-MIN($P$2:$P$252)=0,"",(P32-MIN($P$2:$P$252))/(MAX($P$2:$P$252)-MIN($P$2:$P$252))*100))</x:f>
      </x:c>
      <x:c r="BG32">
        <x:f>IF(AF32="","",LOG10(AF32+1))</x:f>
      </x:c>
      <x:c r="BH32" s="10">
        <x:f>IF(BG32="","",IF(MAX($BG$2:$BG$252)-MIN($BG$2:$BG$252)=0,"",(BG32-MIN($BG$2:$BG$252))/(MAX($BG$2:$BG$252)-MIN($BG$2:$BG$252))*100))</x:f>
      </x:c>
      <x:c r="BI32">
        <x:f>IF(AC32="","",LOG10(AC32+1))</x:f>
      </x:c>
      <x:c r="BJ32" s="10">
        <x:f>IF(BI32="","",IF(MAX($BI$2:$BI$252)-MIN($BI$2:$BI$252)=0,"",(BI32-MIN($BI$2:$BI$252))/(MAX($BI$2:$BI$252)-MIN($BI$2:$BI$252))*100))</x:f>
      </x:c>
      <x:c r="BK32">
        <x:f>IF(AD32="","",(AD32*2)+(AE32*1))</x:f>
      </x:c>
      <x:c r="BL32" s="10">
        <x:f>IF(BK32="","",IF(MAX($BK$2:$BK$252)-MIN($BK$2:$BK$252)=0,"",(BK32-MIN($BK$2:$BK$252))/(MAX($BK$2:$BK$252)-MIN($BK$2:$BK$252))*100))</x:f>
      </x:c>
      <x:c r="BM32" s="10">
        <x:f>IF(AB32="","",IF(MAX($AB$2:$AB$252)-MIN($AB$2:$AB$252)=0,"",(AB32-MIN($AB$2:$AB$252))/(MAX($AB$2:$AB$252)-MIN($AB$2:$AB$252))*100))</x:f>
      </x:c>
      <x:c r="BN32" s="10">
        <x:f>IF(X32="","",X32)</x:f>
      </x:c>
      <x:c r="BO32" s="10">
        <x:f>IF(X32="","",100-X32)</x:f>
      </x:c>
      <x:c r="BP32" s="10">
        <x:f>IF((Weights!$C$2*IF(BH32="",0,1)+Weights!$C$3*IF(BJ32="",0,1)+Weights!$C$4*IF(BL32="",0,1))=0,"",(Weights!$C$2*IF(BH32="",0,BH32)+Weights!$C$3*IF(BJ32="",0,BJ32)+Weights!$C$4*IF(BL32="",0,BL32))/(Weights!$C$2*IF(BH32="",0,1)+Weights!$C$3*IF(BJ32="",0,1)+Weights!$C$4*IF(BL32="",0,1)))</x:f>
      </x:c>
      <x:c r="BQ32" s="10">
        <x:f>IF((Weights!$C$5*IF(BA32="",0,1)+Weights!$C$6*IF(AW32="",0,1)+Weights!$C$7*IF(AU32="",0,1))=0,"",(Weights!$C$5*IF(BA32="",0,BA32)+Weights!$C$6*IF(AW32="",0,AW32)+Weights!$C$7*IF(AU32="",0,AU32))/(Weights!$C$5*IF(BA32="",0,1)+Weights!$C$6*IF(AW32="",0,1)+Weights!$C$7*IF(AU32="",0,1)))</x:f>
      </x:c>
      <x:c r="BR32" s="10">
        <x:f>IF((Weights!$C$8*IF(AW32="",0,1)+Weights!$C$9*IF(BC32="",0,1)+Weights!$C$10*IF(BF32="",0,1))=0,"",(Weights!$C$8*IF(AW32="",0,AW32)+Weights!$C$9*IF(BC32="",0,BC32)+Weights!$C$10*IF(BF32="",0,BF32))/(Weights!$C$8*IF(AW32="",0,1)+Weights!$C$9*IF(BC32="",0,1)+Weights!$C$10*IF(BF32="",0,1)))</x:f>
      </x:c>
      <x:c r="BS32" s="10">
        <x:f>IF(Y32="","",Y32)</x:f>
      </x:c>
      <x:c r="BT32" s="10">
        <x:f>IF(AS32="","",AS32)</x:f>
      </x:c>
      <x:c r="BU32" s="10">
        <x:f>IF(AJ32&lt;&gt;"",(0.6*AJ32+0.4*AU32),IF((Weights!$C$11*IF(AU32="",0,1)+Weights!$C$12*IF(BM32="",0,1))=0,"",(Weights!$C$11*IF(AU32="",0,AU32)+Weights!$C$12*IF(BM32="",0,BM32))/(Weights!$C$11*IF(AU32="",0,1)+Weights!$C$12*IF(BM32="",0,1))))</x:f>
      </x:c>
      <x:c r="BV32" s="10">
        <x:f>IF(CG32="",0,CG32)</x:f>
      </x:c>
      <x:c r="BW32" s="10">
        <x:f>IF(AP32="","",AP32)</x:f>
      </x:c>
      <x:c r="BX32" s="10">
        <x:f>IF(AO32="","",AO32)</x:f>
      </x:c>
      <x:c r="BY32" s="10">
        <x:f>IF(AL32="","",AL32)</x:f>
      </x:c>
      <x:c r="BZ32" s="10">
        <x:f>IF(AM32="","",AM32)</x:f>
      </x:c>
      <x:c r="CA32" s="10">
        <x:f>IF(AK32&lt;&gt;"",AK32,AW32)</x:f>
      </x:c>
      <x:c r="CB32" s="10">
        <x:f>IF((Weights!$C$13*IF(BP32="",0,1)+Weights!$C$14*IF(BR32="",0,1)+Weights!$C$15*IF(BQ32="",0,1)+Weights!$C$16*IF(BS32="",0,1)+Weights!$C$17*IF(BU32="",0,1)+Weights!$C$18*IF(BT32="",0,1)+Weights!$C$19*IF(BW32="",0,1)+Weights!$C$20*IF(BZ32="",0,1)+Weights!$C$21*IF(BO32="",0,1)+Weights!$C$22)=0,"",(Weights!$C$13*IF(BP32="",0,BP32)+Weights!$C$14*IF(BR32="",0,BR32)+Weights!$C$15*IF(BQ32="",0,BQ32)+Weights!$C$16*IF(BS32="",0,BS32)+Weights!$C$17*IF(BU32="",0,BU32)+Weights!$C$18*IF(BT32="",0,BT32)+Weights!$C$19*IF(BW32="",0,BW32)+Weights!$C$20*IF(BZ32="",0,BZ32)+Weights!$C$21*IF(BO32="",0,BO32)+Weights!$C$22*BV32)/(Weights!$C$13*IF(BP32="",0,1)+Weights!$C$14*IF(BR32="",0,1)+Weights!$C$15*IF(BQ32="",0,1)+Weights!$C$16*IF(BS32="",0,1)+Weights!$C$17*IF(BU32="",0,1)+Weights!$C$18*IF(BT32="",0,1)+Weights!$C$19*IF(BW32="",0,1)+Weights!$C$20*IF(BZ32="",0,1)+Weights!$C$21*IF(BO32="",0,1)+Weights!$C$22))</x:f>
      </x:c>
      <x:c r="CC32" s="10">
        <x:f>IF((Weights!$C$23*IF(BQ32="",0,1)+Weights!$C$24*IF(BN32="",0,1)+Weights!$C$25*IF(BS32="",0,1)+Weights!$C$26*IF(BY32="",0,1)+Weights!$C$27*IF(BX32="",0,1)+Weights!$C$28*IF(BT32="",0,1)+Weights!$C$29*IF(CA32="",0,1)+Weights!$C$30+Weights!$C$31*IF(BU32="",0,1))=0,"",(Weights!$C$23*IF(BQ32="",0,BQ32)+Weights!$C$24*IF(BN32="",0,BN32)+Weights!$C$25*IF(BS32="",0,BS32)+Weights!$C$26*IF(BY32="",0,BY32)+Weights!$C$27*IF(BX32="",0,BX32)+Weights!$C$28*IF(BT32="",0,BT32)+Weights!$C$29*IF(CA32="",0,CA32)+Weights!$C$30*BV32+Weights!$C$31*IF(BU32="",0,BU32))/(Weights!$C$23*IF(BQ32="",0,1)+Weights!$C$24*IF(BN32="",0,1)+Weights!$C$25*IF(BS32="",0,1)+Weights!$C$26*IF(BY32="",0,1)+Weights!$C$27*IF(BX32="",0,1)+Weights!$C$28*IF(BT32="",0,1)+Weights!$C$29*IF(CA32="",0,1)+Weights!$C$30+Weights!$C$31*IF(BU32="",0,1)))</x:f>
      </x:c>
      <x:c r="CD32" s="10">
        <x:f>IF(AND(CB32="",CC32=""),"",IF(CB32="",CC32,IF(CC32="",CB32,AVERAGE(CB32,CC32))))</x:f>
      </x:c>
      <x:c r="CE32" s="7">
        <x:f>ROUND(100*((IF(BP32&lt;&gt;"",1,0)+IF(BQ32&lt;&gt;"",1,0)+IF(BR32&lt;&gt;"",1,0)+IF(BS32&lt;&gt;"",1,0)+IF(BU32&lt;&gt;"",1,0)+IF(BT32&lt;&gt;"",1,0)+IF(BN32&lt;&gt;"",1,0)+IF(AW32&lt;&gt;"",1,0))/8),0)</x:f>
      </x:c>
      <x:c r="CF32">
        <x:f>IF(V32="","",LOG10(V32+1))</x:f>
      </x:c>
      <x:c r="CG32">
        <x:f>IF(CF32="","",IF(MAX($CF$2:$CF$252)-MIN($CF$2:$CF$252)=0,"",(CF32-MIN($CF$2:$CF$252))/(MAX($CF$2:$CF$252)-MIN($CF$2:$CF$252))*100))</x:f>
      </x:c>
    </x:row>
    <x:row r="33">
      <x:c r="A33" t="inlineStr">
        <x:is>
          <x:t xml:space="preserve">STP</x:t>
        </x:is>
      </x:c>
      <x:c r="B33" t="inlineStr">
        <x:is>
          <x:t xml:space="preserve">São Tomé and Principe</x:t>
        </x:is>
      </x:c>
      <x:c r="C33" t="inlineStr">
        <x:is>
          <x:t xml:space="preserve">Sub-Saharan Africa</x:t>
        </x:is>
      </x:c>
      <x:c r="D33" t="inlineStr">
        <x:is>
          <x:t xml:space="preserve">Lower middle income</x:t>
        </x:is>
      </x:c>
      <x:c r="F33" t="n">
        <x:v>2024</x:v>
      </x:c>
      <x:c r="G33" t="n">
        <x:v>235536</x:v>
      </x:c>
      <x:c r="H33" t="n">
        <x:v>1999</x:v>
      </x:c>
      <x:c r="I33" t="n">
        <x:v>1000</x:v>
      </x:c>
      <x:c r="J33" t="n">
        <x:v>650</x:v>
      </x:c>
      <x:c r="K33" t="n">
        <x:v>200</x:v>
      </x:c>
      <x:c r="L33" t="n">
        <x:v>120</x:v>
      </x:c>
      <x:c r="N33" s="8" t="n"/>
      <x:c r="O33" s="9" t="n"/>
      <x:c r="P33" s="8" t="n"/>
      <x:c r="Q33" t="n">
        <x:v>2024</x:v>
      </x:c>
      <x:c r="R33" s="8" t="n">
        <x:v>822154621.088897</x:v>
      </x:c>
      <x:c r="S33" t="n">
        <x:v>0</x:v>
      </x:c>
      <x:c r="T33" t="n">
        <x:v>0</x:v>
      </x:c>
      <x:c r="U33" t="inlineStr">
        <x:is>
          <x:t xml:space="preserve">No</x:t>
        </x:is>
      </x:c>
      <x:c r="W33" t="inlineStr">
        <x:is>
          <x:t xml:space="preserve">No</x:t>
        </x:is>
      </x:c>
      <x:c r="AB33" s="8" t="n"/>
      <x:c r="AR33">
        <x:f>IF(G33="","",LOG10(G33+1))</x:f>
        <x:v>5.372059139208652</x:v>
      </x:c>
      <x:c r="AS33" s="10">
        <x:f>IF(AR33="","",IF(MAX($AR$2:$AR$252)-MIN($AR$2:$AR$252)=0,"",(AR33-MIN($AR$2:$AR$252))/(MAX($AR$2:$AR$252)-MIN($AR$2:$AR$252))*100))</x:f>
        <x:v>64.20717661630742</x:v>
      </x:c>
      <x:c r="AT33">
        <x:f>IF(R33="","",LOG10(R33+1))</x:f>
        <x:v>8.914953502704309</x:v>
      </x:c>
      <x:c r="AU33" s="10">
        <x:f>IF(AT33="","",IF(MAX($AT$2:$AT$252)-MIN($AT$2:$AT$252)=0,"",(AT33-MIN($AT$2:$AT$252))/(MAX($AT$2:$AT$252)-MIN($AT$2:$AT$252))*100))</x:f>
        <x:v>70.35844985096983</x:v>
      </x:c>
      <x:c r="AV33">
        <x:f>IF(N33="","",LOG10(N33+1))</x:f>
      </x:c>
      <x:c r="AW33" s="10">
        <x:f>IF(AV33="","",IF(MAX($AV$2:$AV$252)-MIN($AV$2:$AV$252)=0,"",(AV33-MIN($AV$2:$AV$252))/(MAX($AV$2:$AV$252)-MIN($AV$2:$AV$252))*100))</x:f>
      </x:c>
      <x:c r="AX33">
        <x:f>IF(I33="","",LOG10(I33+1))</x:f>
        <x:v>3.0004340774793183</x:v>
      </x:c>
      <x:c r="AY33" s="10">
        <x:f>IF(AX33="","",IF(MAX($AX$2:$AX$252)-MIN($AX$2:$AX$252)=0,"",(AX33-MIN($AX$2:$AX$252))/(MAX($AX$2:$AX$252)-MIN($AX$2:$AX$252))*100))</x:f>
      </x:c>
      <x:c r="AZ33">
        <x:f>IF(J33="","",LOG10(J33+1))</x:f>
      </x:c>
      <x:c r="BA33" s="10">
        <x:f>IF(AZ33="","",IF(MAX($AZ$2:$AZ$252)-MIN($AZ$2:$AZ$252)=0,"",(AZ33-MIN($AZ$2:$AZ$252))/(MAX($AZ$2:$AZ$252)-MIN($AZ$2:$AZ$252))*100))</x:f>
      </x:c>
      <x:c r="BB33">
        <x:f>IF(K33="","",LOG10(K33+1))</x:f>
      </x:c>
      <x:c r="BC33" s="10">
        <x:f>IF(BB33="","",IF(MAX($BB$2:$BB$252)-MIN($BB$2:$BB$252)=0,"",(BB33-MIN($BB$2:$BB$252))/(MAX($BB$2:$BB$252)-MIN($BB$2:$BB$252))*100))</x:f>
      </x:c>
      <x:c r="BD33">
        <x:f>IF(L33="","",LOG10(L33+1))</x:f>
      </x:c>
      <x:c r="BE33" s="10">
        <x:f>IF(BD33="","",IF(MAX($BD$2:$BD$252)-MIN($BD$2:$BD$252)=0,"",(BD33-MIN($BD$2:$BD$252))/(MAX($BD$2:$BD$252)-MIN($BD$2:$BD$252))*100))</x:f>
      </x:c>
      <x:c r="BF33" s="10">
        <x:f>IF(P33="","",IF(MAX($P$2:$P$252)-MIN($P$2:$P$252)=0,"",(P33-MIN($P$2:$P$252))/(MAX($P$2:$P$252)-MIN($P$2:$P$252))*100))</x:f>
      </x:c>
      <x:c r="BG33">
        <x:f>IF(AF33="","",LOG10(AF33+1))</x:f>
      </x:c>
      <x:c r="BH33" s="10">
        <x:f>IF(BG33="","",IF(MAX($BG$2:$BG$252)-MIN($BG$2:$BG$252)=0,"",(BG33-MIN($BG$2:$BG$252))/(MAX($BG$2:$BG$252)-MIN($BG$2:$BG$252))*100))</x:f>
      </x:c>
      <x:c r="BI33">
        <x:f>IF(AC33="","",LOG10(AC33+1))</x:f>
      </x:c>
      <x:c r="BJ33" s="10">
        <x:f>IF(BI33="","",IF(MAX($BI$2:$BI$252)-MIN($BI$2:$BI$252)=0,"",(BI33-MIN($BI$2:$BI$252))/(MAX($BI$2:$BI$252)-MIN($BI$2:$BI$252))*100))</x:f>
      </x:c>
      <x:c r="BK33">
        <x:f>IF(AD33="","",(AD33*2)+(AE33*1))</x:f>
      </x:c>
      <x:c r="BL33" s="10">
        <x:f>IF(BK33="","",IF(MAX($BK$2:$BK$252)-MIN($BK$2:$BK$252)=0,"",(BK33-MIN($BK$2:$BK$252))/(MAX($BK$2:$BK$252)-MIN($BK$2:$BK$252))*100))</x:f>
      </x:c>
      <x:c r="BM33" s="10">
        <x:f>IF(AB33="","",IF(MAX($AB$2:$AB$252)-MIN($AB$2:$AB$252)=0,"",(AB33-MIN($AB$2:$AB$252))/(MAX($AB$2:$AB$252)-MIN($AB$2:$AB$252))*100))</x:f>
      </x:c>
      <x:c r="BN33" s="10">
        <x:f>IF(X33="","",X33)</x:f>
      </x:c>
      <x:c r="BO33" s="10">
        <x:f>IF(X33="","",100-X33)</x:f>
      </x:c>
      <x:c r="BP33" s="10">
        <x:f>IF((Weights!$C$2*IF(BH33="",0,1)+Weights!$C$3*IF(BJ33="",0,1)+Weights!$C$4*IF(BL33="",0,1))=0,"",(Weights!$C$2*IF(BH33="",0,BH33)+Weights!$C$3*IF(BJ33="",0,BJ33)+Weights!$C$4*IF(BL33="",0,BL33))/(Weights!$C$2*IF(BH33="",0,1)+Weights!$C$3*IF(BJ33="",0,1)+Weights!$C$4*IF(BL33="",0,1)))</x:f>
      </x:c>
      <x:c r="BQ33" s="10">
        <x:f>IF((Weights!$C$5*IF(BA33="",0,1)+Weights!$C$6*IF(AW33="",0,1)+Weights!$C$7*IF(AU33="",0,1))=0,"",(Weights!$C$5*IF(BA33="",0,BA33)+Weights!$C$6*IF(AW33="",0,AW33)+Weights!$C$7*IF(AU33="",0,AU33))/(Weights!$C$5*IF(BA33="",0,1)+Weights!$C$6*IF(AW33="",0,1)+Weights!$C$7*IF(AU33="",0,1)))</x:f>
      </x:c>
      <x:c r="BR33" s="10">
        <x:f>IF((Weights!$C$8*IF(AW33="",0,1)+Weights!$C$9*IF(BC33="",0,1)+Weights!$C$10*IF(BF33="",0,1))=0,"",(Weights!$C$8*IF(AW33="",0,AW33)+Weights!$C$9*IF(BC33="",0,BC33)+Weights!$C$10*IF(BF33="",0,BF33))/(Weights!$C$8*IF(AW33="",0,1)+Weights!$C$9*IF(BC33="",0,1)+Weights!$C$10*IF(BF33="",0,1)))</x:f>
      </x:c>
      <x:c r="BS33" s="10">
        <x:f>IF(Y33="","",Y33)</x:f>
      </x:c>
      <x:c r="BT33" s="10">
        <x:f>IF(AS33="","",AS33)</x:f>
      </x:c>
      <x:c r="BU33" s="10">
        <x:f>IF(AJ33&lt;&gt;"",(0.6*AJ33+0.4*AU33),IF((Weights!$C$11*IF(AU33="",0,1)+Weights!$C$12*IF(BM33="",0,1))=0,"",(Weights!$C$11*IF(AU33="",0,AU33)+Weights!$C$12*IF(BM33="",0,BM33))/(Weights!$C$11*IF(AU33="",0,1)+Weights!$C$12*IF(BM33="",0,1))))</x:f>
      </x:c>
      <x:c r="BV33" s="10">
        <x:f>IF(CG33="",0,CG33)</x:f>
      </x:c>
      <x:c r="BW33" s="10">
        <x:f>IF(AP33="","",AP33)</x:f>
      </x:c>
      <x:c r="BX33" s="10">
        <x:f>IF(AO33="","",AO33)</x:f>
      </x:c>
      <x:c r="BY33" s="10">
        <x:f>IF(AL33="","",AL33)</x:f>
      </x:c>
      <x:c r="BZ33" s="10">
        <x:f>IF(AM33="","",AM33)</x:f>
      </x:c>
      <x:c r="CA33" s="10">
        <x:f>IF(AK33&lt;&gt;"",AK33,AW33)</x:f>
      </x:c>
      <x:c r="CB33" s="10">
        <x:f>IF((Weights!$C$13*IF(BP33="",0,1)+Weights!$C$14*IF(BR33="",0,1)+Weights!$C$15*IF(BQ33="",0,1)+Weights!$C$16*IF(BS33="",0,1)+Weights!$C$17*IF(BU33="",0,1)+Weights!$C$18*IF(BT33="",0,1)+Weights!$C$19*IF(BW33="",0,1)+Weights!$C$20*IF(BZ33="",0,1)+Weights!$C$21*IF(BO33="",0,1)+Weights!$C$22)=0,"",(Weights!$C$13*IF(BP33="",0,BP33)+Weights!$C$14*IF(BR33="",0,BR33)+Weights!$C$15*IF(BQ33="",0,BQ33)+Weights!$C$16*IF(BS33="",0,BS33)+Weights!$C$17*IF(BU33="",0,BU33)+Weights!$C$18*IF(BT33="",0,BT33)+Weights!$C$19*IF(BW33="",0,BW33)+Weights!$C$20*IF(BZ33="",0,BZ33)+Weights!$C$21*IF(BO33="",0,BO33)+Weights!$C$22*BV33)/(Weights!$C$13*IF(BP33="",0,1)+Weights!$C$14*IF(BR33="",0,1)+Weights!$C$15*IF(BQ33="",0,1)+Weights!$C$16*IF(BS33="",0,1)+Weights!$C$17*IF(BU33="",0,1)+Weights!$C$18*IF(BT33="",0,1)+Weights!$C$19*IF(BW33="",0,1)+Weights!$C$20*IF(BZ33="",0,1)+Weights!$C$21*IF(BO33="",0,1)+Weights!$C$22))</x:f>
      </x:c>
      <x:c r="CC33" s="10">
        <x:f>IF((Weights!$C$23*IF(BQ33="",0,1)+Weights!$C$24*IF(BN33="",0,1)+Weights!$C$25*IF(BS33="",0,1)+Weights!$C$26*IF(BY33="",0,1)+Weights!$C$27*IF(BX33="",0,1)+Weights!$C$28*IF(BT33="",0,1)+Weights!$C$29*IF(CA33="",0,1)+Weights!$C$30+Weights!$C$31*IF(BU33="",0,1))=0,"",(Weights!$C$23*IF(BQ33="",0,BQ33)+Weights!$C$24*IF(BN33="",0,BN33)+Weights!$C$25*IF(BS33="",0,BS33)+Weights!$C$26*IF(BY33="",0,BY33)+Weights!$C$27*IF(BX33="",0,BX33)+Weights!$C$28*IF(BT33="",0,BT33)+Weights!$C$29*IF(CA33="",0,CA33)+Weights!$C$30*BV33+Weights!$C$31*IF(BU33="",0,BU33))/(Weights!$C$23*IF(BQ33="",0,1)+Weights!$C$24*IF(BN33="",0,1)+Weights!$C$25*IF(BS33="",0,1)+Weights!$C$26*IF(BY33="",0,1)+Weights!$C$27*IF(BX33="",0,1)+Weights!$C$28*IF(BT33="",0,1)+Weights!$C$29*IF(CA33="",0,1)+Weights!$C$30+Weights!$C$31*IF(BU33="",0,1)))</x:f>
      </x:c>
      <x:c r="CD33" s="10">
        <x:f>IF(AND(CB33="",CC33=""),"",IF(CB33="",CC33,IF(CC33="",CB33,AVERAGE(CB33,CC33))))</x:f>
      </x:c>
      <x:c r="CE33" s="7">
        <x:f>ROUND(100*((IF(BP33&lt;&gt;"",1,0)+IF(BQ33&lt;&gt;"",1,0)+IF(BR33&lt;&gt;"",1,0)+IF(BS33&lt;&gt;"",1,0)+IF(BU33&lt;&gt;"",1,0)+IF(BT33&lt;&gt;"",1,0)+IF(BN33&lt;&gt;"",1,0)+IF(AW33&lt;&gt;"",1,0))/8),0)</x:f>
      </x:c>
      <x:c r="CF33">
        <x:f>IF(V33="","",LOG10(V33+1))</x:f>
      </x:c>
      <x:c r="CG33">
        <x:f>IF(CF33="","",IF(MAX($CF$2:$CF$252)-MIN($CF$2:$CF$252)=0,"",(CF33-MIN($CF$2:$CF$252))/(MAX($CF$2:$CF$252)-MIN($CF$2:$CF$252))*100))</x:f>
      </x:c>
    </x:row>
    <x:row r="34">
      <x:c r="A34" t="inlineStr">
        <x:is>
          <x:t xml:space="preserve">TLS</x:t>
        </x:is>
      </x:c>
      <x:c r="B34" t="inlineStr">
        <x:is>
          <x:t xml:space="preserve">Timor-Leste</x:t>
        </x:is>
      </x:c>
      <x:c r="C34" t="inlineStr">
        <x:is>
          <x:t xml:space="preserve">East Asia &amp; Pacific</x:t>
        </x:is>
      </x:c>
      <x:c r="D34" t="inlineStr">
        <x:is>
          <x:t xml:space="preserve">Lower middle income</x:t>
        </x:is>
      </x:c>
      <x:c r="E34" t="inlineStr">
        <x:is>
          <x:t xml:space="preserve">Asia</x:t>
        </x:is>
      </x:c>
      <x:c r="F34" t="n">
        <x:v>2024</x:v>
      </x:c>
      <x:c r="G34" t="n">
        <x:v>1400638</x:v>
      </x:c>
      <x:c r="H34" t="n">
        <x:v>2020</x:v>
      </x:c>
      <x:c r="I34" t="n">
        <x:v>2000</x:v>
      </x:c>
      <x:c r="J34" t="n">
        <x:v>1300</x:v>
      </x:c>
      <x:c r="K34" t="n">
        <x:v>400</x:v>
      </x:c>
      <x:c r="L34" t="n">
        <x:v>240</x:v>
      </x:c>
      <x:c r="M34" t="n">
        <x:v>2024</x:v>
      </x:c>
      <x:c r="N34" s="8" t="n">
        <x:v>46400000</x:v>
      </x:c>
      <x:c r="O34" s="9" t="n">
        <x:v>2.66415662650602</x:v>
      </x:c>
      <x:c r="P34" s="8" t="n">
        <x:v>23200</x:v>
      </x:c>
      <x:c r="Q34" t="n">
        <x:v>2024</x:v>
      </x:c>
      <x:c r="R34" s="8" t="n">
        <x:v>1865608515.41321</x:v>
      </x:c>
      <x:c r="S34" t="n">
        <x:v>0</x:v>
      </x:c>
      <x:c r="T34" t="n">
        <x:v>0</x:v>
      </x:c>
      <x:c r="U34" t="inlineStr">
        <x:is>
          <x:t xml:space="preserve">No</x:t>
        </x:is>
      </x:c>
      <x:c r="W34" t="inlineStr">
        <x:is>
          <x:t xml:space="preserve">No</x:t>
        </x:is>
      </x:c>
      <x:c r="X34" t="n">
        <x:v>15.04368236603077</x:v>
      </x:c>
      <x:c r="Y34" t="n">
        <x:v>41.65699694705043</x:v>
      </x:c>
      <x:c r="Z34" t="n">
        <x:v>14714.93133154255</x:v>
      </x:c>
      <x:c r="AA34" t="n">
        <x:v>87.75834361060713</x:v>
      </x:c>
      <x:c r="AB34" s="8" t="n">
        <x:v>3852.533534465269</x:v>
      </x:c>
      <x:c r="AI34" t="n">
        <x:v>4.8</x:v>
      </x:c>
      <x:c r="AJ34" t="n">
        <x:v>0.4</x:v>
      </x:c>
      <x:c r="AK34" t="n">
        <x:v>0.3</x:v>
      </x:c>
      <x:c r="AL34" t="n">
        <x:v>17</x:v>
      </x:c>
      <x:c r="AM34" t="n">
        <x:v>0</x:v>
      </x:c>
      <x:c r="AN34" t="n">
        <x:v>0.9</x:v>
      </x:c>
      <x:c r="AO34" t="n">
        <x:v>0</x:v>
      </x:c>
      <x:c r="AP34" t="n">
        <x:v>25.3</x:v>
      </x:c>
      <x:c r="AQ34" t="n">
        <x:v>2.7</x:v>
      </x:c>
      <x:c r="AR34">
        <x:f>IF(G34="","",LOG10(G34+1))</x:f>
        <x:v>6.1463262148643105</x:v>
      </x:c>
      <x:c r="AS34" s="10">
        <x:f>IF(AR34="","",IF(MAX($AR$2:$AR$252)-MIN($AR$2:$AR$252)=0,"",(AR34-MIN($AR$2:$AR$252))/(MAX($AR$2:$AR$252)-MIN($AR$2:$AR$252))*100))</x:f>
        <x:v>73.46126365938825</x:v>
      </x:c>
      <x:c r="AT34">
        <x:f>IF(R34="","",LOG10(R34+1))</x:f>
        <x:v>9.27082051561688</x:v>
      </x:c>
      <x:c r="AU34" s="10">
        <x:f>IF(AT34="","",IF(MAX($AT$2:$AT$252)-MIN($AT$2:$AT$252)=0,"",(AT34-MIN($AT$2:$AT$252))/(MAX($AT$2:$AT$252)-MIN($AT$2:$AT$252))*100))</x:f>
        <x:v>73.16701765494416</x:v>
      </x:c>
      <x:c r="AV34">
        <x:f>IF(N34="","",LOG10(N34+1))</x:f>
        <x:v>7.6665179899146745</x:v>
      </x:c>
      <x:c r="AW34" s="10">
        <x:f>IF(AV34="","",IF(MAX($AV$2:$AV$252)-MIN($AV$2:$AV$252)=0,"",(AV34-MIN($AV$2:$AV$252))/(MAX($AV$2:$AV$252)-MIN($AV$2:$AV$252))*100))</x:f>
        <x:v>70.03471692704342</x:v>
      </x:c>
      <x:c r="AX34">
        <x:f>IF(I34="","",LOG10(I34+1))</x:f>
        <x:v>3.301247088636211</x:v>
      </x:c>
      <x:c r="AY34" s="10">
        <x:f>IF(AX34="","",IF(MAX($AX$2:$AX$252)-MIN($AX$2:$AX$252)=0,"",(AX34-MIN($AX$2:$AX$252))/(MAX($AX$2:$AX$252)-MIN($AX$2:$AX$252))*100))</x:f>
      </x:c>
      <x:c r="AZ34">
        <x:f>IF(J34="","",LOG10(J34+1))</x:f>
      </x:c>
      <x:c r="BA34" s="10">
        <x:f>IF(AZ34="","",IF(MAX($AZ$2:$AZ$252)-MIN($AZ$2:$AZ$252)=0,"",(AZ34-MIN($AZ$2:$AZ$252))/(MAX($AZ$2:$AZ$252)-MIN($AZ$2:$AZ$252))*100))</x:f>
      </x:c>
      <x:c r="BB34">
        <x:f>IF(K34="","",LOG10(K34+1))</x:f>
      </x:c>
      <x:c r="BC34" s="10">
        <x:f>IF(BB34="","",IF(MAX($BB$2:$BB$252)-MIN($BB$2:$BB$252)=0,"",(BB34-MIN($BB$2:$BB$252))/(MAX($BB$2:$BB$252)-MIN($BB$2:$BB$252))*100))</x:f>
      </x:c>
      <x:c r="BD34">
        <x:f>IF(L34="","",LOG10(L34+1))</x:f>
      </x:c>
      <x:c r="BE34" s="10">
        <x:f>IF(BD34="","",IF(MAX($BD$2:$BD$252)-MIN($BD$2:$BD$252)=0,"",(BD34-MIN($BD$2:$BD$252))/(MAX($BD$2:$BD$252)-MIN($BD$2:$BD$252))*100))</x:f>
      </x:c>
      <x:c r="BF34" s="10">
        <x:f>IF(P34="","",IF(MAX($P$2:$P$252)-MIN($P$2:$P$252)=0,"",(P34-MIN($P$2:$P$252))/(MAX($P$2:$P$252)-MIN($P$2:$P$252))*100))</x:f>
      </x:c>
      <x:c r="BG34">
        <x:f>IF(AF34="","",LOG10(AF34+1))</x:f>
      </x:c>
      <x:c r="BH34" s="10">
        <x:f>IF(BG34="","",IF(MAX($BG$2:$BG$252)-MIN($BG$2:$BG$252)=0,"",(BG34-MIN($BG$2:$BG$252))/(MAX($BG$2:$BG$252)-MIN($BG$2:$BG$252))*100))</x:f>
      </x:c>
      <x:c r="BI34">
        <x:f>IF(AC34="","",LOG10(AC34+1))</x:f>
      </x:c>
      <x:c r="BJ34" s="10">
        <x:f>IF(BI34="","",IF(MAX($BI$2:$BI$252)-MIN($BI$2:$BI$252)=0,"",(BI34-MIN($BI$2:$BI$252))/(MAX($BI$2:$BI$252)-MIN($BI$2:$BI$252))*100))</x:f>
      </x:c>
      <x:c r="BK34">
        <x:f>IF(AD34="","",(AD34*2)+(AE34*1))</x:f>
      </x:c>
      <x:c r="BL34" s="10">
        <x:f>IF(BK34="","",IF(MAX($BK$2:$BK$252)-MIN($BK$2:$BK$252)=0,"",(BK34-MIN($BK$2:$BK$252))/(MAX($BK$2:$BK$252)-MIN($BK$2:$BK$252))*100))</x:f>
      </x:c>
      <x:c r="BM34" s="10">
        <x:f>IF(AB34="","",IF(MAX($AB$2:$AB$252)-MIN($AB$2:$AB$252)=0,"",(AB34-MIN($AB$2:$AB$252))/(MAX($AB$2:$AB$252)-MIN($AB$2:$AB$252))*100))</x:f>
      </x:c>
      <x:c r="BN34" s="10">
        <x:f>IF(X34="","",X34)</x:f>
      </x:c>
      <x:c r="BO34" s="10">
        <x:f>IF(X34="","",100-X34)</x:f>
      </x:c>
      <x:c r="BP34" s="10">
        <x:f>IF((Weights!$C$2*IF(BH34="",0,1)+Weights!$C$3*IF(BJ34="",0,1)+Weights!$C$4*IF(BL34="",0,1))=0,"",(Weights!$C$2*IF(BH34="",0,BH34)+Weights!$C$3*IF(BJ34="",0,BJ34)+Weights!$C$4*IF(BL34="",0,BL34))/(Weights!$C$2*IF(BH34="",0,1)+Weights!$C$3*IF(BJ34="",0,1)+Weights!$C$4*IF(BL34="",0,1)))</x:f>
      </x:c>
      <x:c r="BQ34" s="10">
        <x:f>IF((Weights!$C$5*IF(BA34="",0,1)+Weights!$C$6*IF(AW34="",0,1)+Weights!$C$7*IF(AU34="",0,1))=0,"",(Weights!$C$5*IF(BA34="",0,BA34)+Weights!$C$6*IF(AW34="",0,AW34)+Weights!$C$7*IF(AU34="",0,AU34))/(Weights!$C$5*IF(BA34="",0,1)+Weights!$C$6*IF(AW34="",0,1)+Weights!$C$7*IF(AU34="",0,1)))</x:f>
      </x:c>
      <x:c r="BR34" s="10">
        <x:f>IF((Weights!$C$8*IF(AW34="",0,1)+Weights!$C$9*IF(BC34="",0,1)+Weights!$C$10*IF(BF34="",0,1))=0,"",(Weights!$C$8*IF(AW34="",0,AW34)+Weights!$C$9*IF(BC34="",0,BC34)+Weights!$C$10*IF(BF34="",0,BF34))/(Weights!$C$8*IF(AW34="",0,1)+Weights!$C$9*IF(BC34="",0,1)+Weights!$C$10*IF(BF34="",0,1)))</x:f>
      </x:c>
      <x:c r="BS34" s="10">
        <x:f>IF(Y34="","",Y34)</x:f>
      </x:c>
      <x:c r="BT34" s="10">
        <x:f>IF(AS34="","",AS34)</x:f>
      </x:c>
      <x:c r="BU34" s="10">
        <x:f>IF(AJ34&lt;&gt;"",(0.6*AJ34+0.4*AU34),IF((Weights!$C$11*IF(AU34="",0,1)+Weights!$C$12*IF(BM34="",0,1))=0,"",(Weights!$C$11*IF(AU34="",0,AU34)+Weights!$C$12*IF(BM34="",0,BM34))/(Weights!$C$11*IF(AU34="",0,1)+Weights!$C$12*IF(BM34="",0,1))))</x:f>
      </x:c>
      <x:c r="BV34" s="10">
        <x:f>IF(CG34="",0,CG34)</x:f>
      </x:c>
      <x:c r="BW34" s="10">
        <x:f>IF(AP34="","",AP34)</x:f>
      </x:c>
      <x:c r="BX34" s="10">
        <x:f>IF(AO34="","",AO34)</x:f>
      </x:c>
      <x:c r="BY34" s="10">
        <x:f>IF(AL34="","",AL34)</x:f>
      </x:c>
      <x:c r="BZ34" s="10">
        <x:f>IF(AM34="","",AM34)</x:f>
      </x:c>
      <x:c r="CA34" s="10">
        <x:f>IF(AK34&lt;&gt;"",AK34,AW34)</x:f>
      </x:c>
      <x:c r="CB34" s="10">
        <x:f>IF((Weights!$C$13*IF(BP34="",0,1)+Weights!$C$14*IF(BR34="",0,1)+Weights!$C$15*IF(BQ34="",0,1)+Weights!$C$16*IF(BS34="",0,1)+Weights!$C$17*IF(BU34="",0,1)+Weights!$C$18*IF(BT34="",0,1)+Weights!$C$19*IF(BW34="",0,1)+Weights!$C$20*IF(BZ34="",0,1)+Weights!$C$21*IF(BO34="",0,1)+Weights!$C$22)=0,"",(Weights!$C$13*IF(BP34="",0,BP34)+Weights!$C$14*IF(BR34="",0,BR34)+Weights!$C$15*IF(BQ34="",0,BQ34)+Weights!$C$16*IF(BS34="",0,BS34)+Weights!$C$17*IF(BU34="",0,BU34)+Weights!$C$18*IF(BT34="",0,BT34)+Weights!$C$19*IF(BW34="",0,BW34)+Weights!$C$20*IF(BZ34="",0,BZ34)+Weights!$C$21*IF(BO34="",0,BO34)+Weights!$C$22*BV34)/(Weights!$C$13*IF(BP34="",0,1)+Weights!$C$14*IF(BR34="",0,1)+Weights!$C$15*IF(BQ34="",0,1)+Weights!$C$16*IF(BS34="",0,1)+Weights!$C$17*IF(BU34="",0,1)+Weights!$C$18*IF(BT34="",0,1)+Weights!$C$19*IF(BW34="",0,1)+Weights!$C$20*IF(BZ34="",0,1)+Weights!$C$21*IF(BO34="",0,1)+Weights!$C$22))</x:f>
      </x:c>
      <x:c r="CC34" s="10">
        <x:f>IF((Weights!$C$23*IF(BQ34="",0,1)+Weights!$C$24*IF(BN34="",0,1)+Weights!$C$25*IF(BS34="",0,1)+Weights!$C$26*IF(BY34="",0,1)+Weights!$C$27*IF(BX34="",0,1)+Weights!$C$28*IF(BT34="",0,1)+Weights!$C$29*IF(CA34="",0,1)+Weights!$C$30+Weights!$C$31*IF(BU34="",0,1))=0,"",(Weights!$C$23*IF(BQ34="",0,BQ34)+Weights!$C$24*IF(BN34="",0,BN34)+Weights!$C$25*IF(BS34="",0,BS34)+Weights!$C$26*IF(BY34="",0,BY34)+Weights!$C$27*IF(BX34="",0,BX34)+Weights!$C$28*IF(BT34="",0,BT34)+Weights!$C$29*IF(CA34="",0,CA34)+Weights!$C$30*BV34+Weights!$C$31*IF(BU34="",0,BU34))/(Weights!$C$23*IF(BQ34="",0,1)+Weights!$C$24*IF(BN34="",0,1)+Weights!$C$25*IF(BS34="",0,1)+Weights!$C$26*IF(BY34="",0,1)+Weights!$C$27*IF(BX34="",0,1)+Weights!$C$28*IF(BT34="",0,1)+Weights!$C$29*IF(CA34="",0,1)+Weights!$C$30+Weights!$C$31*IF(BU34="",0,1)))</x:f>
      </x:c>
      <x:c r="CD34" s="10">
        <x:f>IF(AND(CB34="",CC34=""),"",IF(CB34="",CC34,IF(CC34="",CB34,AVERAGE(CB34,CC34))))</x:f>
      </x:c>
      <x:c r="CE34" s="7">
        <x:f>ROUND(100*((IF(BP34&lt;&gt;"",1,0)+IF(BQ34&lt;&gt;"",1,0)+IF(BR34&lt;&gt;"",1,0)+IF(BS34&lt;&gt;"",1,0)+IF(BU34&lt;&gt;"",1,0)+IF(BT34&lt;&gt;"",1,0)+IF(BN34&lt;&gt;"",1,0)+IF(AW34&lt;&gt;"",1,0))/8),0)</x:f>
      </x:c>
      <x:c r="CF34">
        <x:f>IF(V34="","",LOG10(V34+1))</x:f>
      </x:c>
      <x:c r="CG34">
        <x:f>IF(CF34="","",IF(MAX($CF$2:$CF$252)-MIN($CF$2:$CF$252)=0,"",(CF34-MIN($CF$2:$CF$252))/(MAX($CF$2:$CF$252)-MIN($CF$2:$CF$252))*100))</x:f>
      </x:c>
    </x:row>
    <x:row r="35">
      <x:c r="A35" t="inlineStr">
        <x:is>
          <x:t xml:space="preserve">LKA</x:t>
        </x:is>
      </x:c>
      <x:c r="B35" t="inlineStr">
        <x:is>
          <x:t xml:space="preserve">Sri Lanka</x:t>
        </x:is>
      </x:c>
      <x:c r="C35" t="inlineStr">
        <x:is>
          <x:t xml:space="preserve">South Asia</x:t>
        </x:is>
      </x:c>
      <x:c r="D35" t="inlineStr">
        <x:is>
          <x:t xml:space="preserve">Lower middle income</x:t>
        </x:is>
      </x:c>
      <x:c r="E35" t="inlineStr">
        <x:is>
          <x:t xml:space="preserve">Asia</x:t>
        </x:is>
      </x:c>
      <x:c r="F35" t="n">
        <x:v>2024</x:v>
      </x:c>
      <x:c r="G35" t="n">
        <x:v>21916000</x:v>
      </x:c>
      <x:c r="H35" t="n">
        <x:v>2020</x:v>
      </x:c>
      <x:c r="I35" t="n">
        <x:v>317000</x:v>
      </x:c>
      <x:c r="J35" t="n">
        <x:v>206050</x:v>
      </x:c>
      <x:c r="K35" t="n">
        <x:v>63400</x:v>
      </x:c>
      <x:c r="L35" t="n">
        <x:v>38040</x:v>
      </x:c>
      <x:c r="M35" t="n">
        <x:v>2024</x:v>
      </x:c>
      <x:c r="N35" s="8" t="n">
        <x:v>1333312353.41663</x:v>
      </x:c>
      <x:c r="O35" s="9" t="n">
        <x:v>1.42539087177796</x:v>
      </x:c>
      <x:c r="P35" s="8" t="n">
        <x:v>4206.032660620284</x:v>
      </x:c>
      <x:c r="Q35" t="n">
        <x:v>2024</x:v>
      </x:c>
      <x:c r="R35" s="8" t="n">
        <x:v>98963185509.64999</x:v>
      </x:c>
      <x:c r="S35" t="n">
        <x:v>0</x:v>
      </x:c>
      <x:c r="T35" t="n">
        <x:v>0</x:v>
      </x:c>
      <x:c r="U35" t="inlineStr">
        <x:is>
          <x:t xml:space="preserve">No</x:t>
        </x:is>
      </x:c>
      <x:c r="W35" t="inlineStr">
        <x:is>
          <x:t xml:space="preserve">No</x:t>
        </x:is>
      </x:c>
      <x:c r="X35" t="n">
        <x:v>3.997069330453465</x:v>
      </x:c>
      <x:c r="Y35" t="n">
        <x:v>64.92486209862773</x:v>
      </x:c>
      <x:c r="Z35" t="n">
        <x:v>65370.38952426105</x:v>
      </x:c>
      <x:c r="AA35" t="n">
        <x:v>342.8062944566539</x:v>
      </x:c>
      <x:c r="AB35" s="8" t="n">
        <x:v>10562.54075023313</x:v>
      </x:c>
      <x:c r="AC35" t="n">
        <x:v>270</x:v>
      </x:c>
      <x:c r="AD35" t="n">
        <x:v>0</x:v>
      </x:c>
      <x:c r="AE35" t="n">
        <x:v>0</x:v>
      </x:c>
      <x:c r="AI35" t="n">
        <x:v>7.8</x:v>
      </x:c>
      <x:c r="AJ35" t="n">
        <x:v>1.9</x:v>
      </x:c>
      <x:c r="AK35" t="n">
        <x:v>6.1</x:v>
      </x:c>
      <x:c r="AL35" t="n">
        <x:v>24.6</x:v>
      </x:c>
      <x:c r="AM35" t="n">
        <x:v>2.7</x:v>
      </x:c>
      <x:c r="AN35" t="n">
        <x:v>2.6</x:v>
      </x:c>
      <x:c r="AO35" t="n">
        <x:v>4.6</x:v>
      </x:c>
      <x:c r="AP35" t="n">
        <x:v>21.2</x:v>
      </x:c>
      <x:c r="AQ35" t="n">
        <x:v>6.7</x:v>
      </x:c>
      <x:c r="AR35">
        <x:f>IF(G35="","",LOG10(G35+1))</x:f>
        <x:v>7.340761311578992</x:v>
      </x:c>
      <x:c r="AS35" s="10">
        <x:f>IF(AR35="","",IF(MAX($AR$2:$AR$252)-MIN($AR$2:$AR$252)=0,"",(AR35-MIN($AR$2:$AR$252))/(MAX($AR$2:$AR$252)-MIN($AR$2:$AR$252))*100))</x:f>
        <x:v>87.7372243709401</x:v>
      </x:c>
      <x:c r="AT35">
        <x:f>IF(R35="","",LOG10(R35+1))</x:f>
        <x:v>10.99547366628387</x:v>
      </x:c>
      <x:c r="AU35" s="10">
        <x:f>IF(AT35="","",IF(MAX($AT$2:$AT$252)-MIN($AT$2:$AT$252)=0,"",(AT35-MIN($AT$2:$AT$252))/(MAX($AT$2:$AT$252)-MIN($AT$2:$AT$252))*100))</x:f>
        <x:v>86.77829697061433</x:v>
      </x:c>
      <x:c r="AV35">
        <x:f>IF(N35="","",LOG10(N35+1))</x:f>
        <x:v>9.12493190328372</x:v>
      </x:c>
      <x:c r="AW35" s="10">
        <x:f>IF(AV35="","",IF(MAX($AV$2:$AV$252)-MIN($AV$2:$AV$252)=0,"",(AV35-MIN($AV$2:$AV$252))/(MAX($AV$2:$AV$252)-MIN($AV$2:$AV$252))*100))</x:f>
        <x:v>83.35753254159329</x:v>
      </x:c>
      <x:c r="AX35">
        <x:f>IF(I35="","",LOG10(I35+1))</x:f>
        <x:v>5.501060632229728</x:v>
      </x:c>
      <x:c r="AY35" s="10">
        <x:f>IF(AX35="","",IF(MAX($AX$2:$AX$252)-MIN($AX$2:$AX$252)=0,"",(AX35-MIN($AX$2:$AX$252))/(MAX($AX$2:$AX$252)-MIN($AX$2:$AX$252))*100))</x:f>
      </x:c>
      <x:c r="AZ35">
        <x:f>IF(J35="","",LOG10(J35+1))</x:f>
      </x:c>
      <x:c r="BA35" s="10">
        <x:f>IF(AZ35="","",IF(MAX($AZ$2:$AZ$252)-MIN($AZ$2:$AZ$252)=0,"",(AZ35-MIN($AZ$2:$AZ$252))/(MAX($AZ$2:$AZ$252)-MIN($AZ$2:$AZ$252))*100))</x:f>
      </x:c>
      <x:c r="BB35">
        <x:f>IF(K35="","",LOG10(K35+1))</x:f>
      </x:c>
      <x:c r="BC35" s="10">
        <x:f>IF(BB35="","",IF(MAX($BB$2:$BB$252)-MIN($BB$2:$BB$252)=0,"",(BB35-MIN($BB$2:$BB$252))/(MAX($BB$2:$BB$252)-MIN($BB$2:$BB$252))*100))</x:f>
      </x:c>
      <x:c r="BD35">
        <x:f>IF(L35="","",LOG10(L35+1))</x:f>
      </x:c>
      <x:c r="BE35" s="10">
        <x:f>IF(BD35="","",IF(MAX($BD$2:$BD$252)-MIN($BD$2:$BD$252)=0,"",(BD35-MIN($BD$2:$BD$252))/(MAX($BD$2:$BD$252)-MIN($BD$2:$BD$252))*100))</x:f>
      </x:c>
      <x:c r="BF35" s="10">
        <x:f>IF(P35="","",IF(MAX($P$2:$P$252)-MIN($P$2:$P$252)=0,"",(P35-MIN($P$2:$P$252))/(MAX($P$2:$P$252)-MIN($P$2:$P$252))*100))</x:f>
      </x:c>
      <x:c r="BG35">
        <x:f>IF(AF35="","",LOG10(AF35+1))</x:f>
      </x:c>
      <x:c r="BH35" s="10">
        <x:f>IF(BG35="","",IF(MAX($BG$2:$BG$252)-MIN($BG$2:$BG$252)=0,"",(BG35-MIN($BG$2:$BG$252))/(MAX($BG$2:$BG$252)-MIN($BG$2:$BG$252))*100))</x:f>
      </x:c>
      <x:c r="BI35">
        <x:f>IF(AC35="","",LOG10(AC35+1))</x:f>
      </x:c>
      <x:c r="BJ35" s="10">
        <x:f>IF(BI35="","",IF(MAX($BI$2:$BI$252)-MIN($BI$2:$BI$252)=0,"",(BI35-MIN($BI$2:$BI$252))/(MAX($BI$2:$BI$252)-MIN($BI$2:$BI$252))*100))</x:f>
      </x:c>
      <x:c r="BK35">
        <x:f>IF(AD35="","",(AD35*2)+(AE35*1))</x:f>
      </x:c>
      <x:c r="BL35" s="10">
        <x:f>IF(BK35="","",IF(MAX($BK$2:$BK$252)-MIN($BK$2:$BK$252)=0,"",(BK35-MIN($BK$2:$BK$252))/(MAX($BK$2:$BK$252)-MIN($BK$2:$BK$252))*100))</x:f>
      </x:c>
      <x:c r="BM35" s="10">
        <x:f>IF(AB35="","",IF(MAX($AB$2:$AB$252)-MIN($AB$2:$AB$252)=0,"",(AB35-MIN($AB$2:$AB$252))/(MAX($AB$2:$AB$252)-MIN($AB$2:$AB$252))*100))</x:f>
      </x:c>
      <x:c r="BN35" s="10">
        <x:f>IF(X35="","",X35)</x:f>
      </x:c>
      <x:c r="BO35" s="10">
        <x:f>IF(X35="","",100-X35)</x:f>
      </x:c>
      <x:c r="BP35" s="10">
        <x:f>IF((Weights!$C$2*IF(BH35="",0,1)+Weights!$C$3*IF(BJ35="",0,1)+Weights!$C$4*IF(BL35="",0,1))=0,"",(Weights!$C$2*IF(BH35="",0,BH35)+Weights!$C$3*IF(BJ35="",0,BJ35)+Weights!$C$4*IF(BL35="",0,BL35))/(Weights!$C$2*IF(BH35="",0,1)+Weights!$C$3*IF(BJ35="",0,1)+Weights!$C$4*IF(BL35="",0,1)))</x:f>
      </x:c>
      <x:c r="BQ35" s="10">
        <x:f>IF((Weights!$C$5*IF(BA35="",0,1)+Weights!$C$6*IF(AW35="",0,1)+Weights!$C$7*IF(AU35="",0,1))=0,"",(Weights!$C$5*IF(BA35="",0,BA35)+Weights!$C$6*IF(AW35="",0,AW35)+Weights!$C$7*IF(AU35="",0,AU35))/(Weights!$C$5*IF(BA35="",0,1)+Weights!$C$6*IF(AW35="",0,1)+Weights!$C$7*IF(AU35="",0,1)))</x:f>
      </x:c>
      <x:c r="BR35" s="10">
        <x:f>IF((Weights!$C$8*IF(AW35="",0,1)+Weights!$C$9*IF(BC35="",0,1)+Weights!$C$10*IF(BF35="",0,1))=0,"",(Weights!$C$8*IF(AW35="",0,AW35)+Weights!$C$9*IF(BC35="",0,BC35)+Weights!$C$10*IF(BF35="",0,BF35))/(Weights!$C$8*IF(AW35="",0,1)+Weights!$C$9*IF(BC35="",0,1)+Weights!$C$10*IF(BF35="",0,1)))</x:f>
      </x:c>
      <x:c r="BS35" s="10">
        <x:f>IF(Y35="","",Y35)</x:f>
      </x:c>
      <x:c r="BT35" s="10">
        <x:f>IF(AS35="","",AS35)</x:f>
      </x:c>
      <x:c r="BU35" s="10">
        <x:f>IF(AJ35&lt;&gt;"",(0.6*AJ35+0.4*AU35),IF((Weights!$C$11*IF(AU35="",0,1)+Weights!$C$12*IF(BM35="",0,1))=0,"",(Weights!$C$11*IF(AU35="",0,AU35)+Weights!$C$12*IF(BM35="",0,BM35))/(Weights!$C$11*IF(AU35="",0,1)+Weights!$C$12*IF(BM35="",0,1))))</x:f>
      </x:c>
      <x:c r="BV35" s="10">
        <x:f>IF(CG35="",0,CG35)</x:f>
      </x:c>
      <x:c r="BW35" s="10">
        <x:f>IF(AP35="","",AP35)</x:f>
      </x:c>
      <x:c r="BX35" s="10">
        <x:f>IF(AO35="","",AO35)</x:f>
      </x:c>
      <x:c r="BY35" s="10">
        <x:f>IF(AL35="","",AL35)</x:f>
      </x:c>
      <x:c r="BZ35" s="10">
        <x:f>IF(AM35="","",AM35)</x:f>
      </x:c>
      <x:c r="CA35" s="10">
        <x:f>IF(AK35&lt;&gt;"",AK35,AW35)</x:f>
      </x:c>
      <x:c r="CB35" s="10">
        <x:f>IF((Weights!$C$13*IF(BP35="",0,1)+Weights!$C$14*IF(BR35="",0,1)+Weights!$C$15*IF(BQ35="",0,1)+Weights!$C$16*IF(BS35="",0,1)+Weights!$C$17*IF(BU35="",0,1)+Weights!$C$18*IF(BT35="",0,1)+Weights!$C$19*IF(BW35="",0,1)+Weights!$C$20*IF(BZ35="",0,1)+Weights!$C$21*IF(BO35="",0,1)+Weights!$C$22)=0,"",(Weights!$C$13*IF(BP35="",0,BP35)+Weights!$C$14*IF(BR35="",0,BR35)+Weights!$C$15*IF(BQ35="",0,BQ35)+Weights!$C$16*IF(BS35="",0,BS35)+Weights!$C$17*IF(BU35="",0,BU35)+Weights!$C$18*IF(BT35="",0,BT35)+Weights!$C$19*IF(BW35="",0,BW35)+Weights!$C$20*IF(BZ35="",0,BZ35)+Weights!$C$21*IF(BO35="",0,BO35)+Weights!$C$22*BV35)/(Weights!$C$13*IF(BP35="",0,1)+Weights!$C$14*IF(BR35="",0,1)+Weights!$C$15*IF(BQ35="",0,1)+Weights!$C$16*IF(BS35="",0,1)+Weights!$C$17*IF(BU35="",0,1)+Weights!$C$18*IF(BT35="",0,1)+Weights!$C$19*IF(BW35="",0,1)+Weights!$C$20*IF(BZ35="",0,1)+Weights!$C$21*IF(BO35="",0,1)+Weights!$C$22))</x:f>
      </x:c>
      <x:c r="CC35" s="10">
        <x:f>IF((Weights!$C$23*IF(BQ35="",0,1)+Weights!$C$24*IF(BN35="",0,1)+Weights!$C$25*IF(BS35="",0,1)+Weights!$C$26*IF(BY35="",0,1)+Weights!$C$27*IF(BX35="",0,1)+Weights!$C$28*IF(BT35="",0,1)+Weights!$C$29*IF(CA35="",0,1)+Weights!$C$30+Weights!$C$31*IF(BU35="",0,1))=0,"",(Weights!$C$23*IF(BQ35="",0,BQ35)+Weights!$C$24*IF(BN35="",0,BN35)+Weights!$C$25*IF(BS35="",0,BS35)+Weights!$C$26*IF(BY35="",0,BY35)+Weights!$C$27*IF(BX35="",0,BX35)+Weights!$C$28*IF(BT35="",0,BT35)+Weights!$C$29*IF(CA35="",0,CA35)+Weights!$C$30*BV35+Weights!$C$31*IF(BU35="",0,BU35))/(Weights!$C$23*IF(BQ35="",0,1)+Weights!$C$24*IF(BN35="",0,1)+Weights!$C$25*IF(BS35="",0,1)+Weights!$C$26*IF(BY35="",0,1)+Weights!$C$27*IF(BX35="",0,1)+Weights!$C$28*IF(BT35="",0,1)+Weights!$C$29*IF(CA35="",0,1)+Weights!$C$30+Weights!$C$31*IF(BU35="",0,1)))</x:f>
      </x:c>
      <x:c r="CD35" s="10">
        <x:f>IF(AND(CB35="",CC35=""),"",IF(CB35="",CC35,IF(CC35="",CB35,AVERAGE(CB35,CC35))))</x:f>
      </x:c>
      <x:c r="CE35" s="7">
        <x:f>ROUND(100*((IF(BP35&lt;&gt;"",1,0)+IF(BQ35&lt;&gt;"",1,0)+IF(BR35&lt;&gt;"",1,0)+IF(BS35&lt;&gt;"",1,0)+IF(BU35&lt;&gt;"",1,0)+IF(BT35&lt;&gt;"",1,0)+IF(BN35&lt;&gt;"",1,0)+IF(AW35&lt;&gt;"",1,0))/8),0)</x:f>
      </x:c>
      <x:c r="CF35">
        <x:f>IF(V35="","",LOG10(V35+1))</x:f>
      </x:c>
      <x:c r="CG35">
        <x:f>IF(CF35="","",IF(MAX($CF$2:$CF$252)-MIN($CF$2:$CF$252)=0,"",(CF35-MIN($CF$2:$CF$252))/(MAX($CF$2:$CF$252)-MIN($CF$2:$CF$252))*100))</x:f>
      </x:c>
    </x:row>
    <x:row r="36">
      <x:c r="A36" t="inlineStr">
        <x:is>
          <x:t xml:space="preserve">DOM</x:t>
        </x:is>
      </x:c>
      <x:c r="B36" t="inlineStr">
        <x:is>
          <x:t xml:space="preserve">Dominican Republic</x:t>
        </x:is>
      </x:c>
      <x:c r="C36" t="inlineStr">
        <x:is>
          <x:t xml:space="preserve">Latin America &amp; Caribbean</x:t>
        </x:is>
      </x:c>
      <x:c r="D36" t="inlineStr">
        <x:is>
          <x:t xml:space="preserve">Upper middle income</x:t>
        </x:is>
      </x:c>
      <x:c r="E36" t="inlineStr">
        <x:is>
          <x:t xml:space="preserve">North America</x:t>
        </x:is>
      </x:c>
      <x:c r="F36" t="n">
        <x:v>2024</x:v>
      </x:c>
      <x:c r="G36" t="n">
        <x:v>11427557</x:v>
      </x:c>
      <x:c r="H36" t="n">
        <x:v>2020</x:v>
      </x:c>
      <x:c r="I36" t="n">
        <x:v>71000</x:v>
      </x:c>
      <x:c r="J36" t="n">
        <x:v>46150</x:v>
      </x:c>
      <x:c r="K36" t="n">
        <x:v>14200</x:v>
      </x:c>
      <x:c r="L36" t="n">
        <x:v>8520</x:v>
      </x:c>
      <x:c r="M36" t="n">
        <x:v>2024</x:v>
      </x:c>
      <x:c r="N36" s="8" t="n">
        <x:v>980991970.499619</x:v>
      </x:c>
      <x:c r="O36" s="9" t="n">
        <x:v>0.782420068931067</x:v>
      </x:c>
      <x:c r="P36" s="8" t="n">
        <x:v>13816.78831689604</x:v>
      </x:c>
      <x:c r="Q36" t="n">
        <x:v>2024</x:v>
      </x:c>
      <x:c r="R36" s="8" t="n">
        <x:v>124282245638.568</x:v>
      </x:c>
      <x:c r="S36" t="n">
        <x:v>0</x:v>
      </x:c>
      <x:c r="T36" t="n">
        <x:v>0</x:v>
      </x:c>
      <x:c r="U36" t="inlineStr">
        <x:is>
          <x:t xml:space="preserve">No</x:t>
        </x:is>
      </x:c>
      <x:c r="W36" t="inlineStr">
        <x:is>
          <x:t xml:space="preserve">No</x:t>
        </x:is>
      </x:c>
      <x:c r="X36" t="n">
        <x:v>16.528603694431</x:v>
      </x:c>
      <x:c r="Y36" t="n">
        <x:v>67.44964624134164</x:v>
      </x:c>
      <x:c r="Z36" t="n">
        <x:v>48157.87428216461</x:v>
      </x:c>
      <x:c r="AA36" t="n">
        <x:v>222.8970269141521</x:v>
      </x:c>
      <x:c r="AB36" s="8" t="n">
        <x:v>15082.56703986782</x:v>
      </x:c>
      <x:c r="AC36" t="n">
        <x:v>34</x:v>
      </x:c>
      <x:c r="AD36" t="n">
        <x:v>0</x:v>
      </x:c>
      <x:c r="AE36" t="n">
        <x:v>0</x:v>
      </x:c>
      <x:c r="AR36">
        <x:f>IF(G36="","",LOG10(G36+1))</x:f>
        <x:v>7.057953434206919</x:v>
      </x:c>
      <x:c r="AS36" s="10">
        <x:f>IF(AR36="","",IF(MAX($AR$2:$AR$252)-MIN($AR$2:$AR$252)=0,"",(AR36-MIN($AR$2:$AR$252))/(MAX($AR$2:$AR$252)-MIN($AR$2:$AR$252))*100))</x:f>
        <x:v>84.35708746991808</x:v>
      </x:c>
      <x:c r="AT36">
        <x:f>IF(R36="","",LOG10(R36+1))</x:f>
        <x:v>11.094409091863767</x:v>
      </x:c>
      <x:c r="AU36" s="10">
        <x:f>IF(AT36="","",IF(MAX($AT$2:$AT$252)-MIN($AT$2:$AT$252)=0,"",(AT36-MIN($AT$2:$AT$252))/(MAX($AT$2:$AT$252)-MIN($AT$2:$AT$252))*100))</x:f>
        <x:v>87.559113514081</x:v>
      </x:c>
      <x:c r="AV36">
        <x:f>IF(N36="","",LOG10(N36+1))</x:f>
        <x:v>8.991665453100966</x:v>
      </x:c>
      <x:c r="AW36" s="10">
        <x:f>IF(AV36="","",IF(MAX($AV$2:$AV$252)-MIN($AV$2:$AV$252)=0,"",(AV36-MIN($AV$2:$AV$252))/(MAX($AV$2:$AV$252)-MIN($AV$2:$AV$252))*100))</x:f>
        <x:v>82.14012483098738</x:v>
      </x:c>
      <x:c r="AX36">
        <x:f>IF(I36="","",LOG10(I36+1))</x:f>
        <x:v>4.851264465499687</x:v>
      </x:c>
      <x:c r="AY36" s="10">
        <x:f>IF(AX36="","",IF(MAX($AX$2:$AX$252)-MIN($AX$2:$AX$252)=0,"",(AX36-MIN($AX$2:$AX$252))/(MAX($AX$2:$AX$252)-MIN($AX$2:$AX$252))*100))</x:f>
      </x:c>
      <x:c r="AZ36">
        <x:f>IF(J36="","",LOG10(J36+1))</x:f>
      </x:c>
      <x:c r="BA36" s="10">
        <x:f>IF(AZ36="","",IF(MAX($AZ$2:$AZ$252)-MIN($AZ$2:$AZ$252)=0,"",(AZ36-MIN($AZ$2:$AZ$252))/(MAX($AZ$2:$AZ$252)-MIN($AZ$2:$AZ$252))*100))</x:f>
      </x:c>
      <x:c r="BB36">
        <x:f>IF(K36="","",LOG10(K36+1))</x:f>
      </x:c>
      <x:c r="BC36" s="10">
        <x:f>IF(BB36="","",IF(MAX($BB$2:$BB$252)-MIN($BB$2:$BB$252)=0,"",(BB36-MIN($BB$2:$BB$252))/(MAX($BB$2:$BB$252)-MIN($BB$2:$BB$252))*100))</x:f>
      </x:c>
      <x:c r="BD36">
        <x:f>IF(L36="","",LOG10(L36+1))</x:f>
      </x:c>
      <x:c r="BE36" s="10">
        <x:f>IF(BD36="","",IF(MAX($BD$2:$BD$252)-MIN($BD$2:$BD$252)=0,"",(BD36-MIN($BD$2:$BD$252))/(MAX($BD$2:$BD$252)-MIN($BD$2:$BD$252))*100))</x:f>
      </x:c>
      <x:c r="BF36" s="10">
        <x:f>IF(P36="","",IF(MAX($P$2:$P$252)-MIN($P$2:$P$252)=0,"",(P36-MIN($P$2:$P$252))/(MAX($P$2:$P$252)-MIN($P$2:$P$252))*100))</x:f>
      </x:c>
      <x:c r="BG36">
        <x:f>IF(AF36="","",LOG10(AF36+1))</x:f>
      </x:c>
      <x:c r="BH36" s="10">
        <x:f>IF(BG36="","",IF(MAX($BG$2:$BG$252)-MIN($BG$2:$BG$252)=0,"",(BG36-MIN($BG$2:$BG$252))/(MAX($BG$2:$BG$252)-MIN($BG$2:$BG$252))*100))</x:f>
      </x:c>
      <x:c r="BI36">
        <x:f>IF(AC36="","",LOG10(AC36+1))</x:f>
      </x:c>
      <x:c r="BJ36" s="10">
        <x:f>IF(BI36="","",IF(MAX($BI$2:$BI$252)-MIN($BI$2:$BI$252)=0,"",(BI36-MIN($BI$2:$BI$252))/(MAX($BI$2:$BI$252)-MIN($BI$2:$BI$252))*100))</x:f>
      </x:c>
      <x:c r="BK36">
        <x:f>IF(AD36="","",(AD36*2)+(AE36*1))</x:f>
      </x:c>
      <x:c r="BL36" s="10">
        <x:f>IF(BK36="","",IF(MAX($BK$2:$BK$252)-MIN($BK$2:$BK$252)=0,"",(BK36-MIN($BK$2:$BK$252))/(MAX($BK$2:$BK$252)-MIN($BK$2:$BK$252))*100))</x:f>
      </x:c>
      <x:c r="BM36" s="10">
        <x:f>IF(AB36="","",IF(MAX($AB$2:$AB$252)-MIN($AB$2:$AB$252)=0,"",(AB36-MIN($AB$2:$AB$252))/(MAX($AB$2:$AB$252)-MIN($AB$2:$AB$252))*100))</x:f>
      </x:c>
      <x:c r="BN36" s="10">
        <x:f>IF(X36="","",X36)</x:f>
      </x:c>
      <x:c r="BO36" s="10">
        <x:f>IF(X36="","",100-X36)</x:f>
      </x:c>
      <x:c r="BP36" s="10">
        <x:f>IF((Weights!$C$2*IF(BH36="",0,1)+Weights!$C$3*IF(BJ36="",0,1)+Weights!$C$4*IF(BL36="",0,1))=0,"",(Weights!$C$2*IF(BH36="",0,BH36)+Weights!$C$3*IF(BJ36="",0,BJ36)+Weights!$C$4*IF(BL36="",0,BL36))/(Weights!$C$2*IF(BH36="",0,1)+Weights!$C$3*IF(BJ36="",0,1)+Weights!$C$4*IF(BL36="",0,1)))</x:f>
      </x:c>
      <x:c r="BQ36" s="10">
        <x:f>IF((Weights!$C$5*IF(BA36="",0,1)+Weights!$C$6*IF(AW36="",0,1)+Weights!$C$7*IF(AU36="",0,1))=0,"",(Weights!$C$5*IF(BA36="",0,BA36)+Weights!$C$6*IF(AW36="",0,AW36)+Weights!$C$7*IF(AU36="",0,AU36))/(Weights!$C$5*IF(BA36="",0,1)+Weights!$C$6*IF(AW36="",0,1)+Weights!$C$7*IF(AU36="",0,1)))</x:f>
      </x:c>
      <x:c r="BR36" s="10">
        <x:f>IF((Weights!$C$8*IF(AW36="",0,1)+Weights!$C$9*IF(BC36="",0,1)+Weights!$C$10*IF(BF36="",0,1))=0,"",(Weights!$C$8*IF(AW36="",0,AW36)+Weights!$C$9*IF(BC36="",0,BC36)+Weights!$C$10*IF(BF36="",0,BF36))/(Weights!$C$8*IF(AW36="",0,1)+Weights!$C$9*IF(BC36="",0,1)+Weights!$C$10*IF(BF36="",0,1)))</x:f>
      </x:c>
      <x:c r="BS36" s="10">
        <x:f>IF(Y36="","",Y36)</x:f>
      </x:c>
      <x:c r="BT36" s="10">
        <x:f>IF(AS36="","",AS36)</x:f>
      </x:c>
      <x:c r="BU36" s="10">
        <x:f>IF(AJ36&lt;&gt;"",(0.6*AJ36+0.4*AU36),IF((Weights!$C$11*IF(AU36="",0,1)+Weights!$C$12*IF(BM36="",0,1))=0,"",(Weights!$C$11*IF(AU36="",0,AU36)+Weights!$C$12*IF(BM36="",0,BM36))/(Weights!$C$11*IF(AU36="",0,1)+Weights!$C$12*IF(BM36="",0,1))))</x:f>
      </x:c>
      <x:c r="BV36" s="10">
        <x:f>IF(CG36="",0,CG36)</x:f>
      </x:c>
      <x:c r="BW36" s="10">
        <x:f>IF(AP36="","",AP36)</x:f>
      </x:c>
      <x:c r="BX36" s="10">
        <x:f>IF(AO36="","",AO36)</x:f>
      </x:c>
      <x:c r="BY36" s="10">
        <x:f>IF(AL36="","",AL36)</x:f>
      </x:c>
      <x:c r="BZ36" s="10">
        <x:f>IF(AM36="","",AM36)</x:f>
      </x:c>
      <x:c r="CA36" s="10">
        <x:f>IF(AK36&lt;&gt;"",AK36,AW36)</x:f>
      </x:c>
      <x:c r="CB36" s="10">
        <x:f>IF((Weights!$C$13*IF(BP36="",0,1)+Weights!$C$14*IF(BR36="",0,1)+Weights!$C$15*IF(BQ36="",0,1)+Weights!$C$16*IF(BS36="",0,1)+Weights!$C$17*IF(BU36="",0,1)+Weights!$C$18*IF(BT36="",0,1)+Weights!$C$19*IF(BW36="",0,1)+Weights!$C$20*IF(BZ36="",0,1)+Weights!$C$21*IF(BO36="",0,1)+Weights!$C$22)=0,"",(Weights!$C$13*IF(BP36="",0,BP36)+Weights!$C$14*IF(BR36="",0,BR36)+Weights!$C$15*IF(BQ36="",0,BQ36)+Weights!$C$16*IF(BS36="",0,BS36)+Weights!$C$17*IF(BU36="",0,BU36)+Weights!$C$18*IF(BT36="",0,BT36)+Weights!$C$19*IF(BW36="",0,BW36)+Weights!$C$20*IF(BZ36="",0,BZ36)+Weights!$C$21*IF(BO36="",0,BO36)+Weights!$C$22*BV36)/(Weights!$C$13*IF(BP36="",0,1)+Weights!$C$14*IF(BR36="",0,1)+Weights!$C$15*IF(BQ36="",0,1)+Weights!$C$16*IF(BS36="",0,1)+Weights!$C$17*IF(BU36="",0,1)+Weights!$C$18*IF(BT36="",0,1)+Weights!$C$19*IF(BW36="",0,1)+Weights!$C$20*IF(BZ36="",0,1)+Weights!$C$21*IF(BO36="",0,1)+Weights!$C$22))</x:f>
      </x:c>
      <x:c r="CC36" s="10">
        <x:f>IF((Weights!$C$23*IF(BQ36="",0,1)+Weights!$C$24*IF(BN36="",0,1)+Weights!$C$25*IF(BS36="",0,1)+Weights!$C$26*IF(BY36="",0,1)+Weights!$C$27*IF(BX36="",0,1)+Weights!$C$28*IF(BT36="",0,1)+Weights!$C$29*IF(CA36="",0,1)+Weights!$C$30+Weights!$C$31*IF(BU36="",0,1))=0,"",(Weights!$C$23*IF(BQ36="",0,BQ36)+Weights!$C$24*IF(BN36="",0,BN36)+Weights!$C$25*IF(BS36="",0,BS36)+Weights!$C$26*IF(BY36="",0,BY36)+Weights!$C$27*IF(BX36="",0,BX36)+Weights!$C$28*IF(BT36="",0,BT36)+Weights!$C$29*IF(CA36="",0,CA36)+Weights!$C$30*BV36+Weights!$C$31*IF(BU36="",0,BU36))/(Weights!$C$23*IF(BQ36="",0,1)+Weights!$C$24*IF(BN36="",0,1)+Weights!$C$25*IF(BS36="",0,1)+Weights!$C$26*IF(BY36="",0,1)+Weights!$C$27*IF(BX36="",0,1)+Weights!$C$28*IF(BT36="",0,1)+Weights!$C$29*IF(CA36="",0,1)+Weights!$C$30+Weights!$C$31*IF(BU36="",0,1)))</x:f>
      </x:c>
      <x:c r="CD36" s="10">
        <x:f>IF(AND(CB36="",CC36=""),"",IF(CB36="",CC36,IF(CC36="",CB36,AVERAGE(CB36,CC36))))</x:f>
      </x:c>
      <x:c r="CE36" s="7">
        <x:f>ROUND(100*((IF(BP36&lt;&gt;"",1,0)+IF(BQ36&lt;&gt;"",1,0)+IF(BR36&lt;&gt;"",1,0)+IF(BS36&lt;&gt;"",1,0)+IF(BU36&lt;&gt;"",1,0)+IF(BT36&lt;&gt;"",1,0)+IF(BN36&lt;&gt;"",1,0)+IF(AW36&lt;&gt;"",1,0))/8),0)</x:f>
      </x:c>
      <x:c r="CF36">
        <x:f>IF(V36="","",LOG10(V36+1))</x:f>
      </x:c>
      <x:c r="CG36">
        <x:f>IF(CF36="","",IF(MAX($CF$2:$CF$252)-MIN($CF$2:$CF$252)=0,"",(CF36-MIN($CF$2:$CF$252))/(MAX($CF$2:$CF$252)-MIN($CF$2:$CF$252))*100))</x:f>
      </x:c>
    </x:row>
    <x:row r="37">
      <x:c r="A37" t="inlineStr">
        <x:is>
          <x:t xml:space="preserve">URY</x:t>
        </x:is>
      </x:c>
      <x:c r="B37" t="inlineStr">
        <x:is>
          <x:t xml:space="preserve">Uruguay</x:t>
        </x:is>
      </x:c>
      <x:c r="C37" t="inlineStr">
        <x:is>
          <x:t xml:space="preserve">Latin America &amp; Caribbean</x:t>
        </x:is>
      </x:c>
      <x:c r="D37" t="inlineStr">
        <x:is>
          <x:t xml:space="preserve">High income</x:t>
        </x:is>
      </x:c>
      <x:c r="E37" t="inlineStr">
        <x:is>
          <x:t xml:space="preserve">South America</x:t>
        </x:is>
      </x:c>
      <x:c r="F37" t="n">
        <x:v>2024</x:v>
      </x:c>
      <x:c r="G37" t="n">
        <x:v>3386588</x:v>
      </x:c>
      <x:c r="H37" t="n">
        <x:v>2020</x:v>
      </x:c>
      <x:c r="I37" t="n">
        <x:v>22000</x:v>
      </x:c>
      <x:c r="J37" t="n">
        <x:v>14300</x:v>
      </x:c>
      <x:c r="K37" t="n">
        <x:v>4400</x:v>
      </x:c>
      <x:c r="L37" t="n">
        <x:v>2640</x:v>
      </x:c>
      <x:c r="M37" t="n">
        <x:v>2024</x:v>
      </x:c>
      <x:c r="N37" s="8" t="n">
        <x:v>1736764487.451</x:v>
      </x:c>
      <x:c r="O37" s="9" t="n">
        <x:v>2.31053827798919</x:v>
      </x:c>
      <x:c r="P37" s="8" t="n">
        <x:v>78943.84033868181</x:v>
      </x:c>
      <x:c r="Q37" t="n">
        <x:v>2024</x:v>
      </x:c>
      <x:c r="R37" s="8" t="n">
        <x:v>80961511073.5797</x:v>
      </x:c>
      <x:c r="S37" t="n">
        <x:v>0</x:v>
      </x:c>
      <x:c r="T37" t="n">
        <x:v>0</x:v>
      </x:c>
      <x:c r="U37" t="inlineStr">
        <x:is>
          <x:t xml:space="preserve">No</x:t>
        </x:is>
      </x:c>
      <x:c r="W37" t="inlineStr">
        <x:is>
          <x:t xml:space="preserve">No</x:t>
        </x:is>
      </x:c>
      <x:c r="X37" t="n">
        <x:v>2.632844014770041</x:v>
      </x:c>
      <x:c r="Y37" t="n">
        <x:v>57.68452698963915</x:v>
      </x:c>
      <x:c r="Z37" t="n">
        <x:v>176853.6359196163</x:v>
      </x:c>
      <x:c r="AA37" t="n">
        <x:v>18.9995980717482</x:v>
      </x:c>
      <x:c r="AB37" s="8" t="n">
        <x:v>21799.63501607667</x:v>
      </x:c>
      <x:c r="AC37" t="n">
        <x:v>11</x:v>
      </x:c>
      <x:c r="AD37" t="n">
        <x:v>0</x:v>
      </x:c>
      <x:c r="AE37" t="n">
        <x:v>0</x:v>
      </x:c>
      <x:c r="AR37">
        <x:f>IF(G37="","",LOG10(G37+1))</x:f>
        <x:v>6.529762493407902</x:v>
      </x:c>
      <x:c r="AS37" s="10">
        <x:f>IF(AR37="","",IF(MAX($AR$2:$AR$252)-MIN($AR$2:$AR$252)=0,"",(AR37-MIN($AR$2:$AR$252))/(MAX($AR$2:$AR$252)-MIN($AR$2:$AR$252))*100))</x:f>
        <x:v>78.04411731374594</x:v>
      </x:c>
      <x:c r="AT37">
        <x:f>IF(R37="","",LOG10(R37+1))</x:f>
        <x:v>10.908278605291517</x:v>
      </x:c>
      <x:c r="AU37" s="10">
        <x:f>IF(AT37="","",IF(MAX($AT$2:$AT$252)-MIN($AT$2:$AT$252)=0,"",(AT37-MIN($AT$2:$AT$252))/(MAX($AT$2:$AT$252)-MIN($AT$2:$AT$252))*100))</x:f>
        <x:v>86.09013754003271</x:v>
      </x:c>
      <x:c r="AV37">
        <x:f>IF(N37="","",LOG10(N37+1))</x:f>
        <x:v>9.239740930536504</x:v>
      </x:c>
      <x:c r="AW37" s="10">
        <x:f>IF(AV37="","",IF(MAX($AV$2:$AV$252)-MIN($AV$2:$AV$252)=0,"",(AV37-MIN($AV$2:$AV$252))/(MAX($AV$2:$AV$252)-MIN($AV$2:$AV$252))*100))</x:f>
        <x:v>84.40632910541737</x:v>
      </x:c>
      <x:c r="AX37">
        <x:f>IF(I37="","",LOG10(I37+1))</x:f>
        <x:v>4.342442421031836</x:v>
      </x:c>
      <x:c r="AY37" s="10">
        <x:f>IF(AX37="","",IF(MAX($AX$2:$AX$252)-MIN($AX$2:$AX$252)=0,"",(AX37-MIN($AX$2:$AX$252))/(MAX($AX$2:$AX$252)-MIN($AX$2:$AX$252))*100))</x:f>
      </x:c>
      <x:c r="AZ37">
        <x:f>IF(J37="","",LOG10(J37+1))</x:f>
      </x:c>
      <x:c r="BA37" s="10">
        <x:f>IF(AZ37="","",IF(MAX($AZ$2:$AZ$252)-MIN($AZ$2:$AZ$252)=0,"",(AZ37-MIN($AZ$2:$AZ$252))/(MAX($AZ$2:$AZ$252)-MIN($AZ$2:$AZ$252))*100))</x:f>
      </x:c>
      <x:c r="BB37">
        <x:f>IF(K37="","",LOG10(K37+1))</x:f>
      </x:c>
      <x:c r="BC37" s="10">
        <x:f>IF(BB37="","",IF(MAX($BB$2:$BB$252)-MIN($BB$2:$BB$252)=0,"",(BB37-MIN($BB$2:$BB$252))/(MAX($BB$2:$BB$252)-MIN($BB$2:$BB$252))*100))</x:f>
      </x:c>
      <x:c r="BD37">
        <x:f>IF(L37="","",LOG10(L37+1))</x:f>
      </x:c>
      <x:c r="BE37" s="10">
        <x:f>IF(BD37="","",IF(MAX($BD$2:$BD$252)-MIN($BD$2:$BD$252)=0,"",(BD37-MIN($BD$2:$BD$252))/(MAX($BD$2:$BD$252)-MIN($BD$2:$BD$252))*100))</x:f>
      </x:c>
      <x:c r="BF37" s="10">
        <x:f>IF(P37="","",IF(MAX($P$2:$P$252)-MIN($P$2:$P$252)=0,"",(P37-MIN($P$2:$P$252))/(MAX($P$2:$P$252)-MIN($P$2:$P$252))*100))</x:f>
      </x:c>
      <x:c r="BG37">
        <x:f>IF(AF37="","",LOG10(AF37+1))</x:f>
      </x:c>
      <x:c r="BH37" s="10">
        <x:f>IF(BG37="","",IF(MAX($BG$2:$BG$252)-MIN($BG$2:$BG$252)=0,"",(BG37-MIN($BG$2:$BG$252))/(MAX($BG$2:$BG$252)-MIN($BG$2:$BG$252))*100))</x:f>
      </x:c>
      <x:c r="BI37">
        <x:f>IF(AC37="","",LOG10(AC37+1))</x:f>
      </x:c>
      <x:c r="BJ37" s="10">
        <x:f>IF(BI37="","",IF(MAX($BI$2:$BI$252)-MIN($BI$2:$BI$252)=0,"",(BI37-MIN($BI$2:$BI$252))/(MAX($BI$2:$BI$252)-MIN($BI$2:$BI$252))*100))</x:f>
      </x:c>
      <x:c r="BK37">
        <x:f>IF(AD37="","",(AD37*2)+(AE37*1))</x:f>
      </x:c>
      <x:c r="BL37" s="10">
        <x:f>IF(BK37="","",IF(MAX($BK$2:$BK$252)-MIN($BK$2:$BK$252)=0,"",(BK37-MIN($BK$2:$BK$252))/(MAX($BK$2:$BK$252)-MIN($BK$2:$BK$252))*100))</x:f>
      </x:c>
      <x:c r="BM37" s="10">
        <x:f>IF(AB37="","",IF(MAX($AB$2:$AB$252)-MIN($AB$2:$AB$252)=0,"",(AB37-MIN($AB$2:$AB$252))/(MAX($AB$2:$AB$252)-MIN($AB$2:$AB$252))*100))</x:f>
      </x:c>
      <x:c r="BN37" s="10">
        <x:f>IF(X37="","",X37)</x:f>
      </x:c>
      <x:c r="BO37" s="10">
        <x:f>IF(X37="","",100-X37)</x:f>
      </x:c>
      <x:c r="BP37" s="10">
        <x:f>IF((Weights!$C$2*IF(BH37="",0,1)+Weights!$C$3*IF(BJ37="",0,1)+Weights!$C$4*IF(BL37="",0,1))=0,"",(Weights!$C$2*IF(BH37="",0,BH37)+Weights!$C$3*IF(BJ37="",0,BJ37)+Weights!$C$4*IF(BL37="",0,BL37))/(Weights!$C$2*IF(BH37="",0,1)+Weights!$C$3*IF(BJ37="",0,1)+Weights!$C$4*IF(BL37="",0,1)))</x:f>
      </x:c>
      <x:c r="BQ37" s="10">
        <x:f>IF((Weights!$C$5*IF(BA37="",0,1)+Weights!$C$6*IF(AW37="",0,1)+Weights!$C$7*IF(AU37="",0,1))=0,"",(Weights!$C$5*IF(BA37="",0,BA37)+Weights!$C$6*IF(AW37="",0,AW37)+Weights!$C$7*IF(AU37="",0,AU37))/(Weights!$C$5*IF(BA37="",0,1)+Weights!$C$6*IF(AW37="",0,1)+Weights!$C$7*IF(AU37="",0,1)))</x:f>
      </x:c>
      <x:c r="BR37" s="10">
        <x:f>IF((Weights!$C$8*IF(AW37="",0,1)+Weights!$C$9*IF(BC37="",0,1)+Weights!$C$10*IF(BF37="",0,1))=0,"",(Weights!$C$8*IF(AW37="",0,AW37)+Weights!$C$9*IF(BC37="",0,BC37)+Weights!$C$10*IF(BF37="",0,BF37))/(Weights!$C$8*IF(AW37="",0,1)+Weights!$C$9*IF(BC37="",0,1)+Weights!$C$10*IF(BF37="",0,1)))</x:f>
      </x:c>
      <x:c r="BS37" s="10">
        <x:f>IF(Y37="","",Y37)</x:f>
      </x:c>
      <x:c r="BT37" s="10">
        <x:f>IF(AS37="","",AS37)</x:f>
      </x:c>
      <x:c r="BU37" s="10">
        <x:f>IF(AJ37&lt;&gt;"",(0.6*AJ37+0.4*AU37),IF((Weights!$C$11*IF(AU37="",0,1)+Weights!$C$12*IF(BM37="",0,1))=0,"",(Weights!$C$11*IF(AU37="",0,AU37)+Weights!$C$12*IF(BM37="",0,BM37))/(Weights!$C$11*IF(AU37="",0,1)+Weights!$C$12*IF(BM37="",0,1))))</x:f>
      </x:c>
      <x:c r="BV37" s="10">
        <x:f>IF(CG37="",0,CG37)</x:f>
      </x:c>
      <x:c r="BW37" s="10">
        <x:f>IF(AP37="","",AP37)</x:f>
      </x:c>
      <x:c r="BX37" s="10">
        <x:f>IF(AO37="","",AO37)</x:f>
      </x:c>
      <x:c r="BY37" s="10">
        <x:f>IF(AL37="","",AL37)</x:f>
      </x:c>
      <x:c r="BZ37" s="10">
        <x:f>IF(AM37="","",AM37)</x:f>
      </x:c>
      <x:c r="CA37" s="10">
        <x:f>IF(AK37&lt;&gt;"",AK37,AW37)</x:f>
      </x:c>
      <x:c r="CB37" s="10">
        <x:f>IF((Weights!$C$13*IF(BP37="",0,1)+Weights!$C$14*IF(BR37="",0,1)+Weights!$C$15*IF(BQ37="",0,1)+Weights!$C$16*IF(BS37="",0,1)+Weights!$C$17*IF(BU37="",0,1)+Weights!$C$18*IF(BT37="",0,1)+Weights!$C$19*IF(BW37="",0,1)+Weights!$C$20*IF(BZ37="",0,1)+Weights!$C$21*IF(BO37="",0,1)+Weights!$C$22)=0,"",(Weights!$C$13*IF(BP37="",0,BP37)+Weights!$C$14*IF(BR37="",0,BR37)+Weights!$C$15*IF(BQ37="",0,BQ37)+Weights!$C$16*IF(BS37="",0,BS37)+Weights!$C$17*IF(BU37="",0,BU37)+Weights!$C$18*IF(BT37="",0,BT37)+Weights!$C$19*IF(BW37="",0,BW37)+Weights!$C$20*IF(BZ37="",0,BZ37)+Weights!$C$21*IF(BO37="",0,BO37)+Weights!$C$22*BV37)/(Weights!$C$13*IF(BP37="",0,1)+Weights!$C$14*IF(BR37="",0,1)+Weights!$C$15*IF(BQ37="",0,1)+Weights!$C$16*IF(BS37="",0,1)+Weights!$C$17*IF(BU37="",0,1)+Weights!$C$18*IF(BT37="",0,1)+Weights!$C$19*IF(BW37="",0,1)+Weights!$C$20*IF(BZ37="",0,1)+Weights!$C$21*IF(BO37="",0,1)+Weights!$C$22))</x:f>
      </x:c>
      <x:c r="CC37" s="10">
        <x:f>IF((Weights!$C$23*IF(BQ37="",0,1)+Weights!$C$24*IF(BN37="",0,1)+Weights!$C$25*IF(BS37="",0,1)+Weights!$C$26*IF(BY37="",0,1)+Weights!$C$27*IF(BX37="",0,1)+Weights!$C$28*IF(BT37="",0,1)+Weights!$C$29*IF(CA37="",0,1)+Weights!$C$30+Weights!$C$31*IF(BU37="",0,1))=0,"",(Weights!$C$23*IF(BQ37="",0,BQ37)+Weights!$C$24*IF(BN37="",0,BN37)+Weights!$C$25*IF(BS37="",0,BS37)+Weights!$C$26*IF(BY37="",0,BY37)+Weights!$C$27*IF(BX37="",0,BX37)+Weights!$C$28*IF(BT37="",0,BT37)+Weights!$C$29*IF(CA37="",0,CA37)+Weights!$C$30*BV37+Weights!$C$31*IF(BU37="",0,BU37))/(Weights!$C$23*IF(BQ37="",0,1)+Weights!$C$24*IF(BN37="",0,1)+Weights!$C$25*IF(BS37="",0,1)+Weights!$C$26*IF(BY37="",0,1)+Weights!$C$27*IF(BX37="",0,1)+Weights!$C$28*IF(BT37="",0,1)+Weights!$C$29*IF(CA37="",0,1)+Weights!$C$30+Weights!$C$31*IF(BU37="",0,1)))</x:f>
      </x:c>
      <x:c r="CD37" s="10">
        <x:f>IF(AND(CB37="",CC37=""),"",IF(CB37="",CC37,IF(CC37="",CB37,AVERAGE(CB37,CC37))))</x:f>
      </x:c>
      <x:c r="CE37" s="7">
        <x:f>ROUND(100*((IF(BP37&lt;&gt;"",1,0)+IF(BQ37&lt;&gt;"",1,0)+IF(BR37&lt;&gt;"",1,0)+IF(BS37&lt;&gt;"",1,0)+IF(BU37&lt;&gt;"",1,0)+IF(BT37&lt;&gt;"",1,0)+IF(BN37&lt;&gt;"",1,0)+IF(AW37&lt;&gt;"",1,0))/8),0)</x:f>
      </x:c>
      <x:c r="CF37">
        <x:f>IF(V37="","",LOG10(V37+1))</x:f>
      </x:c>
      <x:c r="CG37">
        <x:f>IF(CF37="","",IF(MAX($CF$2:$CF$252)-MIN($CF$2:$CF$252)=0,"",(CF37-MIN($CF$2:$CF$252))/(MAX($CF$2:$CF$252)-MIN($CF$2:$CF$252))*100))</x:f>
      </x:c>
    </x:row>
    <x:row r="38">
      <x:c r="A38" t="inlineStr">
        <x:is>
          <x:t xml:space="preserve">FLK</x:t>
        </x:is>
      </x:c>
      <x:c r="B38" t="inlineStr">
        <x:is>
          <x:t xml:space="preserve">Falkland Islands (Malvinas)</x:t>
        </x:is>
      </x:c>
      <x:c r="E38" t="inlineStr">
        <x:is>
          <x:t xml:space="preserve">South America</x:t>
        </x:is>
      </x:c>
      <x:c r="N38" s="8" t="n"/>
      <x:c r="O38" s="9" t="n"/>
      <x:c r="P38" s="8" t="n"/>
      <x:c r="R38" s="8" t="n"/>
      <x:c r="X38" t="n">
        <x:v>14.19884024917466</x:v>
      </x:c>
      <x:c r="Y38" t="n">
        <x:v>61.6485258827418</x:v>
      </x:c>
      <x:c r="Z38" t="n">
        <x:v>16363.79874239004</x:v>
      </x:c>
      <x:c r="AA38" t="n">
        <x:v>0.1791148892834591</x:v>
      </x:c>
      <x:c r="AB38" s="8" t="n">
        <x:v>96144.66052541794</x:v>
      </x:c>
      <x:c r="AR38">
        <x:f>IF(G38="","",LOG10(G38+1))</x:f>
      </x:c>
      <x:c r="AS38" s="10">
        <x:f>IF(AR38="","",IF(MAX($AR$2:$AR$252)-MIN($AR$2:$AR$252)=0,"",(AR38-MIN($AR$2:$AR$252))/(MAX($AR$2:$AR$252)-MIN($AR$2:$AR$252))*100))</x:f>
      </x:c>
      <x:c r="AT38">
        <x:f>IF(R38="","",LOG10(R38+1))</x:f>
      </x:c>
      <x:c r="AU38" s="10">
        <x:f>IF(AT38="","",IF(MAX($AT$2:$AT$252)-MIN($AT$2:$AT$252)=0,"",(AT38-MIN($AT$2:$AT$252))/(MAX($AT$2:$AT$252)-MIN($AT$2:$AT$252))*100))</x:f>
      </x:c>
      <x:c r="AV38">
        <x:f>IF(N38="","",LOG10(N38+1))</x:f>
      </x:c>
      <x:c r="AW38" s="10">
        <x:f>IF(AV38="","",IF(MAX($AV$2:$AV$252)-MIN($AV$2:$AV$252)=0,"",(AV38-MIN($AV$2:$AV$252))/(MAX($AV$2:$AV$252)-MIN($AV$2:$AV$252))*100))</x:f>
      </x:c>
      <x:c r="AX38">
        <x:f>IF(I38="","",LOG10(I38+1))</x:f>
      </x:c>
      <x:c r="AY38" s="10">
        <x:f>IF(AX38="","",IF(MAX($AX$2:$AX$252)-MIN($AX$2:$AX$252)=0,"",(AX38-MIN($AX$2:$AX$252))/(MAX($AX$2:$AX$252)-MIN($AX$2:$AX$252))*100))</x:f>
      </x:c>
      <x:c r="AZ38">
        <x:f>IF(J38="","",LOG10(J38+1))</x:f>
      </x:c>
      <x:c r="BA38" s="10">
        <x:f>IF(AZ38="","",IF(MAX($AZ$2:$AZ$252)-MIN($AZ$2:$AZ$252)=0,"",(AZ38-MIN($AZ$2:$AZ$252))/(MAX($AZ$2:$AZ$252)-MIN($AZ$2:$AZ$252))*100))</x:f>
      </x:c>
      <x:c r="BB38">
        <x:f>IF(K38="","",LOG10(K38+1))</x:f>
      </x:c>
      <x:c r="BC38" s="10">
        <x:f>IF(BB38="","",IF(MAX($BB$2:$BB$252)-MIN($BB$2:$BB$252)=0,"",(BB38-MIN($BB$2:$BB$252))/(MAX($BB$2:$BB$252)-MIN($BB$2:$BB$252))*100))</x:f>
      </x:c>
      <x:c r="BD38">
        <x:f>IF(L38="","",LOG10(L38+1))</x:f>
      </x:c>
      <x:c r="BE38" s="10">
        <x:f>IF(BD38="","",IF(MAX($BD$2:$BD$252)-MIN($BD$2:$BD$252)=0,"",(BD38-MIN($BD$2:$BD$252))/(MAX($BD$2:$BD$252)-MIN($BD$2:$BD$252))*100))</x:f>
      </x:c>
      <x:c r="BF38" s="10">
        <x:f>IF(P38="","",IF(MAX($P$2:$P$252)-MIN($P$2:$P$252)=0,"",(P38-MIN($P$2:$P$252))/(MAX($P$2:$P$252)-MIN($P$2:$P$252))*100))</x:f>
      </x:c>
      <x:c r="BG38">
        <x:f>IF(AF38="","",LOG10(AF38+1))</x:f>
      </x:c>
      <x:c r="BH38" s="10">
        <x:f>IF(BG38="","",IF(MAX($BG$2:$BG$252)-MIN($BG$2:$BG$252)=0,"",(BG38-MIN($BG$2:$BG$252))/(MAX($BG$2:$BG$252)-MIN($BG$2:$BG$252))*100))</x:f>
      </x:c>
      <x:c r="BI38">
        <x:f>IF(AC38="","",LOG10(AC38+1))</x:f>
      </x:c>
      <x:c r="BJ38" s="10">
        <x:f>IF(BI38="","",IF(MAX($BI$2:$BI$252)-MIN($BI$2:$BI$252)=0,"",(BI38-MIN($BI$2:$BI$252))/(MAX($BI$2:$BI$252)-MIN($BI$2:$BI$252))*100))</x:f>
      </x:c>
      <x:c r="BK38">
        <x:f>IF(AD38="","",(AD38*2)+(AE38*1))</x:f>
      </x:c>
      <x:c r="BL38" s="10">
        <x:f>IF(BK38="","",IF(MAX($BK$2:$BK$252)-MIN($BK$2:$BK$252)=0,"",(BK38-MIN($BK$2:$BK$252))/(MAX($BK$2:$BK$252)-MIN($BK$2:$BK$252))*100))</x:f>
      </x:c>
      <x:c r="BM38" s="10">
        <x:f>IF(AB38="","",IF(MAX($AB$2:$AB$252)-MIN($AB$2:$AB$252)=0,"",(AB38-MIN($AB$2:$AB$252))/(MAX($AB$2:$AB$252)-MIN($AB$2:$AB$252))*100))</x:f>
      </x:c>
      <x:c r="BN38" s="10">
        <x:f>IF(X38="","",X38)</x:f>
      </x:c>
      <x:c r="BO38" s="10">
        <x:f>IF(X38="","",100-X38)</x:f>
      </x:c>
      <x:c r="BP38" s="10">
        <x:f>IF((Weights!$C$2*IF(BH38="",0,1)+Weights!$C$3*IF(BJ38="",0,1)+Weights!$C$4*IF(BL38="",0,1))=0,"",(Weights!$C$2*IF(BH38="",0,BH38)+Weights!$C$3*IF(BJ38="",0,BJ38)+Weights!$C$4*IF(BL38="",0,BL38))/(Weights!$C$2*IF(BH38="",0,1)+Weights!$C$3*IF(BJ38="",0,1)+Weights!$C$4*IF(BL38="",0,1)))</x:f>
      </x:c>
      <x:c r="BQ38" s="10">
        <x:f>IF((Weights!$C$5*IF(BA38="",0,1)+Weights!$C$6*IF(AW38="",0,1)+Weights!$C$7*IF(AU38="",0,1))=0,"",(Weights!$C$5*IF(BA38="",0,BA38)+Weights!$C$6*IF(AW38="",0,AW38)+Weights!$C$7*IF(AU38="",0,AU38))/(Weights!$C$5*IF(BA38="",0,1)+Weights!$C$6*IF(AW38="",0,1)+Weights!$C$7*IF(AU38="",0,1)))</x:f>
      </x:c>
      <x:c r="BR38" s="10">
        <x:f>IF((Weights!$C$8*IF(AW38="",0,1)+Weights!$C$9*IF(BC38="",0,1)+Weights!$C$10*IF(BF38="",0,1))=0,"",(Weights!$C$8*IF(AW38="",0,AW38)+Weights!$C$9*IF(BC38="",0,BC38)+Weights!$C$10*IF(BF38="",0,BF38))/(Weights!$C$8*IF(AW38="",0,1)+Weights!$C$9*IF(BC38="",0,1)+Weights!$C$10*IF(BF38="",0,1)))</x:f>
      </x:c>
      <x:c r="BS38" s="10">
        <x:f>IF(Y38="","",Y38)</x:f>
      </x:c>
      <x:c r="BT38" s="10">
        <x:f>IF(AS38="","",AS38)</x:f>
      </x:c>
      <x:c r="BU38" s="10">
        <x:f>IF(AJ38&lt;&gt;"",(0.6*AJ38+0.4*AU38),IF((Weights!$C$11*IF(AU38="",0,1)+Weights!$C$12*IF(BM38="",0,1))=0,"",(Weights!$C$11*IF(AU38="",0,AU38)+Weights!$C$12*IF(BM38="",0,BM38))/(Weights!$C$11*IF(AU38="",0,1)+Weights!$C$12*IF(BM38="",0,1))))</x:f>
      </x:c>
      <x:c r="BV38" s="10">
        <x:f>IF(CG38="",0,CG38)</x:f>
      </x:c>
      <x:c r="BW38" s="10">
        <x:f>IF(AP38="","",AP38)</x:f>
      </x:c>
      <x:c r="BX38" s="10">
        <x:f>IF(AO38="","",AO38)</x:f>
      </x:c>
      <x:c r="BY38" s="10">
        <x:f>IF(AL38="","",AL38)</x:f>
      </x:c>
      <x:c r="BZ38" s="10">
        <x:f>IF(AM38="","",AM38)</x:f>
      </x:c>
      <x:c r="CA38" s="10">
        <x:f>IF(AK38&lt;&gt;"",AK38,AW38)</x:f>
      </x:c>
      <x:c r="CB38" s="10">
        <x:f>IF((Weights!$C$13*IF(BP38="",0,1)+Weights!$C$14*IF(BR38="",0,1)+Weights!$C$15*IF(BQ38="",0,1)+Weights!$C$16*IF(BS38="",0,1)+Weights!$C$17*IF(BU38="",0,1)+Weights!$C$18*IF(BT38="",0,1)+Weights!$C$19*IF(BW38="",0,1)+Weights!$C$20*IF(BZ38="",0,1)+Weights!$C$21*IF(BO38="",0,1)+Weights!$C$22)=0,"",(Weights!$C$13*IF(BP38="",0,BP38)+Weights!$C$14*IF(BR38="",0,BR38)+Weights!$C$15*IF(BQ38="",0,BQ38)+Weights!$C$16*IF(BS38="",0,BS38)+Weights!$C$17*IF(BU38="",0,BU38)+Weights!$C$18*IF(BT38="",0,BT38)+Weights!$C$19*IF(BW38="",0,BW38)+Weights!$C$20*IF(BZ38="",0,BZ38)+Weights!$C$21*IF(BO38="",0,BO38)+Weights!$C$22*BV38)/(Weights!$C$13*IF(BP38="",0,1)+Weights!$C$14*IF(BR38="",0,1)+Weights!$C$15*IF(BQ38="",0,1)+Weights!$C$16*IF(BS38="",0,1)+Weights!$C$17*IF(BU38="",0,1)+Weights!$C$18*IF(BT38="",0,1)+Weights!$C$19*IF(BW38="",0,1)+Weights!$C$20*IF(BZ38="",0,1)+Weights!$C$21*IF(BO38="",0,1)+Weights!$C$22))</x:f>
      </x:c>
      <x:c r="CC38" s="10">
        <x:f>IF((Weights!$C$23*IF(BQ38="",0,1)+Weights!$C$24*IF(BN38="",0,1)+Weights!$C$25*IF(BS38="",0,1)+Weights!$C$26*IF(BY38="",0,1)+Weights!$C$27*IF(BX38="",0,1)+Weights!$C$28*IF(BT38="",0,1)+Weights!$C$29*IF(CA38="",0,1)+Weights!$C$30+Weights!$C$31*IF(BU38="",0,1))=0,"",(Weights!$C$23*IF(BQ38="",0,BQ38)+Weights!$C$24*IF(BN38="",0,BN38)+Weights!$C$25*IF(BS38="",0,BS38)+Weights!$C$26*IF(BY38="",0,BY38)+Weights!$C$27*IF(BX38="",0,BX38)+Weights!$C$28*IF(BT38="",0,BT38)+Weights!$C$29*IF(CA38="",0,CA38)+Weights!$C$30*BV38+Weights!$C$31*IF(BU38="",0,BU38))/(Weights!$C$23*IF(BQ38="",0,1)+Weights!$C$24*IF(BN38="",0,1)+Weights!$C$25*IF(BS38="",0,1)+Weights!$C$26*IF(BY38="",0,1)+Weights!$C$27*IF(BX38="",0,1)+Weights!$C$28*IF(BT38="",0,1)+Weights!$C$29*IF(CA38="",0,1)+Weights!$C$30+Weights!$C$31*IF(BU38="",0,1)))</x:f>
      </x:c>
      <x:c r="CD38" s="10">
        <x:f>IF(AND(CB38="",CC38=""),"",IF(CB38="",CC38,IF(CC38="",CB38,AVERAGE(CB38,CC38))))</x:f>
      </x:c>
      <x:c r="CE38" s="7">
        <x:f>ROUND(100*((IF(BP38&lt;&gt;"",1,0)+IF(BQ38&lt;&gt;"",1,0)+IF(BR38&lt;&gt;"",1,0)+IF(BS38&lt;&gt;"",1,0)+IF(BU38&lt;&gt;"",1,0)+IF(BT38&lt;&gt;"",1,0)+IF(BN38&lt;&gt;"",1,0)+IF(AW38&lt;&gt;"",1,0))/8),0)</x:f>
      </x:c>
      <x:c r="CF38">
        <x:f>IF(V38="","",LOG10(V38+1))</x:f>
      </x:c>
      <x:c r="CG38">
        <x:f>IF(CF38="","",IF(MAX($CF$2:$CF$252)-MIN($CF$2:$CF$252)=0,"",(CF38-MIN($CF$2:$CF$252))/(MAX($CF$2:$CF$252)-MIN($CF$2:$CF$252))*100))</x:f>
      </x:c>
    </x:row>
    <x:row r="39">
      <x:c r="A39" t="inlineStr">
        <x:is>
          <x:t xml:space="preserve">FRO</x:t>
        </x:is>
      </x:c>
      <x:c r="B39" t="inlineStr">
        <x:is>
          <x:t xml:space="preserve">Faroe Islands</x:t>
        </x:is>
      </x:c>
      <x:c r="C39" t="inlineStr">
        <x:is>
          <x:t xml:space="preserve">Europe &amp; Central Asia</x:t>
        </x:is>
      </x:c>
      <x:c r="D39" t="inlineStr">
        <x:is>
          <x:t xml:space="preserve">High income</x:t>
        </x:is>
      </x:c>
      <x:c r="F39" t="n">
        <x:v>2024</x:v>
      </x:c>
      <x:c r="G39" t="n">
        <x:v>54681</x:v>
      </x:c>
      <x:c r="N39" s="8" t="n"/>
      <x:c r="O39" s="9" t="n"/>
      <x:c r="P39" s="8" t="n"/>
      <x:c r="Q39" t="n">
        <x:v>2024</x:v>
      </x:c>
      <x:c r="R39" s="8" t="n">
        <x:v>4052937169.76536</x:v>
      </x:c>
      <x:c r="S39" t="n">
        <x:v>0</x:v>
      </x:c>
      <x:c r="T39" t="n">
        <x:v>0</x:v>
      </x:c>
      <x:c r="U39" t="inlineStr">
        <x:is>
          <x:t xml:space="preserve">No</x:t>
        </x:is>
      </x:c>
      <x:c r="W39" t="inlineStr">
        <x:is>
          <x:t xml:space="preserve">No</x:t>
        </x:is>
      </x:c>
      <x:c r="AB39" s="8" t="n"/>
      <x:c r="AR39">
        <x:f>IF(G39="","",LOG10(G39+1))</x:f>
        <x:v>4.737844390553415</x:v>
      </x:c>
      <x:c r="AS39" s="10">
        <x:f>IF(AR39="","",IF(MAX($AR$2:$AR$252)-MIN($AR$2:$AR$252)=0,"",(AR39-MIN($AR$2:$AR$252))/(MAX($AR$2:$AR$252)-MIN($AR$2:$AR$252))*100))</x:f>
        <x:v>56.62700347890366</x:v>
      </x:c>
      <x:c r="AT39">
        <x:f>IF(R39="","",LOG10(R39+1))</x:f>
        <x:v>9.607769871296243</x:v>
      </x:c>
      <x:c r="AU39" s="10">
        <x:f>IF(AT39="","",IF(MAX($AT$2:$AT$252)-MIN($AT$2:$AT$252)=0,"",(AT39-MIN($AT$2:$AT$252))/(MAX($AT$2:$AT$252)-MIN($AT$2:$AT$252))*100))</x:f>
        <x:v>75.82628383470512</x:v>
      </x:c>
      <x:c r="AV39">
        <x:f>IF(N39="","",LOG10(N39+1))</x:f>
      </x:c>
      <x:c r="AW39" s="10">
        <x:f>IF(AV39="","",IF(MAX($AV$2:$AV$252)-MIN($AV$2:$AV$252)=0,"",(AV39-MIN($AV$2:$AV$252))/(MAX($AV$2:$AV$252)-MIN($AV$2:$AV$252))*100))</x:f>
      </x:c>
      <x:c r="AX39">
        <x:f>IF(I39="","",LOG10(I39+1))</x:f>
      </x:c>
      <x:c r="AY39" s="10">
        <x:f>IF(AX39="","",IF(MAX($AX$2:$AX$252)-MIN($AX$2:$AX$252)=0,"",(AX39-MIN($AX$2:$AX$252))/(MAX($AX$2:$AX$252)-MIN($AX$2:$AX$252))*100))</x:f>
      </x:c>
      <x:c r="AZ39">
        <x:f>IF(J39="","",LOG10(J39+1))</x:f>
      </x:c>
      <x:c r="BA39" s="10">
        <x:f>IF(AZ39="","",IF(MAX($AZ$2:$AZ$252)-MIN($AZ$2:$AZ$252)=0,"",(AZ39-MIN($AZ$2:$AZ$252))/(MAX($AZ$2:$AZ$252)-MIN($AZ$2:$AZ$252))*100))</x:f>
      </x:c>
      <x:c r="BB39">
        <x:f>IF(K39="","",LOG10(K39+1))</x:f>
      </x:c>
      <x:c r="BC39" s="10">
        <x:f>IF(BB39="","",IF(MAX($BB$2:$BB$252)-MIN($BB$2:$BB$252)=0,"",(BB39-MIN($BB$2:$BB$252))/(MAX($BB$2:$BB$252)-MIN($BB$2:$BB$252))*100))</x:f>
      </x:c>
      <x:c r="BD39">
        <x:f>IF(L39="","",LOG10(L39+1))</x:f>
      </x:c>
      <x:c r="BE39" s="10">
        <x:f>IF(BD39="","",IF(MAX($BD$2:$BD$252)-MIN($BD$2:$BD$252)=0,"",(BD39-MIN($BD$2:$BD$252))/(MAX($BD$2:$BD$252)-MIN($BD$2:$BD$252))*100))</x:f>
      </x:c>
      <x:c r="BF39" s="10">
        <x:f>IF(P39="","",IF(MAX($P$2:$P$252)-MIN($P$2:$P$252)=0,"",(P39-MIN($P$2:$P$252))/(MAX($P$2:$P$252)-MIN($P$2:$P$252))*100))</x:f>
      </x:c>
      <x:c r="BG39">
        <x:f>IF(AF39="","",LOG10(AF39+1))</x:f>
      </x:c>
      <x:c r="BH39" s="10">
        <x:f>IF(BG39="","",IF(MAX($BG$2:$BG$252)-MIN($BG$2:$BG$252)=0,"",(BG39-MIN($BG$2:$BG$252))/(MAX($BG$2:$BG$252)-MIN($BG$2:$BG$252))*100))</x:f>
      </x:c>
      <x:c r="BI39">
        <x:f>IF(AC39="","",LOG10(AC39+1))</x:f>
      </x:c>
      <x:c r="BJ39" s="10">
        <x:f>IF(BI39="","",IF(MAX($BI$2:$BI$252)-MIN($BI$2:$BI$252)=0,"",(BI39-MIN($BI$2:$BI$252))/(MAX($BI$2:$BI$252)-MIN($BI$2:$BI$252))*100))</x:f>
      </x:c>
      <x:c r="BK39">
        <x:f>IF(AD39="","",(AD39*2)+(AE39*1))</x:f>
      </x:c>
      <x:c r="BL39" s="10">
        <x:f>IF(BK39="","",IF(MAX($BK$2:$BK$252)-MIN($BK$2:$BK$252)=0,"",(BK39-MIN($BK$2:$BK$252))/(MAX($BK$2:$BK$252)-MIN($BK$2:$BK$252))*100))</x:f>
      </x:c>
      <x:c r="BM39" s="10">
        <x:f>IF(AB39="","",IF(MAX($AB$2:$AB$252)-MIN($AB$2:$AB$252)=0,"",(AB39-MIN($AB$2:$AB$252))/(MAX($AB$2:$AB$252)-MIN($AB$2:$AB$252))*100))</x:f>
      </x:c>
      <x:c r="BN39" s="10">
        <x:f>IF(X39="","",X39)</x:f>
      </x:c>
      <x:c r="BO39" s="10">
        <x:f>IF(X39="","",100-X39)</x:f>
      </x:c>
      <x:c r="BP39" s="10">
        <x:f>IF((Weights!$C$2*IF(BH39="",0,1)+Weights!$C$3*IF(BJ39="",0,1)+Weights!$C$4*IF(BL39="",0,1))=0,"",(Weights!$C$2*IF(BH39="",0,BH39)+Weights!$C$3*IF(BJ39="",0,BJ39)+Weights!$C$4*IF(BL39="",0,BL39))/(Weights!$C$2*IF(BH39="",0,1)+Weights!$C$3*IF(BJ39="",0,1)+Weights!$C$4*IF(BL39="",0,1)))</x:f>
      </x:c>
      <x:c r="BQ39" s="10">
        <x:f>IF((Weights!$C$5*IF(BA39="",0,1)+Weights!$C$6*IF(AW39="",0,1)+Weights!$C$7*IF(AU39="",0,1))=0,"",(Weights!$C$5*IF(BA39="",0,BA39)+Weights!$C$6*IF(AW39="",0,AW39)+Weights!$C$7*IF(AU39="",0,AU39))/(Weights!$C$5*IF(BA39="",0,1)+Weights!$C$6*IF(AW39="",0,1)+Weights!$C$7*IF(AU39="",0,1)))</x:f>
      </x:c>
      <x:c r="BR39" s="10">
        <x:f>IF((Weights!$C$8*IF(AW39="",0,1)+Weights!$C$9*IF(BC39="",0,1)+Weights!$C$10*IF(BF39="",0,1))=0,"",(Weights!$C$8*IF(AW39="",0,AW39)+Weights!$C$9*IF(BC39="",0,BC39)+Weights!$C$10*IF(BF39="",0,BF39))/(Weights!$C$8*IF(AW39="",0,1)+Weights!$C$9*IF(BC39="",0,1)+Weights!$C$10*IF(BF39="",0,1)))</x:f>
      </x:c>
      <x:c r="BS39" s="10">
        <x:f>IF(Y39="","",Y39)</x:f>
      </x:c>
      <x:c r="BT39" s="10">
        <x:f>IF(AS39="","",AS39)</x:f>
      </x:c>
      <x:c r="BU39" s="10">
        <x:f>IF(AJ39&lt;&gt;"",(0.6*AJ39+0.4*AU39),IF((Weights!$C$11*IF(AU39="",0,1)+Weights!$C$12*IF(BM39="",0,1))=0,"",(Weights!$C$11*IF(AU39="",0,AU39)+Weights!$C$12*IF(BM39="",0,BM39))/(Weights!$C$11*IF(AU39="",0,1)+Weights!$C$12*IF(BM39="",0,1))))</x:f>
      </x:c>
      <x:c r="BV39" s="10">
        <x:f>IF(CG39="",0,CG39)</x:f>
      </x:c>
      <x:c r="BW39" s="10">
        <x:f>IF(AP39="","",AP39)</x:f>
      </x:c>
      <x:c r="BX39" s="10">
        <x:f>IF(AO39="","",AO39)</x:f>
      </x:c>
      <x:c r="BY39" s="10">
        <x:f>IF(AL39="","",AL39)</x:f>
      </x:c>
      <x:c r="BZ39" s="10">
        <x:f>IF(AM39="","",AM39)</x:f>
      </x:c>
      <x:c r="CA39" s="10">
        <x:f>IF(AK39&lt;&gt;"",AK39,AW39)</x:f>
      </x:c>
      <x:c r="CB39" s="10">
        <x:f>IF((Weights!$C$13*IF(BP39="",0,1)+Weights!$C$14*IF(BR39="",0,1)+Weights!$C$15*IF(BQ39="",0,1)+Weights!$C$16*IF(BS39="",0,1)+Weights!$C$17*IF(BU39="",0,1)+Weights!$C$18*IF(BT39="",0,1)+Weights!$C$19*IF(BW39="",0,1)+Weights!$C$20*IF(BZ39="",0,1)+Weights!$C$21*IF(BO39="",0,1)+Weights!$C$22)=0,"",(Weights!$C$13*IF(BP39="",0,BP39)+Weights!$C$14*IF(BR39="",0,BR39)+Weights!$C$15*IF(BQ39="",0,BQ39)+Weights!$C$16*IF(BS39="",0,BS39)+Weights!$C$17*IF(BU39="",0,BU39)+Weights!$C$18*IF(BT39="",0,BT39)+Weights!$C$19*IF(BW39="",0,BW39)+Weights!$C$20*IF(BZ39="",0,BZ39)+Weights!$C$21*IF(BO39="",0,BO39)+Weights!$C$22*BV39)/(Weights!$C$13*IF(BP39="",0,1)+Weights!$C$14*IF(BR39="",0,1)+Weights!$C$15*IF(BQ39="",0,1)+Weights!$C$16*IF(BS39="",0,1)+Weights!$C$17*IF(BU39="",0,1)+Weights!$C$18*IF(BT39="",0,1)+Weights!$C$19*IF(BW39="",0,1)+Weights!$C$20*IF(BZ39="",0,1)+Weights!$C$21*IF(BO39="",0,1)+Weights!$C$22))</x:f>
      </x:c>
      <x:c r="CC39" s="10">
        <x:f>IF((Weights!$C$23*IF(BQ39="",0,1)+Weights!$C$24*IF(BN39="",0,1)+Weights!$C$25*IF(BS39="",0,1)+Weights!$C$26*IF(BY39="",0,1)+Weights!$C$27*IF(BX39="",0,1)+Weights!$C$28*IF(BT39="",0,1)+Weights!$C$29*IF(CA39="",0,1)+Weights!$C$30+Weights!$C$31*IF(BU39="",0,1))=0,"",(Weights!$C$23*IF(BQ39="",0,BQ39)+Weights!$C$24*IF(BN39="",0,BN39)+Weights!$C$25*IF(BS39="",0,BS39)+Weights!$C$26*IF(BY39="",0,BY39)+Weights!$C$27*IF(BX39="",0,BX39)+Weights!$C$28*IF(BT39="",0,BT39)+Weights!$C$29*IF(CA39="",0,CA39)+Weights!$C$30*BV39+Weights!$C$31*IF(BU39="",0,BU39))/(Weights!$C$23*IF(BQ39="",0,1)+Weights!$C$24*IF(BN39="",0,1)+Weights!$C$25*IF(BS39="",0,1)+Weights!$C$26*IF(BY39="",0,1)+Weights!$C$27*IF(BX39="",0,1)+Weights!$C$28*IF(BT39="",0,1)+Weights!$C$29*IF(CA39="",0,1)+Weights!$C$30+Weights!$C$31*IF(BU39="",0,1)))</x:f>
      </x:c>
      <x:c r="CD39" s="10">
        <x:f>IF(AND(CB39="",CC39=""),"",IF(CB39="",CC39,IF(CC39="",CB39,AVERAGE(CB39,CC39))))</x:f>
      </x:c>
      <x:c r="CE39" s="7">
        <x:f>ROUND(100*((IF(BP39&lt;&gt;"",1,0)+IF(BQ39&lt;&gt;"",1,0)+IF(BR39&lt;&gt;"",1,0)+IF(BS39&lt;&gt;"",1,0)+IF(BU39&lt;&gt;"",1,0)+IF(BT39&lt;&gt;"",1,0)+IF(BN39&lt;&gt;"",1,0)+IF(AW39&lt;&gt;"",1,0))/8),0)</x:f>
      </x:c>
      <x:c r="CF39">
        <x:f>IF(V39="","",LOG10(V39+1))</x:f>
      </x:c>
      <x:c r="CG39">
        <x:f>IF(CF39="","",IF(MAX($CF$2:$CF$252)-MIN($CF$2:$CF$252)=0,"",(CF39-MIN($CF$2:$CF$252))/(MAX($CF$2:$CF$252)-MIN($CF$2:$CF$252))*100))</x:f>
      </x:c>
    </x:row>
    <x:row r="40">
      <x:c r="A40" t="inlineStr">
        <x:is>
          <x:t xml:space="preserve">ETH</x:t>
        </x:is>
      </x:c>
      <x:c r="B40" t="inlineStr">
        <x:is>
          <x:t xml:space="preserve">Ethiopia</x:t>
        </x:is>
      </x:c>
      <x:c r="C40" t="inlineStr">
        <x:is>
          <x:t xml:space="preserve">Sub-Saharan Africa</x:t>
        </x:is>
      </x:c>
      <x:c r="E40" t="inlineStr">
        <x:is>
          <x:t xml:space="preserve">Africa</x:t>
        </x:is>
      </x:c>
      <x:c r="F40" t="n">
        <x:v>2024</x:v>
      </x:c>
      <x:c r="G40" t="n">
        <x:v>132059767</x:v>
      </x:c>
      <x:c r="H40" t="n">
        <x:v>2020</x:v>
      </x:c>
      <x:c r="I40" t="n">
        <x:v>138000</x:v>
      </x:c>
      <x:c r="J40" t="n">
        <x:v>89700</x:v>
      </x:c>
      <x:c r="K40" t="n">
        <x:v>27600</x:v>
      </x:c>
      <x:c r="L40" t="n">
        <x:v>16560</x:v>
      </x:c>
      <x:c r="M40" t="n">
        <x:v>2024</x:v>
      </x:c>
      <x:c r="N40" s="8" t="n">
        <x:v>921665263.86463</x:v>
      </x:c>
      <x:c r="O40" s="9" t="n">
        <x:v>0.650506448320295</x:v>
      </x:c>
      <x:c r="P40" s="8" t="n">
        <x:v>6678.733796120508</x:v>
      </x:c>
      <x:c r="Q40" t="n">
        <x:v>2024</x:v>
      </x:c>
      <x:c r="R40" s="8" t="n">
        <x:v>149740297952.986</x:v>
      </x:c>
      <x:c r="S40" t="n">
        <x:v>2</x:v>
      </x:c>
      <x:c r="T40" t="n">
        <x:v>0</x:v>
      </x:c>
      <x:c r="U40" t="inlineStr">
        <x:is>
          <x:t xml:space="preserve">No</x:t>
        </x:is>
      </x:c>
      <x:c r="W40" t="inlineStr">
        <x:is>
          <x:t xml:space="preserve">No</x:t>
        </x:is>
      </x:c>
      <x:c r="X40" t="n">
        <x:v>9.812153769312761</x:v>
      </x:c>
      <x:c r="Y40" t="n">
        <x:v>29.67543468400966</x:v>
      </x:c>
      <x:c r="Z40" t="n">
        <x:v>1132393.167177899</x:v>
      </x:c>
      <x:c r="AA40" t="n">
        <x:v>93.03307636741462</x:v>
      </x:c>
      <x:c r="AB40" s="8" t="n">
        <x:v>1658.281602604347</x:v>
      </x:c>
      <x:c r="AR40">
        <x:f>IF(G40="","",LOG10(G40+1))</x:f>
        <x:v>8.120770529977667</x:v>
      </x:c>
      <x:c r="AS40" s="10">
        <x:f>IF(AR40="","",IF(MAX($AR$2:$AR$252)-MIN($AR$2:$AR$252)=0,"",(AR40-MIN($AR$2:$AR$252))/(MAX($AR$2:$AR$252)-MIN($AR$2:$AR$252))*100))</x:f>
        <x:v>97.05994185231339</x:v>
      </x:c>
      <x:c r="AT40">
        <x:f>IF(R40="","",LOG10(R40+1))</x:f>
        <x:v>11.175338692954188</x:v>
      </x:c>
      <x:c r="AU40" s="10">
        <x:f>IF(AT40="","",IF(MAX($AT$2:$AT$252)-MIN($AT$2:$AT$252)=0,"",(AT40-MIN($AT$2:$AT$252))/(MAX($AT$2:$AT$252)-MIN($AT$2:$AT$252))*100))</x:f>
        <x:v>88.19782478476257</x:v>
      </x:c>
      <x:c r="AV40">
        <x:f>IF(N40="","",LOG10(N40+1))</x:f>
        <x:v>8.9645732203836</x:v>
      </x:c>
      <x:c r="AW40" s="10">
        <x:f>IF(AV40="","",IF(MAX($AV$2:$AV$252)-MIN($AV$2:$AV$252)=0,"",(AV40-MIN($AV$2:$AV$252))/(MAX($AV$2:$AV$252)-MIN($AV$2:$AV$252))*100))</x:f>
        <x:v>81.89263348592326</x:v>
      </x:c>
      <x:c r="AX40">
        <x:f>IF(I40="","",LOG10(I40+1))</x:f>
        <x:v>5.139882233451297</x:v>
      </x:c>
      <x:c r="AY40" s="10">
        <x:f>IF(AX40="","",IF(MAX($AX$2:$AX$252)-MIN($AX$2:$AX$252)=0,"",(AX40-MIN($AX$2:$AX$252))/(MAX($AX$2:$AX$252)-MIN($AX$2:$AX$252))*100))</x:f>
      </x:c>
      <x:c r="AZ40">
        <x:f>IF(J40="","",LOG10(J40+1))</x:f>
      </x:c>
      <x:c r="BA40" s="10">
        <x:f>IF(AZ40="","",IF(MAX($AZ$2:$AZ$252)-MIN($AZ$2:$AZ$252)=0,"",(AZ40-MIN($AZ$2:$AZ$252))/(MAX($AZ$2:$AZ$252)-MIN($AZ$2:$AZ$252))*100))</x:f>
      </x:c>
      <x:c r="BB40">
        <x:f>IF(K40="","",LOG10(K40+1))</x:f>
      </x:c>
      <x:c r="BC40" s="10">
        <x:f>IF(BB40="","",IF(MAX($BB$2:$BB$252)-MIN($BB$2:$BB$252)=0,"",(BB40-MIN($BB$2:$BB$252))/(MAX($BB$2:$BB$252)-MIN($BB$2:$BB$252))*100))</x:f>
      </x:c>
      <x:c r="BD40">
        <x:f>IF(L40="","",LOG10(L40+1))</x:f>
      </x:c>
      <x:c r="BE40" s="10">
        <x:f>IF(BD40="","",IF(MAX($BD$2:$BD$252)-MIN($BD$2:$BD$252)=0,"",(BD40-MIN($BD$2:$BD$252))/(MAX($BD$2:$BD$252)-MIN($BD$2:$BD$252))*100))</x:f>
      </x:c>
      <x:c r="BF40" s="10">
        <x:f>IF(P40="","",IF(MAX($P$2:$P$252)-MIN($P$2:$P$252)=0,"",(P40-MIN($P$2:$P$252))/(MAX($P$2:$P$252)-MIN($P$2:$P$252))*100))</x:f>
      </x:c>
      <x:c r="BG40">
        <x:f>IF(AF40="","",LOG10(AF40+1))</x:f>
      </x:c>
      <x:c r="BH40" s="10">
        <x:f>IF(BG40="","",IF(MAX($BG$2:$BG$252)-MIN($BG$2:$BG$252)=0,"",(BG40-MIN($BG$2:$BG$252))/(MAX($BG$2:$BG$252)-MIN($BG$2:$BG$252))*100))</x:f>
      </x:c>
      <x:c r="BI40">
        <x:f>IF(AC40="","",LOG10(AC40+1))</x:f>
      </x:c>
      <x:c r="BJ40" s="10">
        <x:f>IF(BI40="","",IF(MAX($BI$2:$BI$252)-MIN($BI$2:$BI$252)=0,"",(BI40-MIN($BI$2:$BI$252))/(MAX($BI$2:$BI$252)-MIN($BI$2:$BI$252))*100))</x:f>
      </x:c>
      <x:c r="BK40">
        <x:f>IF(AD40="","",(AD40*2)+(AE40*1))</x:f>
      </x:c>
      <x:c r="BL40" s="10">
        <x:f>IF(BK40="","",IF(MAX($BK$2:$BK$252)-MIN($BK$2:$BK$252)=0,"",(BK40-MIN($BK$2:$BK$252))/(MAX($BK$2:$BK$252)-MIN($BK$2:$BK$252))*100))</x:f>
      </x:c>
      <x:c r="BM40" s="10">
        <x:f>IF(AB40="","",IF(MAX($AB$2:$AB$252)-MIN($AB$2:$AB$252)=0,"",(AB40-MIN($AB$2:$AB$252))/(MAX($AB$2:$AB$252)-MIN($AB$2:$AB$252))*100))</x:f>
      </x:c>
      <x:c r="BN40" s="10">
        <x:f>IF(X40="","",X40)</x:f>
      </x:c>
      <x:c r="BO40" s="10">
        <x:f>IF(X40="","",100-X40)</x:f>
      </x:c>
      <x:c r="BP40" s="10">
        <x:f>IF((Weights!$C$2*IF(BH40="",0,1)+Weights!$C$3*IF(BJ40="",0,1)+Weights!$C$4*IF(BL40="",0,1))=0,"",(Weights!$C$2*IF(BH40="",0,BH40)+Weights!$C$3*IF(BJ40="",0,BJ40)+Weights!$C$4*IF(BL40="",0,BL40))/(Weights!$C$2*IF(BH40="",0,1)+Weights!$C$3*IF(BJ40="",0,1)+Weights!$C$4*IF(BL40="",0,1)))</x:f>
      </x:c>
      <x:c r="BQ40" s="10">
        <x:f>IF((Weights!$C$5*IF(BA40="",0,1)+Weights!$C$6*IF(AW40="",0,1)+Weights!$C$7*IF(AU40="",0,1))=0,"",(Weights!$C$5*IF(BA40="",0,BA40)+Weights!$C$6*IF(AW40="",0,AW40)+Weights!$C$7*IF(AU40="",0,AU40))/(Weights!$C$5*IF(BA40="",0,1)+Weights!$C$6*IF(AW40="",0,1)+Weights!$C$7*IF(AU40="",0,1)))</x:f>
      </x:c>
      <x:c r="BR40" s="10">
        <x:f>IF((Weights!$C$8*IF(AW40="",0,1)+Weights!$C$9*IF(BC40="",0,1)+Weights!$C$10*IF(BF40="",0,1))=0,"",(Weights!$C$8*IF(AW40="",0,AW40)+Weights!$C$9*IF(BC40="",0,BC40)+Weights!$C$10*IF(BF40="",0,BF40))/(Weights!$C$8*IF(AW40="",0,1)+Weights!$C$9*IF(BC40="",0,1)+Weights!$C$10*IF(BF40="",0,1)))</x:f>
      </x:c>
      <x:c r="BS40" s="10">
        <x:f>IF(Y40="","",Y40)</x:f>
      </x:c>
      <x:c r="BT40" s="10">
        <x:f>IF(AS40="","",AS40)</x:f>
      </x:c>
      <x:c r="BU40" s="10">
        <x:f>IF(AJ40&lt;&gt;"",(0.6*AJ40+0.4*AU40),IF((Weights!$C$11*IF(AU40="",0,1)+Weights!$C$12*IF(BM40="",0,1))=0,"",(Weights!$C$11*IF(AU40="",0,AU40)+Weights!$C$12*IF(BM40="",0,BM40))/(Weights!$C$11*IF(AU40="",0,1)+Weights!$C$12*IF(BM40="",0,1))))</x:f>
      </x:c>
      <x:c r="BV40" s="10">
        <x:f>IF(CG40="",0,CG40)</x:f>
      </x:c>
      <x:c r="BW40" s="10">
        <x:f>IF(AP40="","",AP40)</x:f>
      </x:c>
      <x:c r="BX40" s="10">
        <x:f>IF(AO40="","",AO40)</x:f>
      </x:c>
      <x:c r="BY40" s="10">
        <x:f>IF(AL40="","",AL40)</x:f>
      </x:c>
      <x:c r="BZ40" s="10">
        <x:f>IF(AM40="","",AM40)</x:f>
      </x:c>
      <x:c r="CA40" s="10">
        <x:f>IF(AK40&lt;&gt;"",AK40,AW40)</x:f>
      </x:c>
      <x:c r="CB40" s="10">
        <x:f>IF((Weights!$C$13*IF(BP40="",0,1)+Weights!$C$14*IF(BR40="",0,1)+Weights!$C$15*IF(BQ40="",0,1)+Weights!$C$16*IF(BS40="",0,1)+Weights!$C$17*IF(BU40="",0,1)+Weights!$C$18*IF(BT40="",0,1)+Weights!$C$19*IF(BW40="",0,1)+Weights!$C$20*IF(BZ40="",0,1)+Weights!$C$21*IF(BO40="",0,1)+Weights!$C$22)=0,"",(Weights!$C$13*IF(BP40="",0,BP40)+Weights!$C$14*IF(BR40="",0,BR40)+Weights!$C$15*IF(BQ40="",0,BQ40)+Weights!$C$16*IF(BS40="",0,BS40)+Weights!$C$17*IF(BU40="",0,BU40)+Weights!$C$18*IF(BT40="",0,BT40)+Weights!$C$19*IF(BW40="",0,BW40)+Weights!$C$20*IF(BZ40="",0,BZ40)+Weights!$C$21*IF(BO40="",0,BO40)+Weights!$C$22*BV40)/(Weights!$C$13*IF(BP40="",0,1)+Weights!$C$14*IF(BR40="",0,1)+Weights!$C$15*IF(BQ40="",0,1)+Weights!$C$16*IF(BS40="",0,1)+Weights!$C$17*IF(BU40="",0,1)+Weights!$C$18*IF(BT40="",0,1)+Weights!$C$19*IF(BW40="",0,1)+Weights!$C$20*IF(BZ40="",0,1)+Weights!$C$21*IF(BO40="",0,1)+Weights!$C$22))</x:f>
      </x:c>
      <x:c r="CC40" s="10">
        <x:f>IF((Weights!$C$23*IF(BQ40="",0,1)+Weights!$C$24*IF(BN40="",0,1)+Weights!$C$25*IF(BS40="",0,1)+Weights!$C$26*IF(BY40="",0,1)+Weights!$C$27*IF(BX40="",0,1)+Weights!$C$28*IF(BT40="",0,1)+Weights!$C$29*IF(CA40="",0,1)+Weights!$C$30+Weights!$C$31*IF(BU40="",0,1))=0,"",(Weights!$C$23*IF(BQ40="",0,BQ40)+Weights!$C$24*IF(BN40="",0,BN40)+Weights!$C$25*IF(BS40="",0,BS40)+Weights!$C$26*IF(BY40="",0,BY40)+Weights!$C$27*IF(BX40="",0,BX40)+Weights!$C$28*IF(BT40="",0,BT40)+Weights!$C$29*IF(CA40="",0,CA40)+Weights!$C$30*BV40+Weights!$C$31*IF(BU40="",0,BU40))/(Weights!$C$23*IF(BQ40="",0,1)+Weights!$C$24*IF(BN40="",0,1)+Weights!$C$25*IF(BS40="",0,1)+Weights!$C$26*IF(BY40="",0,1)+Weights!$C$27*IF(BX40="",0,1)+Weights!$C$28*IF(BT40="",0,1)+Weights!$C$29*IF(CA40="",0,1)+Weights!$C$30+Weights!$C$31*IF(BU40="",0,1)))</x:f>
      </x:c>
      <x:c r="CD40" s="10">
        <x:f>IF(AND(CB40="",CC40=""),"",IF(CB40="",CC40,IF(CC40="",CB40,AVERAGE(CB40,CC40))))</x:f>
      </x:c>
      <x:c r="CE40" s="7">
        <x:f>ROUND(100*((IF(BP40&lt;&gt;"",1,0)+IF(BQ40&lt;&gt;"",1,0)+IF(BR40&lt;&gt;"",1,0)+IF(BS40&lt;&gt;"",1,0)+IF(BU40&lt;&gt;"",1,0)+IF(BT40&lt;&gt;"",1,0)+IF(BN40&lt;&gt;"",1,0)+IF(AW40&lt;&gt;"",1,0))/8),0)</x:f>
      </x:c>
      <x:c r="CF40">
        <x:f>IF(V40="","",LOG10(V40+1))</x:f>
      </x:c>
      <x:c r="CG40">
        <x:f>IF(CF40="","",IF(MAX($CF$2:$CF$252)-MIN($CF$2:$CF$252)=0,"",(CF40-MIN($CF$2:$CF$252))/(MAX($CF$2:$CF$252)-MIN($CF$2:$CF$252))*100))</x:f>
      </x:c>
    </x:row>
    <x:row r="41">
      <x:c r="A41" t="inlineStr">
        <x:is>
          <x:t xml:space="preserve">NPL</x:t>
        </x:is>
      </x:c>
      <x:c r="B41" t="inlineStr">
        <x:is>
          <x:t xml:space="preserve">Nepal</x:t>
        </x:is>
      </x:c>
      <x:c r="C41" t="inlineStr">
        <x:is>
          <x:t xml:space="preserve">South Asia</x:t>
        </x:is>
      </x:c>
      <x:c r="D41" t="inlineStr">
        <x:is>
          <x:t xml:space="preserve">Lower middle income</x:t>
        </x:is>
      </x:c>
      <x:c r="E41" t="inlineStr">
        <x:is>
          <x:t xml:space="preserve">Asia</x:t>
        </x:is>
      </x:c>
      <x:c r="F41" t="n">
        <x:v>2024</x:v>
      </x:c>
      <x:c r="G41" t="n">
        <x:v>29651054</x:v>
      </x:c>
      <x:c r="H41" t="n">
        <x:v>2020</x:v>
      </x:c>
      <x:c r="I41" t="n">
        <x:v>112000</x:v>
      </x:c>
      <x:c r="J41" t="n">
        <x:v>72800</x:v>
      </x:c>
      <x:c r="K41" t="n">
        <x:v>22400</x:v>
      </x:c>
      <x:c r="L41" t="n">
        <x:v>13440</x:v>
      </x:c>
      <x:c r="M41" t="n">
        <x:v>2024</x:v>
      </x:c>
      <x:c r="N41" s="8" t="n">
        <x:v>426517834.461529</x:v>
      </x:c>
      <x:c r="O41" s="9" t="n">
        <x:v>0.9794524741860841</x:v>
      </x:c>
      <x:c r="P41" s="8" t="n">
        <x:v>3808.194950549366</x:v>
      </x:c>
      <x:c r="Q41" t="n">
        <x:v>2024</x:v>
      </x:c>
      <x:c r="R41" s="8" t="n">
        <x:v>42914268286.7109</x:v>
      </x:c>
      <x:c r="S41" t="n">
        <x:v>1</x:v>
      </x:c>
      <x:c r="T41" t="n">
        <x:v>0</x:v>
      </x:c>
      <x:c r="U41" t="inlineStr">
        <x:is>
          <x:t xml:space="preserve">No</x:t>
        </x:is>
      </x:c>
      <x:c r="W41" t="inlineStr">
        <x:is>
          <x:t xml:space="preserve">No</x:t>
        </x:is>
      </x:c>
      <x:c r="X41" t="n">
        <x:v>15.4065708707884</x:v>
      </x:c>
      <x:c r="Y41" t="n">
        <x:v>39.90338046047668</x:v>
      </x:c>
      <x:c r="Z41" t="n">
        <x:v>150706.871321559</x:v>
      </x:c>
      <x:c r="AA41" t="n">
        <x:v>194.9764913990124</x:v>
      </x:c>
      <x:c r="AB41" s="8" t="n">
        <x:v>2433.953073643382</x:v>
      </x:c>
      <x:c r="AI41" t="n">
        <x:v>5</x:v>
      </x:c>
      <x:c r="AJ41" t="n">
        <x:v>1</x:v>
      </x:c>
      <x:c r="AK41" t="n">
        <x:v>3</x:v>
      </x:c>
      <x:c r="AL41" t="n">
        <x:v>17.7</x:v>
      </x:c>
      <x:c r="AM41" t="n">
        <x:v>1.6</x:v>
      </x:c>
      <x:c r="AN41" t="n">
        <x:v>0.9</x:v>
      </x:c>
      <x:c r="AO41" t="n">
        <x:v>3.7</x:v>
      </x:c>
      <x:c r="AP41" t="n">
        <x:v>13.5</x:v>
      </x:c>
      <x:c r="AQ41" t="n">
        <x:v>5</x:v>
      </x:c>
      <x:c r="AR41">
        <x:f>IF(G41="","",LOG10(G41+1))</x:f>
        <x:v>7.472040150399341</x:v>
      </x:c>
      <x:c r="AS41" s="10">
        <x:f>IF(AR41="","",IF(MAX($AR$2:$AR$252)-MIN($AR$2:$AR$252)=0,"",(AR41-MIN($AR$2:$AR$252))/(MAX($AR$2:$AR$252)-MIN($AR$2:$AR$252))*100))</x:f>
        <x:v>89.30627701382735</x:v>
      </x:c>
      <x:c r="AT41">
        <x:f>IF(R41="","",LOG10(R41+1))</x:f>
        <x:v>10.632601711960124</x:v>
      </x:c>
      <x:c r="AU41" s="10">
        <x:f>IF(AT41="","",IF(MAX($AT$2:$AT$252)-MIN($AT$2:$AT$252)=0,"",(AT41-MIN($AT$2:$AT$252))/(MAX($AT$2:$AT$252)-MIN($AT$2:$AT$252))*100))</x:f>
        <x:v>83.91444488289835</x:v>
      </x:c>
      <x:c r="AV41">
        <x:f>IF(N41="","",LOG10(N41+1))</x:f>
        <x:v>8.629937196536531</x:v>
      </x:c>
      <x:c r="AW41" s="10">
        <x:f>IF(AV41="","",IF(MAX($AV$2:$AV$252)-MIN($AV$2:$AV$252)=0,"",(AV41-MIN($AV$2:$AV$252))/(MAX($AV$2:$AV$252)-MIN($AV$2:$AV$252))*100))</x:f>
        <x:v>78.83568648148771</x:v>
      </x:c>
      <x:c r="AX41">
        <x:f>IF(I41="","",LOG10(I41+1))</x:f>
        <x:v>5.049221900282173</x:v>
      </x:c>
      <x:c r="AY41" s="10">
        <x:f>IF(AX41="","",IF(MAX($AX$2:$AX$252)-MIN($AX$2:$AX$252)=0,"",(AX41-MIN($AX$2:$AX$252))/(MAX($AX$2:$AX$252)-MIN($AX$2:$AX$252))*100))</x:f>
      </x:c>
      <x:c r="AZ41">
        <x:f>IF(J41="","",LOG10(J41+1))</x:f>
      </x:c>
      <x:c r="BA41" s="10">
        <x:f>IF(AZ41="","",IF(MAX($AZ$2:$AZ$252)-MIN($AZ$2:$AZ$252)=0,"",(AZ41-MIN($AZ$2:$AZ$252))/(MAX($AZ$2:$AZ$252)-MIN($AZ$2:$AZ$252))*100))</x:f>
      </x:c>
      <x:c r="BB41">
        <x:f>IF(K41="","",LOG10(K41+1))</x:f>
      </x:c>
      <x:c r="BC41" s="10">
        <x:f>IF(BB41="","",IF(MAX($BB$2:$BB$252)-MIN($BB$2:$BB$252)=0,"",(BB41-MIN($BB$2:$BB$252))/(MAX($BB$2:$BB$252)-MIN($BB$2:$BB$252))*100))</x:f>
      </x:c>
      <x:c r="BD41">
        <x:f>IF(L41="","",LOG10(L41+1))</x:f>
      </x:c>
      <x:c r="BE41" s="10">
        <x:f>IF(BD41="","",IF(MAX($BD$2:$BD$252)-MIN($BD$2:$BD$252)=0,"",(BD41-MIN($BD$2:$BD$252))/(MAX($BD$2:$BD$252)-MIN($BD$2:$BD$252))*100))</x:f>
      </x:c>
      <x:c r="BF41" s="10">
        <x:f>IF(P41="","",IF(MAX($P$2:$P$252)-MIN($P$2:$P$252)=0,"",(P41-MIN($P$2:$P$252))/(MAX($P$2:$P$252)-MIN($P$2:$P$252))*100))</x:f>
      </x:c>
      <x:c r="BG41">
        <x:f>IF(AF41="","",LOG10(AF41+1))</x:f>
      </x:c>
      <x:c r="BH41" s="10">
        <x:f>IF(BG41="","",IF(MAX($BG$2:$BG$252)-MIN($BG$2:$BG$252)=0,"",(BG41-MIN($BG$2:$BG$252))/(MAX($BG$2:$BG$252)-MIN($BG$2:$BG$252))*100))</x:f>
      </x:c>
      <x:c r="BI41">
        <x:f>IF(AC41="","",LOG10(AC41+1))</x:f>
      </x:c>
      <x:c r="BJ41" s="10">
        <x:f>IF(BI41="","",IF(MAX($BI$2:$BI$252)-MIN($BI$2:$BI$252)=0,"",(BI41-MIN($BI$2:$BI$252))/(MAX($BI$2:$BI$252)-MIN($BI$2:$BI$252))*100))</x:f>
      </x:c>
      <x:c r="BK41">
        <x:f>IF(AD41="","",(AD41*2)+(AE41*1))</x:f>
      </x:c>
      <x:c r="BL41" s="10">
        <x:f>IF(BK41="","",IF(MAX($BK$2:$BK$252)-MIN($BK$2:$BK$252)=0,"",(BK41-MIN($BK$2:$BK$252))/(MAX($BK$2:$BK$252)-MIN($BK$2:$BK$252))*100))</x:f>
      </x:c>
      <x:c r="BM41" s="10">
        <x:f>IF(AB41="","",IF(MAX($AB$2:$AB$252)-MIN($AB$2:$AB$252)=0,"",(AB41-MIN($AB$2:$AB$252))/(MAX($AB$2:$AB$252)-MIN($AB$2:$AB$252))*100))</x:f>
      </x:c>
      <x:c r="BN41" s="10">
        <x:f>IF(X41="","",X41)</x:f>
      </x:c>
      <x:c r="BO41" s="10">
        <x:f>IF(X41="","",100-X41)</x:f>
      </x:c>
      <x:c r="BP41" s="10">
        <x:f>IF((Weights!$C$2*IF(BH41="",0,1)+Weights!$C$3*IF(BJ41="",0,1)+Weights!$C$4*IF(BL41="",0,1))=0,"",(Weights!$C$2*IF(BH41="",0,BH41)+Weights!$C$3*IF(BJ41="",0,BJ41)+Weights!$C$4*IF(BL41="",0,BL41))/(Weights!$C$2*IF(BH41="",0,1)+Weights!$C$3*IF(BJ41="",0,1)+Weights!$C$4*IF(BL41="",0,1)))</x:f>
      </x:c>
      <x:c r="BQ41" s="10">
        <x:f>IF((Weights!$C$5*IF(BA41="",0,1)+Weights!$C$6*IF(AW41="",0,1)+Weights!$C$7*IF(AU41="",0,1))=0,"",(Weights!$C$5*IF(BA41="",0,BA41)+Weights!$C$6*IF(AW41="",0,AW41)+Weights!$C$7*IF(AU41="",0,AU41))/(Weights!$C$5*IF(BA41="",0,1)+Weights!$C$6*IF(AW41="",0,1)+Weights!$C$7*IF(AU41="",0,1)))</x:f>
      </x:c>
      <x:c r="BR41" s="10">
        <x:f>IF((Weights!$C$8*IF(AW41="",0,1)+Weights!$C$9*IF(BC41="",0,1)+Weights!$C$10*IF(BF41="",0,1))=0,"",(Weights!$C$8*IF(AW41="",0,AW41)+Weights!$C$9*IF(BC41="",0,BC41)+Weights!$C$10*IF(BF41="",0,BF41))/(Weights!$C$8*IF(AW41="",0,1)+Weights!$C$9*IF(BC41="",0,1)+Weights!$C$10*IF(BF41="",0,1)))</x:f>
      </x:c>
      <x:c r="BS41" s="10">
        <x:f>IF(Y41="","",Y41)</x:f>
      </x:c>
      <x:c r="BT41" s="10">
        <x:f>IF(AS41="","",AS41)</x:f>
      </x:c>
      <x:c r="BU41" s="10">
        <x:f>IF(AJ41&lt;&gt;"",(0.6*AJ41+0.4*AU41),IF((Weights!$C$11*IF(AU41="",0,1)+Weights!$C$12*IF(BM41="",0,1))=0,"",(Weights!$C$11*IF(AU41="",0,AU41)+Weights!$C$12*IF(BM41="",0,BM41))/(Weights!$C$11*IF(AU41="",0,1)+Weights!$C$12*IF(BM41="",0,1))))</x:f>
      </x:c>
      <x:c r="BV41" s="10">
        <x:f>IF(CG41="",0,CG41)</x:f>
      </x:c>
      <x:c r="BW41" s="10">
        <x:f>IF(AP41="","",AP41)</x:f>
      </x:c>
      <x:c r="BX41" s="10">
        <x:f>IF(AO41="","",AO41)</x:f>
      </x:c>
      <x:c r="BY41" s="10">
        <x:f>IF(AL41="","",AL41)</x:f>
      </x:c>
      <x:c r="BZ41" s="10">
        <x:f>IF(AM41="","",AM41)</x:f>
      </x:c>
      <x:c r="CA41" s="10">
        <x:f>IF(AK41&lt;&gt;"",AK41,AW41)</x:f>
      </x:c>
      <x:c r="CB41" s="10">
        <x:f>IF((Weights!$C$13*IF(BP41="",0,1)+Weights!$C$14*IF(BR41="",0,1)+Weights!$C$15*IF(BQ41="",0,1)+Weights!$C$16*IF(BS41="",0,1)+Weights!$C$17*IF(BU41="",0,1)+Weights!$C$18*IF(BT41="",0,1)+Weights!$C$19*IF(BW41="",0,1)+Weights!$C$20*IF(BZ41="",0,1)+Weights!$C$21*IF(BO41="",0,1)+Weights!$C$22)=0,"",(Weights!$C$13*IF(BP41="",0,BP41)+Weights!$C$14*IF(BR41="",0,BR41)+Weights!$C$15*IF(BQ41="",0,BQ41)+Weights!$C$16*IF(BS41="",0,BS41)+Weights!$C$17*IF(BU41="",0,BU41)+Weights!$C$18*IF(BT41="",0,BT41)+Weights!$C$19*IF(BW41="",0,BW41)+Weights!$C$20*IF(BZ41="",0,BZ41)+Weights!$C$21*IF(BO41="",0,BO41)+Weights!$C$22*BV41)/(Weights!$C$13*IF(BP41="",0,1)+Weights!$C$14*IF(BR41="",0,1)+Weights!$C$15*IF(BQ41="",0,1)+Weights!$C$16*IF(BS41="",0,1)+Weights!$C$17*IF(BU41="",0,1)+Weights!$C$18*IF(BT41="",0,1)+Weights!$C$19*IF(BW41="",0,1)+Weights!$C$20*IF(BZ41="",0,1)+Weights!$C$21*IF(BO41="",0,1)+Weights!$C$22))</x:f>
      </x:c>
      <x:c r="CC41" s="10">
        <x:f>IF((Weights!$C$23*IF(BQ41="",0,1)+Weights!$C$24*IF(BN41="",0,1)+Weights!$C$25*IF(BS41="",0,1)+Weights!$C$26*IF(BY41="",0,1)+Weights!$C$27*IF(BX41="",0,1)+Weights!$C$28*IF(BT41="",0,1)+Weights!$C$29*IF(CA41="",0,1)+Weights!$C$30+Weights!$C$31*IF(BU41="",0,1))=0,"",(Weights!$C$23*IF(BQ41="",0,BQ41)+Weights!$C$24*IF(BN41="",0,BN41)+Weights!$C$25*IF(BS41="",0,BS41)+Weights!$C$26*IF(BY41="",0,BY41)+Weights!$C$27*IF(BX41="",0,BX41)+Weights!$C$28*IF(BT41="",0,BT41)+Weights!$C$29*IF(CA41="",0,CA41)+Weights!$C$30*BV41+Weights!$C$31*IF(BU41="",0,BU41))/(Weights!$C$23*IF(BQ41="",0,1)+Weights!$C$24*IF(BN41="",0,1)+Weights!$C$25*IF(BS41="",0,1)+Weights!$C$26*IF(BY41="",0,1)+Weights!$C$27*IF(BX41="",0,1)+Weights!$C$28*IF(BT41="",0,1)+Weights!$C$29*IF(CA41="",0,1)+Weights!$C$30+Weights!$C$31*IF(BU41="",0,1)))</x:f>
      </x:c>
      <x:c r="CD41" s="10">
        <x:f>IF(AND(CB41="",CC41=""),"",IF(CB41="",CC41,IF(CC41="",CB41,AVERAGE(CB41,CC41))))</x:f>
      </x:c>
      <x:c r="CE41" s="7">
        <x:f>ROUND(100*((IF(BP41&lt;&gt;"",1,0)+IF(BQ41&lt;&gt;"",1,0)+IF(BR41&lt;&gt;"",1,0)+IF(BS41&lt;&gt;"",1,0)+IF(BU41&lt;&gt;"",1,0)+IF(BT41&lt;&gt;"",1,0)+IF(BN41&lt;&gt;"",1,0)+IF(AW41&lt;&gt;"",1,0))/8),0)</x:f>
      </x:c>
      <x:c r="CF41">
        <x:f>IF(V41="","",LOG10(V41+1))</x:f>
      </x:c>
      <x:c r="CG41">
        <x:f>IF(CF41="","",IF(MAX($CF$2:$CF$252)-MIN($CF$2:$CF$252)=0,"",(CF41-MIN($CF$2:$CF$252))/(MAX($CF$2:$CF$252)-MIN($CF$2:$CF$252))*100))</x:f>
      </x:c>
    </x:row>
    <x:row r="42">
      <x:c r="A42" t="inlineStr">
        <x:is>
          <x:t xml:space="preserve">DEU</x:t>
        </x:is>
      </x:c>
      <x:c r="B42" t="inlineStr">
        <x:is>
          <x:t xml:space="preserve">Germany</x:t>
        </x:is>
      </x:c>
      <x:c r="C42" t="inlineStr">
        <x:is>
          <x:t xml:space="preserve">Europe &amp; Central Asia</x:t>
        </x:is>
      </x:c>
      <x:c r="D42" t="inlineStr">
        <x:is>
          <x:t xml:space="preserve">High income</x:t>
        </x:is>
      </x:c>
      <x:c r="E42" t="inlineStr">
        <x:is>
          <x:t xml:space="preserve">Europe</x:t>
        </x:is>
      </x:c>
      <x:c r="F42" t="n">
        <x:v>2024</x:v>
      </x:c>
      <x:c r="G42" t="n">
        <x:v>83516593</x:v>
      </x:c>
      <x:c r="H42" t="n">
        <x:v>2020</x:v>
      </x:c>
      <x:c r="I42" t="n">
        <x:v>183000</x:v>
      </x:c>
      <x:c r="J42" t="n">
        <x:v>118950</x:v>
      </x:c>
      <x:c r="K42" t="n">
        <x:v>36600</x:v>
      </x:c>
      <x:c r="L42" t="n">
        <x:v>21960</x:v>
      </x:c>
      <x:c r="M42" t="n">
        <x:v>2024</x:v>
      </x:c>
      <x:c r="N42" s="8" t="n">
        <x:v>88458476389.51089</x:v>
      </x:c>
      <x:c r="O42" s="9" t="n">
        <x:v>1.89190377205494</x:v>
      </x:c>
      <x:c r="P42" s="8" t="n">
        <x:v>483379.6524016989</x:v>
      </x:c>
      <x:c r="Q42" t="n">
        <x:v>2024</x:v>
      </x:c>
      <x:c r="R42" s="8" t="n">
        <x:v>4685592577804.69</x:v>
      </x:c>
      <x:c r="S42" t="n">
        <x:v>50</x:v>
      </x:c>
      <x:c r="T42" t="n">
        <x:v>8</x:v>
      </x:c>
      <x:c r="U42" t="inlineStr">
        <x:is>
          <x:t xml:space="preserve">No</x:t>
        </x:is>
      </x:c>
      <x:c r="W42" t="inlineStr">
        <x:is>
          <x:t xml:space="preserve">No</x:t>
        </x:is>
      </x:c>
      <x:c r="X42" t="n">
        <x:v>14.57214742488231</x:v>
      </x:c>
      <x:c r="Y42" t="n">
        <x:v>84.8864555027228</x:v>
      </x:c>
      <x:c r="Z42" t="n">
        <x:v>357430.3412065656</x:v>
      </x:c>
      <x:c r="AA42" t="n">
        <x:v>225.4817448567503</x:v>
      </x:c>
      <x:c r="AB42" s="8" t="n">
        <x:v>49370.91049823214</x:v>
      </x:c>
      <x:c r="AC42" t="n">
        <x:v>64</x:v>
      </x:c>
      <x:c r="AD42" t="n">
        <x:v>0</x:v>
      </x:c>
      <x:c r="AE42" t="n">
        <x:v>0</x:v>
      </x:c>
      <x:c r="AF42" t="n">
        <x:v>54.7</x:v>
      </x:c>
      <x:c r="AG42" t="n">
        <x:v>34</x:v>
      </x:c>
      <x:c r="AH42" t="n">
        <x:v>18</x:v>
      </x:c>
      <x:c r="AR42">
        <x:f>IF(G42="","",LOG10(G42+1))</x:f>
        <x:v>7.921772774485201</x:v>
      </x:c>
      <x:c r="AS42" s="10">
        <x:f>IF(AR42="","",IF(MAX($AR$2:$AR$252)-MIN($AR$2:$AR$252)=0,"",(AR42-MIN($AR$2:$AR$252))/(MAX($AR$2:$AR$252)-MIN($AR$2:$AR$252))*100))</x:f>
        <x:v>94.68150861059824</x:v>
      </x:c>
      <x:c r="AT42">
        <x:f>IF(R42="","",LOG10(R42+1))</x:f>
        <x:v>12.670764523077997</x:v>
      </x:c>
      <x:c r="AU42" s="10">
        <x:f>IF(AT42="","",IF(MAX($AT$2:$AT$252)-MIN($AT$2:$AT$252)=0,"",(AT42-MIN($AT$2:$AT$252))/(MAX($AT$2:$AT$252)-MIN($AT$2:$AT$252))*100))</x:f>
        <x:v>100</x:v>
      </x:c>
      <x:c r="AV42">
        <x:f>IF(N42="","",LOG10(N42+1))</x:f>
        <x:v>10.946739454806451</x:v>
      </x:c>
      <x:c r="AW42" s="10">
        <x:f>IF(AV42="","",IF(MAX($AV$2:$AV$252)-MIN($AV$2:$AV$252)=0,"",(AV42-MIN($AV$2:$AV$252))/(MAX($AV$2:$AV$252)-MIN($AV$2:$AV$252))*100))</x:f>
        <x:v>100</x:v>
      </x:c>
      <x:c r="AX42">
        <x:f>IF(I42="","",LOG10(I42+1))</x:f>
        <x:v>5.2624534629178354</x:v>
      </x:c>
      <x:c r="AY42" s="10">
        <x:f>IF(AX42="","",IF(MAX($AX$2:$AX$252)-MIN($AX$2:$AX$252)=0,"",(AX42-MIN($AX$2:$AX$252))/(MAX($AX$2:$AX$252)-MIN($AX$2:$AX$252))*100))</x:f>
      </x:c>
      <x:c r="AZ42">
        <x:f>IF(J42="","",LOG10(J42+1))</x:f>
      </x:c>
      <x:c r="BA42" s="10">
        <x:f>IF(AZ42="","",IF(MAX($AZ$2:$AZ$252)-MIN($AZ$2:$AZ$252)=0,"",(AZ42-MIN($AZ$2:$AZ$252))/(MAX($AZ$2:$AZ$252)-MIN($AZ$2:$AZ$252))*100))</x:f>
      </x:c>
      <x:c r="BB42">
        <x:f>IF(K42="","",LOG10(K42+1))</x:f>
      </x:c>
      <x:c r="BC42" s="10">
        <x:f>IF(BB42="","",IF(MAX($BB$2:$BB$252)-MIN($BB$2:$BB$252)=0,"",(BB42-MIN($BB$2:$BB$252))/(MAX($BB$2:$BB$252)-MIN($BB$2:$BB$252))*100))</x:f>
      </x:c>
      <x:c r="BD42">
        <x:f>IF(L42="","",LOG10(L42+1))</x:f>
      </x:c>
      <x:c r="BE42" s="10">
        <x:f>IF(BD42="","",IF(MAX($BD$2:$BD$252)-MIN($BD$2:$BD$252)=0,"",(BD42-MIN($BD$2:$BD$252))/(MAX($BD$2:$BD$252)-MIN($BD$2:$BD$252))*100))</x:f>
      </x:c>
      <x:c r="BF42" s="10">
        <x:f>IF(P42="","",IF(MAX($P$2:$P$252)-MIN($P$2:$P$252)=0,"",(P42-MIN($P$2:$P$252))/(MAX($P$2:$P$252)-MIN($P$2:$P$252))*100))</x:f>
      </x:c>
      <x:c r="BG42">
        <x:f>IF(AF42="","",LOG10(AF42+1))</x:f>
      </x:c>
      <x:c r="BH42" s="10">
        <x:f>IF(BG42="","",IF(MAX($BG$2:$BG$252)-MIN($BG$2:$BG$252)=0,"",(BG42-MIN($BG$2:$BG$252))/(MAX($BG$2:$BG$252)-MIN($BG$2:$BG$252))*100))</x:f>
      </x:c>
      <x:c r="BI42">
        <x:f>IF(AC42="","",LOG10(AC42+1))</x:f>
      </x:c>
      <x:c r="BJ42" s="10">
        <x:f>IF(BI42="","",IF(MAX($BI$2:$BI$252)-MIN($BI$2:$BI$252)=0,"",(BI42-MIN($BI$2:$BI$252))/(MAX($BI$2:$BI$252)-MIN($BI$2:$BI$252))*100))</x:f>
      </x:c>
      <x:c r="BK42">
        <x:f>IF(AD42="","",(AD42*2)+(AE42*1))</x:f>
      </x:c>
      <x:c r="BL42" s="10">
        <x:f>IF(BK42="","",IF(MAX($BK$2:$BK$252)-MIN($BK$2:$BK$252)=0,"",(BK42-MIN($BK$2:$BK$252))/(MAX($BK$2:$BK$252)-MIN($BK$2:$BK$252))*100))</x:f>
      </x:c>
      <x:c r="BM42" s="10">
        <x:f>IF(AB42="","",IF(MAX($AB$2:$AB$252)-MIN($AB$2:$AB$252)=0,"",(AB42-MIN($AB$2:$AB$252))/(MAX($AB$2:$AB$252)-MIN($AB$2:$AB$252))*100))</x:f>
      </x:c>
      <x:c r="BN42" s="10">
        <x:f>IF(X42="","",X42)</x:f>
      </x:c>
      <x:c r="BO42" s="10">
        <x:f>IF(X42="","",100-X42)</x:f>
      </x:c>
      <x:c r="BP42" s="10">
        <x:f>IF((Weights!$C$2*IF(BH42="",0,1)+Weights!$C$3*IF(BJ42="",0,1)+Weights!$C$4*IF(BL42="",0,1))=0,"",(Weights!$C$2*IF(BH42="",0,BH42)+Weights!$C$3*IF(BJ42="",0,BJ42)+Weights!$C$4*IF(BL42="",0,BL42))/(Weights!$C$2*IF(BH42="",0,1)+Weights!$C$3*IF(BJ42="",0,1)+Weights!$C$4*IF(BL42="",0,1)))</x:f>
      </x:c>
      <x:c r="BQ42" s="10">
        <x:f>IF((Weights!$C$5*IF(BA42="",0,1)+Weights!$C$6*IF(AW42="",0,1)+Weights!$C$7*IF(AU42="",0,1))=0,"",(Weights!$C$5*IF(BA42="",0,BA42)+Weights!$C$6*IF(AW42="",0,AW42)+Weights!$C$7*IF(AU42="",0,AU42))/(Weights!$C$5*IF(BA42="",0,1)+Weights!$C$6*IF(AW42="",0,1)+Weights!$C$7*IF(AU42="",0,1)))</x:f>
      </x:c>
      <x:c r="BR42" s="10">
        <x:f>IF((Weights!$C$8*IF(AW42="",0,1)+Weights!$C$9*IF(BC42="",0,1)+Weights!$C$10*IF(BF42="",0,1))=0,"",(Weights!$C$8*IF(AW42="",0,AW42)+Weights!$C$9*IF(BC42="",0,BC42)+Weights!$C$10*IF(BF42="",0,BF42))/(Weights!$C$8*IF(AW42="",0,1)+Weights!$C$9*IF(BC42="",0,1)+Weights!$C$10*IF(BF42="",0,1)))</x:f>
      </x:c>
      <x:c r="BS42" s="10">
        <x:f>IF(Y42="","",Y42)</x:f>
      </x:c>
      <x:c r="BT42" s="10">
        <x:f>IF(AS42="","",AS42)</x:f>
      </x:c>
      <x:c r="BU42" s="10">
        <x:f>IF(AJ42&lt;&gt;"",(0.6*AJ42+0.4*AU42),IF((Weights!$C$11*IF(AU42="",0,1)+Weights!$C$12*IF(BM42="",0,1))=0,"",(Weights!$C$11*IF(AU42="",0,AU42)+Weights!$C$12*IF(BM42="",0,BM42))/(Weights!$C$11*IF(AU42="",0,1)+Weights!$C$12*IF(BM42="",0,1))))</x:f>
      </x:c>
      <x:c r="BV42" s="10">
        <x:f>IF(CG42="",0,CG42)</x:f>
      </x:c>
      <x:c r="BW42" s="10">
        <x:f>IF(AP42="","",AP42)</x:f>
      </x:c>
      <x:c r="BX42" s="10">
        <x:f>IF(AO42="","",AO42)</x:f>
      </x:c>
      <x:c r="BY42" s="10">
        <x:f>IF(AL42="","",AL42)</x:f>
      </x:c>
      <x:c r="BZ42" s="10">
        <x:f>IF(AM42="","",AM42)</x:f>
      </x:c>
      <x:c r="CA42" s="10">
        <x:f>IF(AK42&lt;&gt;"",AK42,AW42)</x:f>
      </x:c>
      <x:c r="CB42" s="10">
        <x:f>IF((Weights!$C$13*IF(BP42="",0,1)+Weights!$C$14*IF(BR42="",0,1)+Weights!$C$15*IF(BQ42="",0,1)+Weights!$C$16*IF(BS42="",0,1)+Weights!$C$17*IF(BU42="",0,1)+Weights!$C$18*IF(BT42="",0,1)+Weights!$C$19*IF(BW42="",0,1)+Weights!$C$20*IF(BZ42="",0,1)+Weights!$C$21*IF(BO42="",0,1)+Weights!$C$22)=0,"",(Weights!$C$13*IF(BP42="",0,BP42)+Weights!$C$14*IF(BR42="",0,BR42)+Weights!$C$15*IF(BQ42="",0,BQ42)+Weights!$C$16*IF(BS42="",0,BS42)+Weights!$C$17*IF(BU42="",0,BU42)+Weights!$C$18*IF(BT42="",0,BT42)+Weights!$C$19*IF(BW42="",0,BW42)+Weights!$C$20*IF(BZ42="",0,BZ42)+Weights!$C$21*IF(BO42="",0,BO42)+Weights!$C$22*BV42)/(Weights!$C$13*IF(BP42="",0,1)+Weights!$C$14*IF(BR42="",0,1)+Weights!$C$15*IF(BQ42="",0,1)+Weights!$C$16*IF(BS42="",0,1)+Weights!$C$17*IF(BU42="",0,1)+Weights!$C$18*IF(BT42="",0,1)+Weights!$C$19*IF(BW42="",0,1)+Weights!$C$20*IF(BZ42="",0,1)+Weights!$C$21*IF(BO42="",0,1)+Weights!$C$22))</x:f>
      </x:c>
      <x:c r="CC42" s="10">
        <x:f>IF((Weights!$C$23*IF(BQ42="",0,1)+Weights!$C$24*IF(BN42="",0,1)+Weights!$C$25*IF(BS42="",0,1)+Weights!$C$26*IF(BY42="",0,1)+Weights!$C$27*IF(BX42="",0,1)+Weights!$C$28*IF(BT42="",0,1)+Weights!$C$29*IF(CA42="",0,1)+Weights!$C$30+Weights!$C$31*IF(BU42="",0,1))=0,"",(Weights!$C$23*IF(BQ42="",0,BQ42)+Weights!$C$24*IF(BN42="",0,BN42)+Weights!$C$25*IF(BS42="",0,BS42)+Weights!$C$26*IF(BY42="",0,BY42)+Weights!$C$27*IF(BX42="",0,BX42)+Weights!$C$28*IF(BT42="",0,BT42)+Weights!$C$29*IF(CA42="",0,CA42)+Weights!$C$30*BV42+Weights!$C$31*IF(BU42="",0,BU42))/(Weights!$C$23*IF(BQ42="",0,1)+Weights!$C$24*IF(BN42="",0,1)+Weights!$C$25*IF(BS42="",0,1)+Weights!$C$26*IF(BY42="",0,1)+Weights!$C$27*IF(BX42="",0,1)+Weights!$C$28*IF(BT42="",0,1)+Weights!$C$29*IF(CA42="",0,1)+Weights!$C$30+Weights!$C$31*IF(BU42="",0,1)))</x:f>
      </x:c>
      <x:c r="CD42" s="10">
        <x:f>IF(AND(CB42="",CC42=""),"",IF(CB42="",CC42,IF(CC42="",CB42,AVERAGE(CB42,CC42))))</x:f>
      </x:c>
      <x:c r="CE42" s="7">
        <x:f>ROUND(100*((IF(BP42&lt;&gt;"",1,0)+IF(BQ42&lt;&gt;"",1,0)+IF(BR42&lt;&gt;"",1,0)+IF(BS42&lt;&gt;"",1,0)+IF(BU42&lt;&gt;"",1,0)+IF(BT42&lt;&gt;"",1,0)+IF(BN42&lt;&gt;"",1,0)+IF(AW42&lt;&gt;"",1,0))/8),0)</x:f>
      </x:c>
      <x:c r="CF42">
        <x:f>IF(V42="","",LOG10(V42+1))</x:f>
      </x:c>
      <x:c r="CG42">
        <x:f>IF(CF42="","",IF(MAX($CF$2:$CF$252)-MIN($CF$2:$CF$252)=0,"",(CF42-MIN($CF$2:$CF$252))/(MAX($CF$2:$CF$252)-MIN($CF$2:$CF$252))*100))</x:f>
      </x:c>
    </x:row>
    <x:row r="43">
      <x:c r="A43" t="inlineStr">
        <x:is>
          <x:t xml:space="preserve">NGA</x:t>
        </x:is>
      </x:c>
      <x:c r="B43" t="inlineStr">
        <x:is>
          <x:t xml:space="preserve">Nigeria</x:t>
        </x:is>
      </x:c>
      <x:c r="C43" t="inlineStr">
        <x:is>
          <x:t xml:space="preserve">Sub-Saharan Africa</x:t>
        </x:is>
      </x:c>
      <x:c r="D43" t="inlineStr">
        <x:is>
          <x:t xml:space="preserve">Lower middle income</x:t>
        </x:is>
      </x:c>
      <x:c r="E43" t="inlineStr">
        <x:is>
          <x:t xml:space="preserve">Africa</x:t>
        </x:is>
      </x:c>
      <x:c r="F43" t="n">
        <x:v>2024</x:v>
      </x:c>
      <x:c r="G43" t="n">
        <x:v>232679478</x:v>
      </x:c>
      <x:c r="H43" t="n">
        <x:v>2020</x:v>
      </x:c>
      <x:c r="I43" t="n">
        <x:v>223000</x:v>
      </x:c>
      <x:c r="J43" t="n">
        <x:v>144950</x:v>
      </x:c>
      <x:c r="K43" t="n">
        <x:v>44600</x:v>
      </x:c>
      <x:c r="L43" t="n">
        <x:v>26760</x:v>
      </x:c>
      <x:c r="M43" t="n">
        <x:v>2024</x:v>
      </x:c>
      <x:c r="N43" s="8" t="n">
        <x:v>1133303623.27648</x:v>
      </x:c>
      <x:c r="O43" s="9" t="n">
        <x:v>0.555429367236392</x:v>
      </x:c>
      <x:c r="P43" s="8" t="n">
        <x:v>5082.07902814565</x:v>
      </x:c>
      <x:c r="Q43" t="n">
        <x:v>2024</x:v>
      </x:c>
      <x:c r="R43" s="8" t="n">
        <x:v>252261880141.151</x:v>
      </x:c>
      <x:c r="S43" t="n">
        <x:v>3</x:v>
      </x:c>
      <x:c r="T43" t="n">
        <x:v>0</x:v>
      </x:c>
      <x:c r="U43" t="inlineStr">
        <x:is>
          <x:t xml:space="preserve">No</x:t>
        </x:is>
      </x:c>
      <x:c r="W43" t="inlineStr">
        <x:is>
          <x:t xml:space="preserve">No</x:t>
        </x:is>
      </x:c>
      <x:c r="X43" t="n">
        <x:v>7.562467546638101</x:v>
      </x:c>
      <x:c r="Y43" t="n">
        <x:v>52.87882111950027</x:v>
      </x:c>
      <x:c r="Z43" t="n">
        <x:v>905071.7391719524</x:v>
      </x:c>
      <x:c r="AA43" t="n">
        <x:v>210.6266859844822</x:v>
      </x:c>
      <x:c r="AB43" s="8" t="n">
        <x:v>5712.56929067216</x:v>
      </x:c>
      <x:c r="AC43" t="n">
        <x:v>133</x:v>
      </x:c>
      <x:c r="AD43" t="n">
        <x:v>0</x:v>
      </x:c>
      <x:c r="AE43" t="n">
        <x:v>0</x:v>
      </x:c>
      <x:c r="AR43">
        <x:f>IF(G43="","",LOG10(G43+1))</x:f>
        <x:v>8.366758082684871</x:v>
      </x:c>
      <x:c r="AS43" s="10">
        <x:f>IF(AR43="","",IF(MAX($AR$2:$AR$252)-MIN($AR$2:$AR$252)=0,"",(AR43-MIN($AR$2:$AR$252))/(MAX($AR$2:$AR$252)-MIN($AR$2:$AR$252))*100))</x:f>
        <x:v>100</x:v>
      </x:c>
      <x:c r="AT43">
        <x:f>IF(R43="","",LOG10(R43+1))</x:f>
        <x:v>11.401851628263504</x:v>
      </x:c>
      <x:c r="AU43" s="10">
        <x:f>IF(AT43="","",IF(MAX($AT$2:$AT$252)-MIN($AT$2:$AT$252)=0,"",(AT43-MIN($AT$2:$AT$252))/(MAX($AT$2:$AT$252)-MIN($AT$2:$AT$252))*100))</x:f>
        <x:v>89.98550645856177</x:v>
      </x:c>
      <x:c r="AV43">
        <x:f>IF(N43="","",LOG10(N43+1))</x:f>
        <x:v>9.054346277632678</x:v>
      </x:c>
      <x:c r="AW43" s="10">
        <x:f>IF(AV43="","",IF(MAX($AV$2:$AV$252)-MIN($AV$2:$AV$252)=0,"",(AV43-MIN($AV$2:$AV$252))/(MAX($AV$2:$AV$252)-MIN($AV$2:$AV$252))*100))</x:f>
        <x:v>82.71272295292579</x:v>
      </x:c>
      <x:c r="AX43">
        <x:f>IF(I43="","",LOG10(I43+1))</x:f>
        <x:v>5.348306810552681</x:v>
      </x:c>
      <x:c r="AY43" s="10">
        <x:f>IF(AX43="","",IF(MAX($AX$2:$AX$252)-MIN($AX$2:$AX$252)=0,"",(AX43-MIN($AX$2:$AX$252))/(MAX($AX$2:$AX$252)-MIN($AX$2:$AX$252))*100))</x:f>
      </x:c>
      <x:c r="AZ43">
        <x:f>IF(J43="","",LOG10(J43+1))</x:f>
      </x:c>
      <x:c r="BA43" s="10">
        <x:f>IF(AZ43="","",IF(MAX($AZ$2:$AZ$252)-MIN($AZ$2:$AZ$252)=0,"",(AZ43-MIN($AZ$2:$AZ$252))/(MAX($AZ$2:$AZ$252)-MIN($AZ$2:$AZ$252))*100))</x:f>
      </x:c>
      <x:c r="BB43">
        <x:f>IF(K43="","",LOG10(K43+1))</x:f>
      </x:c>
      <x:c r="BC43" s="10">
        <x:f>IF(BB43="","",IF(MAX($BB$2:$BB$252)-MIN($BB$2:$BB$252)=0,"",(BB43-MIN($BB$2:$BB$252))/(MAX($BB$2:$BB$252)-MIN($BB$2:$BB$252))*100))</x:f>
      </x:c>
      <x:c r="BD43">
        <x:f>IF(L43="","",LOG10(L43+1))</x:f>
      </x:c>
      <x:c r="BE43" s="10">
        <x:f>IF(BD43="","",IF(MAX($BD$2:$BD$252)-MIN($BD$2:$BD$252)=0,"",(BD43-MIN($BD$2:$BD$252))/(MAX($BD$2:$BD$252)-MIN($BD$2:$BD$252))*100))</x:f>
      </x:c>
      <x:c r="BF43" s="10">
        <x:f>IF(P43="","",IF(MAX($P$2:$P$252)-MIN($P$2:$P$252)=0,"",(P43-MIN($P$2:$P$252))/(MAX($P$2:$P$252)-MIN($P$2:$P$252))*100))</x:f>
      </x:c>
      <x:c r="BG43">
        <x:f>IF(AF43="","",LOG10(AF43+1))</x:f>
      </x:c>
      <x:c r="BH43" s="10">
        <x:f>IF(BG43="","",IF(MAX($BG$2:$BG$252)-MIN($BG$2:$BG$252)=0,"",(BG43-MIN($BG$2:$BG$252))/(MAX($BG$2:$BG$252)-MIN($BG$2:$BG$252))*100))</x:f>
      </x:c>
      <x:c r="BI43">
        <x:f>IF(AC43="","",LOG10(AC43+1))</x:f>
      </x:c>
      <x:c r="BJ43" s="10">
        <x:f>IF(BI43="","",IF(MAX($BI$2:$BI$252)-MIN($BI$2:$BI$252)=0,"",(BI43-MIN($BI$2:$BI$252))/(MAX($BI$2:$BI$252)-MIN($BI$2:$BI$252))*100))</x:f>
      </x:c>
      <x:c r="BK43">
        <x:f>IF(AD43="","",(AD43*2)+(AE43*1))</x:f>
      </x:c>
      <x:c r="BL43" s="10">
        <x:f>IF(BK43="","",IF(MAX($BK$2:$BK$252)-MIN($BK$2:$BK$252)=0,"",(BK43-MIN($BK$2:$BK$252))/(MAX($BK$2:$BK$252)-MIN($BK$2:$BK$252))*100))</x:f>
      </x:c>
      <x:c r="BM43" s="10">
        <x:f>IF(AB43="","",IF(MAX($AB$2:$AB$252)-MIN($AB$2:$AB$252)=0,"",(AB43-MIN($AB$2:$AB$252))/(MAX($AB$2:$AB$252)-MIN($AB$2:$AB$252))*100))</x:f>
      </x:c>
      <x:c r="BN43" s="10">
        <x:f>IF(X43="","",X43)</x:f>
      </x:c>
      <x:c r="BO43" s="10">
        <x:f>IF(X43="","",100-X43)</x:f>
      </x:c>
      <x:c r="BP43" s="10">
        <x:f>IF((Weights!$C$2*IF(BH43="",0,1)+Weights!$C$3*IF(BJ43="",0,1)+Weights!$C$4*IF(BL43="",0,1))=0,"",(Weights!$C$2*IF(BH43="",0,BH43)+Weights!$C$3*IF(BJ43="",0,BJ43)+Weights!$C$4*IF(BL43="",0,BL43))/(Weights!$C$2*IF(BH43="",0,1)+Weights!$C$3*IF(BJ43="",0,1)+Weights!$C$4*IF(BL43="",0,1)))</x:f>
      </x:c>
      <x:c r="BQ43" s="10">
        <x:f>IF((Weights!$C$5*IF(BA43="",0,1)+Weights!$C$6*IF(AW43="",0,1)+Weights!$C$7*IF(AU43="",0,1))=0,"",(Weights!$C$5*IF(BA43="",0,BA43)+Weights!$C$6*IF(AW43="",0,AW43)+Weights!$C$7*IF(AU43="",0,AU43))/(Weights!$C$5*IF(BA43="",0,1)+Weights!$C$6*IF(AW43="",0,1)+Weights!$C$7*IF(AU43="",0,1)))</x:f>
      </x:c>
      <x:c r="BR43" s="10">
        <x:f>IF((Weights!$C$8*IF(AW43="",0,1)+Weights!$C$9*IF(BC43="",0,1)+Weights!$C$10*IF(BF43="",0,1))=0,"",(Weights!$C$8*IF(AW43="",0,AW43)+Weights!$C$9*IF(BC43="",0,BC43)+Weights!$C$10*IF(BF43="",0,BF43))/(Weights!$C$8*IF(AW43="",0,1)+Weights!$C$9*IF(BC43="",0,1)+Weights!$C$10*IF(BF43="",0,1)))</x:f>
      </x:c>
      <x:c r="BS43" s="10">
        <x:f>IF(Y43="","",Y43)</x:f>
      </x:c>
      <x:c r="BT43" s="10">
        <x:f>IF(AS43="","",AS43)</x:f>
      </x:c>
      <x:c r="BU43" s="10">
        <x:f>IF(AJ43&lt;&gt;"",(0.6*AJ43+0.4*AU43),IF((Weights!$C$11*IF(AU43="",0,1)+Weights!$C$12*IF(BM43="",0,1))=0,"",(Weights!$C$11*IF(AU43="",0,AU43)+Weights!$C$12*IF(BM43="",0,BM43))/(Weights!$C$11*IF(AU43="",0,1)+Weights!$C$12*IF(BM43="",0,1))))</x:f>
      </x:c>
      <x:c r="BV43" s="10">
        <x:f>IF(CG43="",0,CG43)</x:f>
      </x:c>
      <x:c r="BW43" s="10">
        <x:f>IF(AP43="","",AP43)</x:f>
      </x:c>
      <x:c r="BX43" s="10">
        <x:f>IF(AO43="","",AO43)</x:f>
      </x:c>
      <x:c r="BY43" s="10">
        <x:f>IF(AL43="","",AL43)</x:f>
      </x:c>
      <x:c r="BZ43" s="10">
        <x:f>IF(AM43="","",AM43)</x:f>
      </x:c>
      <x:c r="CA43" s="10">
        <x:f>IF(AK43&lt;&gt;"",AK43,AW43)</x:f>
      </x:c>
      <x:c r="CB43" s="10">
        <x:f>IF((Weights!$C$13*IF(BP43="",0,1)+Weights!$C$14*IF(BR43="",0,1)+Weights!$C$15*IF(BQ43="",0,1)+Weights!$C$16*IF(BS43="",0,1)+Weights!$C$17*IF(BU43="",0,1)+Weights!$C$18*IF(BT43="",0,1)+Weights!$C$19*IF(BW43="",0,1)+Weights!$C$20*IF(BZ43="",0,1)+Weights!$C$21*IF(BO43="",0,1)+Weights!$C$22)=0,"",(Weights!$C$13*IF(BP43="",0,BP43)+Weights!$C$14*IF(BR43="",0,BR43)+Weights!$C$15*IF(BQ43="",0,BQ43)+Weights!$C$16*IF(BS43="",0,BS43)+Weights!$C$17*IF(BU43="",0,BU43)+Weights!$C$18*IF(BT43="",0,BT43)+Weights!$C$19*IF(BW43="",0,BW43)+Weights!$C$20*IF(BZ43="",0,BZ43)+Weights!$C$21*IF(BO43="",0,BO43)+Weights!$C$22*BV43)/(Weights!$C$13*IF(BP43="",0,1)+Weights!$C$14*IF(BR43="",0,1)+Weights!$C$15*IF(BQ43="",0,1)+Weights!$C$16*IF(BS43="",0,1)+Weights!$C$17*IF(BU43="",0,1)+Weights!$C$18*IF(BT43="",0,1)+Weights!$C$19*IF(BW43="",0,1)+Weights!$C$20*IF(BZ43="",0,1)+Weights!$C$21*IF(BO43="",0,1)+Weights!$C$22))</x:f>
      </x:c>
      <x:c r="CC43" s="10">
        <x:f>IF((Weights!$C$23*IF(BQ43="",0,1)+Weights!$C$24*IF(BN43="",0,1)+Weights!$C$25*IF(BS43="",0,1)+Weights!$C$26*IF(BY43="",0,1)+Weights!$C$27*IF(BX43="",0,1)+Weights!$C$28*IF(BT43="",0,1)+Weights!$C$29*IF(CA43="",0,1)+Weights!$C$30+Weights!$C$31*IF(BU43="",0,1))=0,"",(Weights!$C$23*IF(BQ43="",0,BQ43)+Weights!$C$24*IF(BN43="",0,BN43)+Weights!$C$25*IF(BS43="",0,BS43)+Weights!$C$26*IF(BY43="",0,BY43)+Weights!$C$27*IF(BX43="",0,BX43)+Weights!$C$28*IF(BT43="",0,BT43)+Weights!$C$29*IF(CA43="",0,CA43)+Weights!$C$30*BV43+Weights!$C$31*IF(BU43="",0,BU43))/(Weights!$C$23*IF(BQ43="",0,1)+Weights!$C$24*IF(BN43="",0,1)+Weights!$C$25*IF(BS43="",0,1)+Weights!$C$26*IF(BY43="",0,1)+Weights!$C$27*IF(BX43="",0,1)+Weights!$C$28*IF(BT43="",0,1)+Weights!$C$29*IF(CA43="",0,1)+Weights!$C$30+Weights!$C$31*IF(BU43="",0,1)))</x:f>
      </x:c>
      <x:c r="CD43" s="10">
        <x:f>IF(AND(CB43="",CC43=""),"",IF(CB43="",CC43,IF(CC43="",CB43,AVERAGE(CB43,CC43))))</x:f>
      </x:c>
      <x:c r="CE43" s="7">
        <x:f>ROUND(100*((IF(BP43&lt;&gt;"",1,0)+IF(BQ43&lt;&gt;"",1,0)+IF(BR43&lt;&gt;"",1,0)+IF(BS43&lt;&gt;"",1,0)+IF(BU43&lt;&gt;"",1,0)+IF(BT43&lt;&gt;"",1,0)+IF(BN43&lt;&gt;"",1,0)+IF(AW43&lt;&gt;"",1,0))/8),0)</x:f>
      </x:c>
      <x:c r="CF43">
        <x:f>IF(V43="","",LOG10(V43+1))</x:f>
      </x:c>
      <x:c r="CG43">
        <x:f>IF(CF43="","",IF(MAX($CF$2:$CF$252)-MIN($CF$2:$CF$252)=0,"",(CF43-MIN($CF$2:$CF$252))/(MAX($CF$2:$CF$252)-MIN($CF$2:$CF$252))*100))</x:f>
      </x:c>
    </x:row>
    <x:row r="44">
      <x:c r="A44" t="inlineStr">
        <x:is>
          <x:t xml:space="preserve">SOM</x:t>
        </x:is>
      </x:c>
      <x:c r="B44" t="inlineStr">
        <x:is>
          <x:t xml:space="preserve">Somalia, Fed. Rep.</x:t>
        </x:is>
      </x:c>
      <x:c r="C44" t="inlineStr">
        <x:is>
          <x:t xml:space="preserve">Sub-Saharan Africa</x:t>
        </x:is>
      </x:c>
      <x:c r="D44" t="inlineStr">
        <x:is>
          <x:t xml:space="preserve">Low income</x:t>
        </x:is>
      </x:c>
      <x:c r="E44" t="inlineStr">
        <x:is>
          <x:t xml:space="preserve">Africa</x:t>
        </x:is>
      </x:c>
      <x:c r="F44" t="n">
        <x:v>2024</x:v>
      </x:c>
      <x:c r="G44" t="n">
        <x:v>19009151</x:v>
      </x:c>
      <x:c r="H44" t="n">
        <x:v>2020</x:v>
      </x:c>
      <x:c r="I44" t="n">
        <x:v>14000</x:v>
      </x:c>
      <x:c r="J44" t="n">
        <x:v>9100</x:v>
      </x:c>
      <x:c r="K44" t="n">
        <x:v>2800</x:v>
      </x:c>
      <x:c r="L44" t="n">
        <x:v>1680</x:v>
      </x:c>
      <x:c r="M44" t="n">
        <x:v>2024</x:v>
      </x:c>
      <x:c r="N44" s="8" t="n">
        <x:v>201854000</x:v>
      </x:c>
      <x:c r="O44" s="9" t="n">
        <x:v>1.58578050121769</x:v>
      </x:c>
      <x:c r="P44" s="8" t="n">
        <x:v>14418.14285714286</x:v>
      </x:c>
      <x:c r="Q44" t="n">
        <x:v>2024</x:v>
      </x:c>
      <x:c r="R44" s="8" t="n">
        <x:v>11967000000</x:v>
      </x:c>
      <x:c r="S44" t="n">
        <x:v>0</x:v>
      </x:c>
      <x:c r="T44" t="n">
        <x:v>0</x:v>
      </x:c>
      <x:c r="U44" t="inlineStr">
        <x:is>
          <x:t xml:space="preserve">No</x:t>
        </x:is>
      </x:c>
      <x:c r="W44" t="inlineStr">
        <x:is>
          <x:t xml:space="preserve">No</x:t>
        </x:is>
      </x:c>
      <x:c r="X44" t="n">
        <x:v>22.56560117331973</x:v>
      </x:c>
      <x:c r="Y44" t="n">
        <x:v>4.52049748874922</x:v>
      </x:c>
      <x:c r="Z44" t="n">
        <x:v>484332.7929846783</x:v>
      </x:c>
      <x:c r="AA44" t="n">
        <x:v>15.55002285430269</x:v>
      </x:c>
      <x:c r="AB44" s="8" t="n">
        <x:v>626.5778968173986</x:v>
      </x:c>
      <x:c r="AC44" t="n">
        <x:v>11</x:v>
      </x:c>
      <x:c r="AD44" t="n">
        <x:v>0</x:v>
      </x:c>
      <x:c r="AE44" t="n">
        <x:v>0</x:v>
      </x:c>
      <x:c r="AR44">
        <x:f>IF(G44="","",LOG10(G44+1))</x:f>
        <x:v>7.2789627433812205</x:v>
      </x:c>
      <x:c r="AS44" s="10">
        <x:f>IF(AR44="","",IF(MAX($AR$2:$AR$252)-MIN($AR$2:$AR$252)=0,"",(AR44-MIN($AR$2:$AR$252))/(MAX($AR$2:$AR$252)-MIN($AR$2:$AR$252))*100))</x:f>
        <x:v>86.99860413611266</x:v>
      </x:c>
      <x:c r="AT44">
        <x:f>IF(R44="","",LOG10(R44+1))</x:f>
        <x:v>10.077985291065792</x:v>
      </x:c>
      <x:c r="AU44" s="10">
        <x:f>IF(AT44="","",IF(MAX($AT$2:$AT$252)-MIN($AT$2:$AT$252)=0,"",(AT44-MIN($AT$2:$AT$252))/(MAX($AT$2:$AT$252)-MIN($AT$2:$AT$252))*100))</x:f>
        <x:v>79.53731026024651</x:v>
      </x:c>
      <x:c r="AV44">
        <x:f>IF(N44="","",LOG10(N44+1))</x:f>
        <x:v>8.30503736209412</x:v>
      </x:c>
      <x:c r="AW44" s="10">
        <x:f>IF(AV44="","",IF(MAX($AV$2:$AV$252)-MIN($AV$2:$AV$252)=0,"",(AV44-MIN($AV$2:$AV$252))/(MAX($AV$2:$AV$252)-MIN($AV$2:$AV$252))*100))</x:f>
        <x:v>75.86768093258652</x:v>
      </x:c>
      <x:c r="AX44">
        <x:f>IF(I44="","",LOG10(I44+1))</x:f>
        <x:v>4.146159055604818</x:v>
      </x:c>
      <x:c r="AY44" s="10">
        <x:f>IF(AX44="","",IF(MAX($AX$2:$AX$252)-MIN($AX$2:$AX$252)=0,"",(AX44-MIN($AX$2:$AX$252))/(MAX($AX$2:$AX$252)-MIN($AX$2:$AX$252))*100))</x:f>
      </x:c>
      <x:c r="AZ44">
        <x:f>IF(J44="","",LOG10(J44+1))</x:f>
      </x:c>
      <x:c r="BA44" s="10">
        <x:f>IF(AZ44="","",IF(MAX($AZ$2:$AZ$252)-MIN($AZ$2:$AZ$252)=0,"",(AZ44-MIN($AZ$2:$AZ$252))/(MAX($AZ$2:$AZ$252)-MIN($AZ$2:$AZ$252))*100))</x:f>
      </x:c>
      <x:c r="BB44">
        <x:f>IF(K44="","",LOG10(K44+1))</x:f>
      </x:c>
      <x:c r="BC44" s="10">
        <x:f>IF(BB44="","",IF(MAX($BB$2:$BB$252)-MIN($BB$2:$BB$252)=0,"",(BB44-MIN($BB$2:$BB$252))/(MAX($BB$2:$BB$252)-MIN($BB$2:$BB$252))*100))</x:f>
      </x:c>
      <x:c r="BD44">
        <x:f>IF(L44="","",LOG10(L44+1))</x:f>
      </x:c>
      <x:c r="BE44" s="10">
        <x:f>IF(BD44="","",IF(MAX($BD$2:$BD$252)-MIN($BD$2:$BD$252)=0,"",(BD44-MIN($BD$2:$BD$252))/(MAX($BD$2:$BD$252)-MIN($BD$2:$BD$252))*100))</x:f>
      </x:c>
      <x:c r="BF44" s="10">
        <x:f>IF(P44="","",IF(MAX($P$2:$P$252)-MIN($P$2:$P$252)=0,"",(P44-MIN($P$2:$P$252))/(MAX($P$2:$P$252)-MIN($P$2:$P$252))*100))</x:f>
      </x:c>
      <x:c r="BG44">
        <x:f>IF(AF44="","",LOG10(AF44+1))</x:f>
      </x:c>
      <x:c r="BH44" s="10">
        <x:f>IF(BG44="","",IF(MAX($BG$2:$BG$252)-MIN($BG$2:$BG$252)=0,"",(BG44-MIN($BG$2:$BG$252))/(MAX($BG$2:$BG$252)-MIN($BG$2:$BG$252))*100))</x:f>
      </x:c>
      <x:c r="BI44">
        <x:f>IF(AC44="","",LOG10(AC44+1))</x:f>
      </x:c>
      <x:c r="BJ44" s="10">
        <x:f>IF(BI44="","",IF(MAX($BI$2:$BI$252)-MIN($BI$2:$BI$252)=0,"",(BI44-MIN($BI$2:$BI$252))/(MAX($BI$2:$BI$252)-MIN($BI$2:$BI$252))*100))</x:f>
      </x:c>
      <x:c r="BK44">
        <x:f>IF(AD44="","",(AD44*2)+(AE44*1))</x:f>
      </x:c>
      <x:c r="BL44" s="10">
        <x:f>IF(BK44="","",IF(MAX($BK$2:$BK$252)-MIN($BK$2:$BK$252)=0,"",(BK44-MIN($BK$2:$BK$252))/(MAX($BK$2:$BK$252)-MIN($BK$2:$BK$252))*100))</x:f>
      </x:c>
      <x:c r="BM44" s="10">
        <x:f>IF(AB44="","",IF(MAX($AB$2:$AB$252)-MIN($AB$2:$AB$252)=0,"",(AB44-MIN($AB$2:$AB$252))/(MAX($AB$2:$AB$252)-MIN($AB$2:$AB$252))*100))</x:f>
      </x:c>
      <x:c r="BN44" s="10">
        <x:f>IF(X44="","",X44)</x:f>
      </x:c>
      <x:c r="BO44" s="10">
        <x:f>IF(X44="","",100-X44)</x:f>
      </x:c>
      <x:c r="BP44" s="10">
        <x:f>IF((Weights!$C$2*IF(BH44="",0,1)+Weights!$C$3*IF(BJ44="",0,1)+Weights!$C$4*IF(BL44="",0,1))=0,"",(Weights!$C$2*IF(BH44="",0,BH44)+Weights!$C$3*IF(BJ44="",0,BJ44)+Weights!$C$4*IF(BL44="",0,BL44))/(Weights!$C$2*IF(BH44="",0,1)+Weights!$C$3*IF(BJ44="",0,1)+Weights!$C$4*IF(BL44="",0,1)))</x:f>
      </x:c>
      <x:c r="BQ44" s="10">
        <x:f>IF((Weights!$C$5*IF(BA44="",0,1)+Weights!$C$6*IF(AW44="",0,1)+Weights!$C$7*IF(AU44="",0,1))=0,"",(Weights!$C$5*IF(BA44="",0,BA44)+Weights!$C$6*IF(AW44="",0,AW44)+Weights!$C$7*IF(AU44="",0,AU44))/(Weights!$C$5*IF(BA44="",0,1)+Weights!$C$6*IF(AW44="",0,1)+Weights!$C$7*IF(AU44="",0,1)))</x:f>
      </x:c>
      <x:c r="BR44" s="10">
        <x:f>IF((Weights!$C$8*IF(AW44="",0,1)+Weights!$C$9*IF(BC44="",0,1)+Weights!$C$10*IF(BF44="",0,1))=0,"",(Weights!$C$8*IF(AW44="",0,AW44)+Weights!$C$9*IF(BC44="",0,BC44)+Weights!$C$10*IF(BF44="",0,BF44))/(Weights!$C$8*IF(AW44="",0,1)+Weights!$C$9*IF(BC44="",0,1)+Weights!$C$10*IF(BF44="",0,1)))</x:f>
      </x:c>
      <x:c r="BS44" s="10">
        <x:f>IF(Y44="","",Y44)</x:f>
      </x:c>
      <x:c r="BT44" s="10">
        <x:f>IF(AS44="","",AS44)</x:f>
      </x:c>
      <x:c r="BU44" s="10">
        <x:f>IF(AJ44&lt;&gt;"",(0.6*AJ44+0.4*AU44),IF((Weights!$C$11*IF(AU44="",0,1)+Weights!$C$12*IF(BM44="",0,1))=0,"",(Weights!$C$11*IF(AU44="",0,AU44)+Weights!$C$12*IF(BM44="",0,BM44))/(Weights!$C$11*IF(AU44="",0,1)+Weights!$C$12*IF(BM44="",0,1))))</x:f>
      </x:c>
      <x:c r="BV44" s="10">
        <x:f>IF(CG44="",0,CG44)</x:f>
      </x:c>
      <x:c r="BW44" s="10">
        <x:f>IF(AP44="","",AP44)</x:f>
      </x:c>
      <x:c r="BX44" s="10">
        <x:f>IF(AO44="","",AO44)</x:f>
      </x:c>
      <x:c r="BY44" s="10">
        <x:f>IF(AL44="","",AL44)</x:f>
      </x:c>
      <x:c r="BZ44" s="10">
        <x:f>IF(AM44="","",AM44)</x:f>
      </x:c>
      <x:c r="CA44" s="10">
        <x:f>IF(AK44&lt;&gt;"",AK44,AW44)</x:f>
      </x:c>
      <x:c r="CB44" s="10">
        <x:f>IF((Weights!$C$13*IF(BP44="",0,1)+Weights!$C$14*IF(BR44="",0,1)+Weights!$C$15*IF(BQ44="",0,1)+Weights!$C$16*IF(BS44="",0,1)+Weights!$C$17*IF(BU44="",0,1)+Weights!$C$18*IF(BT44="",0,1)+Weights!$C$19*IF(BW44="",0,1)+Weights!$C$20*IF(BZ44="",0,1)+Weights!$C$21*IF(BO44="",0,1)+Weights!$C$22)=0,"",(Weights!$C$13*IF(BP44="",0,BP44)+Weights!$C$14*IF(BR44="",0,BR44)+Weights!$C$15*IF(BQ44="",0,BQ44)+Weights!$C$16*IF(BS44="",0,BS44)+Weights!$C$17*IF(BU44="",0,BU44)+Weights!$C$18*IF(BT44="",0,BT44)+Weights!$C$19*IF(BW44="",0,BW44)+Weights!$C$20*IF(BZ44="",0,BZ44)+Weights!$C$21*IF(BO44="",0,BO44)+Weights!$C$22*BV44)/(Weights!$C$13*IF(BP44="",0,1)+Weights!$C$14*IF(BR44="",0,1)+Weights!$C$15*IF(BQ44="",0,1)+Weights!$C$16*IF(BS44="",0,1)+Weights!$C$17*IF(BU44="",0,1)+Weights!$C$18*IF(BT44="",0,1)+Weights!$C$19*IF(BW44="",0,1)+Weights!$C$20*IF(BZ44="",0,1)+Weights!$C$21*IF(BO44="",0,1)+Weights!$C$22))</x:f>
      </x:c>
      <x:c r="CC44" s="10">
        <x:f>IF((Weights!$C$23*IF(BQ44="",0,1)+Weights!$C$24*IF(BN44="",0,1)+Weights!$C$25*IF(BS44="",0,1)+Weights!$C$26*IF(BY44="",0,1)+Weights!$C$27*IF(BX44="",0,1)+Weights!$C$28*IF(BT44="",0,1)+Weights!$C$29*IF(CA44="",0,1)+Weights!$C$30+Weights!$C$31*IF(BU44="",0,1))=0,"",(Weights!$C$23*IF(BQ44="",0,BQ44)+Weights!$C$24*IF(BN44="",0,BN44)+Weights!$C$25*IF(BS44="",0,BS44)+Weights!$C$26*IF(BY44="",0,BY44)+Weights!$C$27*IF(BX44="",0,BX44)+Weights!$C$28*IF(BT44="",0,BT44)+Weights!$C$29*IF(CA44="",0,CA44)+Weights!$C$30*BV44+Weights!$C$31*IF(BU44="",0,BU44))/(Weights!$C$23*IF(BQ44="",0,1)+Weights!$C$24*IF(BN44="",0,1)+Weights!$C$25*IF(BS44="",0,1)+Weights!$C$26*IF(BY44="",0,1)+Weights!$C$27*IF(BX44="",0,1)+Weights!$C$28*IF(BT44="",0,1)+Weights!$C$29*IF(CA44="",0,1)+Weights!$C$30+Weights!$C$31*IF(BU44="",0,1)))</x:f>
      </x:c>
      <x:c r="CD44" s="10">
        <x:f>IF(AND(CB44="",CC44=""),"",IF(CB44="",CC44,IF(CC44="",CB44,AVERAGE(CB44,CC44))))</x:f>
      </x:c>
      <x:c r="CE44" s="7">
        <x:f>ROUND(100*((IF(BP44&lt;&gt;"",1,0)+IF(BQ44&lt;&gt;"",1,0)+IF(BR44&lt;&gt;"",1,0)+IF(BS44&lt;&gt;"",1,0)+IF(BU44&lt;&gt;"",1,0)+IF(BT44&lt;&gt;"",1,0)+IF(BN44&lt;&gt;"",1,0)+IF(AW44&lt;&gt;"",1,0))/8),0)</x:f>
      </x:c>
      <x:c r="CF44">
        <x:f>IF(V44="","",LOG10(V44+1))</x:f>
      </x:c>
      <x:c r="CG44">
        <x:f>IF(CF44="","",IF(MAX($CF$2:$CF$252)-MIN($CF$2:$CF$252)=0,"",(CF44-MIN($CF$2:$CF$252))/(MAX($CF$2:$CF$252)-MIN($CF$2:$CF$252))*100))</x:f>
      </x:c>
    </x:row>
    <x:row r="45">
      <x:c r="A45" t="inlineStr">
        <x:is>
          <x:t xml:space="preserve">FSM</x:t>
        </x:is>
      </x:c>
      <x:c r="B45" t="inlineStr">
        <x:is>
          <x:t xml:space="preserve">Micronesia, Fed. Sts.</x:t>
        </x:is>
      </x:c>
      <x:c r="C45" t="inlineStr">
        <x:is>
          <x:t xml:space="preserve">East Asia &amp; Pacific</x:t>
        </x:is>
      </x:c>
      <x:c r="D45" t="inlineStr">
        <x:is>
          <x:t xml:space="preserve">Lower middle income</x:t>
        </x:is>
      </x:c>
      <x:c r="F45" t="n">
        <x:v>2024</x:v>
      </x:c>
      <x:c r="G45" t="n">
        <x:v>113160</x:v>
      </x:c>
      <x:c r="N45" s="8" t="n"/>
      <x:c r="O45" s="9" t="n"/>
      <x:c r="P45" s="8" t="n"/>
      <x:c r="Q45" t="n">
        <x:v>2024</x:v>
      </x:c>
      <x:c r="R45" s="8" t="n">
        <x:v>471425099.488675</x:v>
      </x:c>
      <x:c r="S45" t="n">
        <x:v>0</x:v>
      </x:c>
      <x:c r="T45" t="n">
        <x:v>0</x:v>
      </x:c>
      <x:c r="U45" t="inlineStr">
        <x:is>
          <x:t xml:space="preserve">No</x:t>
        </x:is>
      </x:c>
      <x:c r="W45" t="inlineStr">
        <x:is>
          <x:t xml:space="preserve">No</x:t>
        </x:is>
      </x:c>
      <x:c r="AB45" s="8" t="n"/>
      <x:c r="AR45">
        <x:f>IF(G45="","",LOG10(G45+1))</x:f>
        <x:v>5.053696776647828</x:v>
      </x:c>
      <x:c r="AS45" s="10">
        <x:f>IF(AR45="","",IF(MAX($AR$2:$AR$252)-MIN($AR$2:$AR$252)=0,"",(AR45-MIN($AR$2:$AR$252))/(MAX($AR$2:$AR$252)-MIN($AR$2:$AR$252))*100))</x:f>
        <x:v>60.40209035213445</x:v>
      </x:c>
      <x:c r="AT45">
        <x:f>IF(R45="","",LOG10(R45+1))</x:f>
        <x:v>8.673412702315401</x:v>
      </x:c>
      <x:c r="AU45" s="10">
        <x:f>IF(AT45="","",IF(MAX($AT$2:$AT$252)-MIN($AT$2:$AT$252)=0,"",(AT45-MIN($AT$2:$AT$252))/(MAX($AT$2:$AT$252)-MIN($AT$2:$AT$252))*100))</x:f>
        <x:v>68.45216550680911</x:v>
      </x:c>
      <x:c r="AV45">
        <x:f>IF(N45="","",LOG10(N45+1))</x:f>
      </x:c>
      <x:c r="AW45" s="10">
        <x:f>IF(AV45="","",IF(MAX($AV$2:$AV$252)-MIN($AV$2:$AV$252)=0,"",(AV45-MIN($AV$2:$AV$252))/(MAX($AV$2:$AV$252)-MIN($AV$2:$AV$252))*100))</x:f>
      </x:c>
      <x:c r="AX45">
        <x:f>IF(I45="","",LOG10(I45+1))</x:f>
      </x:c>
      <x:c r="AY45" s="10">
        <x:f>IF(AX45="","",IF(MAX($AX$2:$AX$252)-MIN($AX$2:$AX$252)=0,"",(AX45-MIN($AX$2:$AX$252))/(MAX($AX$2:$AX$252)-MIN($AX$2:$AX$252))*100))</x:f>
      </x:c>
      <x:c r="AZ45">
        <x:f>IF(J45="","",LOG10(J45+1))</x:f>
      </x:c>
      <x:c r="BA45" s="10">
        <x:f>IF(AZ45="","",IF(MAX($AZ$2:$AZ$252)-MIN($AZ$2:$AZ$252)=0,"",(AZ45-MIN($AZ$2:$AZ$252))/(MAX($AZ$2:$AZ$252)-MIN($AZ$2:$AZ$252))*100))</x:f>
      </x:c>
      <x:c r="BB45">
        <x:f>IF(K45="","",LOG10(K45+1))</x:f>
      </x:c>
      <x:c r="BC45" s="10">
        <x:f>IF(BB45="","",IF(MAX($BB$2:$BB$252)-MIN($BB$2:$BB$252)=0,"",(BB45-MIN($BB$2:$BB$252))/(MAX($BB$2:$BB$252)-MIN($BB$2:$BB$252))*100))</x:f>
      </x:c>
      <x:c r="BD45">
        <x:f>IF(L45="","",LOG10(L45+1))</x:f>
      </x:c>
      <x:c r="BE45" s="10">
        <x:f>IF(BD45="","",IF(MAX($BD$2:$BD$252)-MIN($BD$2:$BD$252)=0,"",(BD45-MIN($BD$2:$BD$252))/(MAX($BD$2:$BD$252)-MIN($BD$2:$BD$252))*100))</x:f>
      </x:c>
      <x:c r="BF45" s="10">
        <x:f>IF(P45="","",IF(MAX($P$2:$P$252)-MIN($P$2:$P$252)=0,"",(P45-MIN($P$2:$P$252))/(MAX($P$2:$P$252)-MIN($P$2:$P$252))*100))</x:f>
      </x:c>
      <x:c r="BG45">
        <x:f>IF(AF45="","",LOG10(AF45+1))</x:f>
      </x:c>
      <x:c r="BH45" s="10">
        <x:f>IF(BG45="","",IF(MAX($BG$2:$BG$252)-MIN($BG$2:$BG$252)=0,"",(BG45-MIN($BG$2:$BG$252))/(MAX($BG$2:$BG$252)-MIN($BG$2:$BG$252))*100))</x:f>
      </x:c>
      <x:c r="BI45">
        <x:f>IF(AC45="","",LOG10(AC45+1))</x:f>
      </x:c>
      <x:c r="BJ45" s="10">
        <x:f>IF(BI45="","",IF(MAX($BI$2:$BI$252)-MIN($BI$2:$BI$252)=0,"",(BI45-MIN($BI$2:$BI$252))/(MAX($BI$2:$BI$252)-MIN($BI$2:$BI$252))*100))</x:f>
      </x:c>
      <x:c r="BK45">
        <x:f>IF(AD45="","",(AD45*2)+(AE45*1))</x:f>
      </x:c>
      <x:c r="BL45" s="10">
        <x:f>IF(BK45="","",IF(MAX($BK$2:$BK$252)-MIN($BK$2:$BK$252)=0,"",(BK45-MIN($BK$2:$BK$252))/(MAX($BK$2:$BK$252)-MIN($BK$2:$BK$252))*100))</x:f>
      </x:c>
      <x:c r="BM45" s="10">
        <x:f>IF(AB45="","",IF(MAX($AB$2:$AB$252)-MIN($AB$2:$AB$252)=0,"",(AB45-MIN($AB$2:$AB$252))/(MAX($AB$2:$AB$252)-MIN($AB$2:$AB$252))*100))</x:f>
      </x:c>
      <x:c r="BN45" s="10">
        <x:f>IF(X45="","",X45)</x:f>
      </x:c>
      <x:c r="BO45" s="10">
        <x:f>IF(X45="","",100-X45)</x:f>
      </x:c>
      <x:c r="BP45" s="10">
        <x:f>IF((Weights!$C$2*IF(BH45="",0,1)+Weights!$C$3*IF(BJ45="",0,1)+Weights!$C$4*IF(BL45="",0,1))=0,"",(Weights!$C$2*IF(BH45="",0,BH45)+Weights!$C$3*IF(BJ45="",0,BJ45)+Weights!$C$4*IF(BL45="",0,BL45))/(Weights!$C$2*IF(BH45="",0,1)+Weights!$C$3*IF(BJ45="",0,1)+Weights!$C$4*IF(BL45="",0,1)))</x:f>
      </x:c>
      <x:c r="BQ45" s="10">
        <x:f>IF((Weights!$C$5*IF(BA45="",0,1)+Weights!$C$6*IF(AW45="",0,1)+Weights!$C$7*IF(AU45="",0,1))=0,"",(Weights!$C$5*IF(BA45="",0,BA45)+Weights!$C$6*IF(AW45="",0,AW45)+Weights!$C$7*IF(AU45="",0,AU45))/(Weights!$C$5*IF(BA45="",0,1)+Weights!$C$6*IF(AW45="",0,1)+Weights!$C$7*IF(AU45="",0,1)))</x:f>
      </x:c>
      <x:c r="BR45" s="10">
        <x:f>IF((Weights!$C$8*IF(AW45="",0,1)+Weights!$C$9*IF(BC45="",0,1)+Weights!$C$10*IF(BF45="",0,1))=0,"",(Weights!$C$8*IF(AW45="",0,AW45)+Weights!$C$9*IF(BC45="",0,BC45)+Weights!$C$10*IF(BF45="",0,BF45))/(Weights!$C$8*IF(AW45="",0,1)+Weights!$C$9*IF(BC45="",0,1)+Weights!$C$10*IF(BF45="",0,1)))</x:f>
      </x:c>
      <x:c r="BS45" s="10">
        <x:f>IF(Y45="","",Y45)</x:f>
      </x:c>
      <x:c r="BT45" s="10">
        <x:f>IF(AS45="","",AS45)</x:f>
      </x:c>
      <x:c r="BU45" s="10">
        <x:f>IF(AJ45&lt;&gt;"",(0.6*AJ45+0.4*AU45),IF((Weights!$C$11*IF(AU45="",0,1)+Weights!$C$12*IF(BM45="",0,1))=0,"",(Weights!$C$11*IF(AU45="",0,AU45)+Weights!$C$12*IF(BM45="",0,BM45))/(Weights!$C$11*IF(AU45="",0,1)+Weights!$C$12*IF(BM45="",0,1))))</x:f>
      </x:c>
      <x:c r="BV45" s="10">
        <x:f>IF(CG45="",0,CG45)</x:f>
      </x:c>
      <x:c r="BW45" s="10">
        <x:f>IF(AP45="","",AP45)</x:f>
      </x:c>
      <x:c r="BX45" s="10">
        <x:f>IF(AO45="","",AO45)</x:f>
      </x:c>
      <x:c r="BY45" s="10">
        <x:f>IF(AL45="","",AL45)</x:f>
      </x:c>
      <x:c r="BZ45" s="10">
        <x:f>IF(AM45="","",AM45)</x:f>
      </x:c>
      <x:c r="CA45" s="10">
        <x:f>IF(AK45&lt;&gt;"",AK45,AW45)</x:f>
      </x:c>
      <x:c r="CB45" s="10">
        <x:f>IF((Weights!$C$13*IF(BP45="",0,1)+Weights!$C$14*IF(BR45="",0,1)+Weights!$C$15*IF(BQ45="",0,1)+Weights!$C$16*IF(BS45="",0,1)+Weights!$C$17*IF(BU45="",0,1)+Weights!$C$18*IF(BT45="",0,1)+Weights!$C$19*IF(BW45="",0,1)+Weights!$C$20*IF(BZ45="",0,1)+Weights!$C$21*IF(BO45="",0,1)+Weights!$C$22)=0,"",(Weights!$C$13*IF(BP45="",0,BP45)+Weights!$C$14*IF(BR45="",0,BR45)+Weights!$C$15*IF(BQ45="",0,BQ45)+Weights!$C$16*IF(BS45="",0,BS45)+Weights!$C$17*IF(BU45="",0,BU45)+Weights!$C$18*IF(BT45="",0,BT45)+Weights!$C$19*IF(BW45="",0,BW45)+Weights!$C$20*IF(BZ45="",0,BZ45)+Weights!$C$21*IF(BO45="",0,BO45)+Weights!$C$22*BV45)/(Weights!$C$13*IF(BP45="",0,1)+Weights!$C$14*IF(BR45="",0,1)+Weights!$C$15*IF(BQ45="",0,1)+Weights!$C$16*IF(BS45="",0,1)+Weights!$C$17*IF(BU45="",0,1)+Weights!$C$18*IF(BT45="",0,1)+Weights!$C$19*IF(BW45="",0,1)+Weights!$C$20*IF(BZ45="",0,1)+Weights!$C$21*IF(BO45="",0,1)+Weights!$C$22))</x:f>
      </x:c>
      <x:c r="CC45" s="10">
        <x:f>IF((Weights!$C$23*IF(BQ45="",0,1)+Weights!$C$24*IF(BN45="",0,1)+Weights!$C$25*IF(BS45="",0,1)+Weights!$C$26*IF(BY45="",0,1)+Weights!$C$27*IF(BX45="",0,1)+Weights!$C$28*IF(BT45="",0,1)+Weights!$C$29*IF(CA45="",0,1)+Weights!$C$30+Weights!$C$31*IF(BU45="",0,1))=0,"",(Weights!$C$23*IF(BQ45="",0,BQ45)+Weights!$C$24*IF(BN45="",0,BN45)+Weights!$C$25*IF(BS45="",0,BS45)+Weights!$C$26*IF(BY45="",0,BY45)+Weights!$C$27*IF(BX45="",0,BX45)+Weights!$C$28*IF(BT45="",0,BT45)+Weights!$C$29*IF(CA45="",0,CA45)+Weights!$C$30*BV45+Weights!$C$31*IF(BU45="",0,BU45))/(Weights!$C$23*IF(BQ45="",0,1)+Weights!$C$24*IF(BN45="",0,1)+Weights!$C$25*IF(BS45="",0,1)+Weights!$C$26*IF(BY45="",0,1)+Weights!$C$27*IF(BX45="",0,1)+Weights!$C$28*IF(BT45="",0,1)+Weights!$C$29*IF(CA45="",0,1)+Weights!$C$30+Weights!$C$31*IF(BU45="",0,1)))</x:f>
      </x:c>
      <x:c r="CD45" s="10">
        <x:f>IF(AND(CB45="",CC45=""),"",IF(CB45="",CC45,IF(CC45="",CB45,AVERAGE(CB45,CC45))))</x:f>
      </x:c>
      <x:c r="CE45" s="7">
        <x:f>ROUND(100*((IF(BP45&lt;&gt;"",1,0)+IF(BQ45&lt;&gt;"",1,0)+IF(BR45&lt;&gt;"",1,0)+IF(BS45&lt;&gt;"",1,0)+IF(BU45&lt;&gt;"",1,0)+IF(BT45&lt;&gt;"",1,0)+IF(BN45&lt;&gt;"",1,0)+IF(AW45&lt;&gt;"",1,0))/8),0)</x:f>
      </x:c>
      <x:c r="CF45">
        <x:f>IF(V45="","",LOG10(V45+1))</x:f>
      </x:c>
      <x:c r="CG45">
        <x:f>IF(CF45="","",IF(MAX($CF$2:$CF$252)-MIN($CF$2:$CF$252)=0,"",(CF45-MIN($CF$2:$CF$252))/(MAX($CF$2:$CF$252)-MIN($CF$2:$CF$252))*100))</x:f>
      </x:c>
    </x:row>
    <x:row r="46">
      <x:c r="A46" t="inlineStr">
        <x:is>
          <x:t xml:space="preserve">BRA</x:t>
        </x:is>
      </x:c>
      <x:c r="B46" t="inlineStr">
        <x:is>
          <x:t xml:space="preserve">Brazil</x:t>
        </x:is>
      </x:c>
      <x:c r="C46" t="inlineStr">
        <x:is>
          <x:t xml:space="preserve">Latin America &amp; Caribbean</x:t>
        </x:is>
      </x:c>
      <x:c r="D46" t="inlineStr">
        <x:is>
          <x:t xml:space="preserve">Upper middle income</x:t>
        </x:is>
      </x:c>
      <x:c r="E46" t="inlineStr">
        <x:is>
          <x:t xml:space="preserve">South America</x:t>
        </x:is>
      </x:c>
      <x:c r="F46" t="n">
        <x:v>2024</x:v>
      </x:c>
      <x:c r="G46" t="n">
        <x:v>211998573</x:v>
      </x:c>
      <x:c r="H46" t="n">
        <x:v>2020</x:v>
      </x:c>
      <x:c r="I46" t="n">
        <x:v>762000</x:v>
      </x:c>
      <x:c r="J46" t="n">
        <x:v>495300</x:v>
      </x:c>
      <x:c r="K46" t="n">
        <x:v>152400</x:v>
      </x:c>
      <x:c r="L46" t="n">
        <x:v>91440</x:v>
      </x:c>
      <x:c r="M46" t="n">
        <x:v>2024</x:v>
      </x:c>
      <x:c r="N46" s="8" t="n">
        <x:v>20947723265.0291</x:v>
      </x:c>
      <x:c r="O46" s="9" t="n">
        <x:v>0.972774559040702</x:v>
      </x:c>
      <x:c r="P46" s="8" t="n">
        <x:v>27490.45047904081</x:v>
      </x:c>
      <x:c r="Q46" t="n">
        <x:v>2024</x:v>
      </x:c>
      <x:c r="R46" s="8" t="n">
        <x:v>2185821648943.86</x:v>
      </x:c>
      <x:c r="S46" t="n">
        <x:v>18</x:v>
      </x:c>
      <x:c r="T46" t="n">
        <x:v>1</x:v>
      </x:c>
      <x:c r="U46" t="inlineStr">
        <x:is>
          <x:t xml:space="preserve">No</x:t>
        </x:is>
      </x:c>
      <x:c r="W46" t="inlineStr">
        <x:is>
          <x:t xml:space="preserve">No</x:t>
        </x:is>
      </x:c>
      <x:c r="X46" t="n">
        <x:v>22.75305970140954</x:v>
      </x:c>
      <x:c r="Y46" t="n">
        <x:v>53.56423067654104</x:v>
      </x:c>
      <x:c r="Z46" t="n">
        <x:v>8508557.091825729</x:v>
      </x:c>
      <x:c r="AA46" t="n">
        <x:v>24.3699829198075</x:v>
      </x:c>
      <x:c r="AB46" s="8" t="n">
        <x:v>14858.69117037975</x:v>
      </x:c>
      <x:c r="AC46" t="n">
        <x:v>134</x:v>
      </x:c>
      <x:c r="AD46" t="n">
        <x:v>1</x:v>
      </x:c>
      <x:c r="AE46" t="n">
        <x:v>0</x:v>
      </x:c>
      <x:c r="AF46" t="n">
        <x:v>39.9</x:v>
      </x:c>
      <x:c r="AG46" t="n">
        <x:v>41</x:v>
      </x:c>
      <x:c r="AH46" t="n">
        <x:v>25</x:v>
      </x:c>
      <x:c r="AR46">
        <x:f>IF(G46="","",LOG10(G46+1))</x:f>
        <x:v>8.326332939673968</x:v>
      </x:c>
      <x:c r="AS46" s="10">
        <x:f>IF(AR46="","",IF(MAX($AR$2:$AR$252)-MIN($AR$2:$AR$252)=0,"",(AR46-MIN($AR$2:$AR$252))/(MAX($AR$2:$AR$252)-MIN($AR$2:$AR$252))*100))</x:f>
        <x:v>99.51683623918129</x:v>
      </x:c>
      <x:c r="AT46">
        <x:f>IF(R46="","",LOG10(R46+1))</x:f>
        <x:v>12.339614723012113</x:v>
      </x:c>
      <x:c r="AU46" s="10">
        <x:f>IF(AT46="","",IF(MAX($AT$2:$AT$252)-MIN($AT$2:$AT$252)=0,"",(AT46-MIN($AT$2:$AT$252))/(MAX($AT$2:$AT$252)-MIN($AT$2:$AT$252))*100))</x:f>
        <x:v>97.38650497795345</x:v>
      </x:c>
      <x:c r="AV46">
        <x:f>IF(N46="","",LOG10(N46+1))</x:f>
        <x:v>10.321136827935655</x:v>
      </x:c>
      <x:c r="AW46" s="10">
        <x:f>IF(AV46="","",IF(MAX($AV$2:$AV$252)-MIN($AV$2:$AV$252)=0,"",(AV46-MIN($AV$2:$AV$252))/(MAX($AV$2:$AV$252)-MIN($AV$2:$AV$252))*100))</x:f>
        <x:v>94.2850322741891</x:v>
      </x:c>
      <x:c r="AX46">
        <x:f>IF(I46="","",LOG10(I46+1))</x:f>
        <x:v>5.881955541279491</x:v>
      </x:c>
      <x:c r="AY46" s="10">
        <x:f>IF(AX46="","",IF(MAX($AX$2:$AX$252)-MIN($AX$2:$AX$252)=0,"",(AX46-MIN($AX$2:$AX$252))/(MAX($AX$2:$AX$252)-MIN($AX$2:$AX$252))*100))</x:f>
      </x:c>
      <x:c r="AZ46">
        <x:f>IF(J46="","",LOG10(J46+1))</x:f>
      </x:c>
      <x:c r="BA46" s="10">
        <x:f>IF(AZ46="","",IF(MAX($AZ$2:$AZ$252)-MIN($AZ$2:$AZ$252)=0,"",(AZ46-MIN($AZ$2:$AZ$252))/(MAX($AZ$2:$AZ$252)-MIN($AZ$2:$AZ$252))*100))</x:f>
      </x:c>
      <x:c r="BB46">
        <x:f>IF(K46="","",LOG10(K46+1))</x:f>
      </x:c>
      <x:c r="BC46" s="10">
        <x:f>IF(BB46="","",IF(MAX($BB$2:$BB$252)-MIN($BB$2:$BB$252)=0,"",(BB46-MIN($BB$2:$BB$252))/(MAX($BB$2:$BB$252)-MIN($BB$2:$BB$252))*100))</x:f>
      </x:c>
      <x:c r="BD46">
        <x:f>IF(L46="","",LOG10(L46+1))</x:f>
      </x:c>
      <x:c r="BE46" s="10">
        <x:f>IF(BD46="","",IF(MAX($BD$2:$BD$252)-MIN($BD$2:$BD$252)=0,"",(BD46-MIN($BD$2:$BD$252))/(MAX($BD$2:$BD$252)-MIN($BD$2:$BD$252))*100))</x:f>
      </x:c>
      <x:c r="BF46" s="10">
        <x:f>IF(P46="","",IF(MAX($P$2:$P$252)-MIN($P$2:$P$252)=0,"",(P46-MIN($P$2:$P$252))/(MAX($P$2:$P$252)-MIN($P$2:$P$252))*100))</x:f>
      </x:c>
      <x:c r="BG46">
        <x:f>IF(AF46="","",LOG10(AF46+1))</x:f>
      </x:c>
      <x:c r="BH46" s="10">
        <x:f>IF(BG46="","",IF(MAX($BG$2:$BG$252)-MIN($BG$2:$BG$252)=0,"",(BG46-MIN($BG$2:$BG$252))/(MAX($BG$2:$BG$252)-MIN($BG$2:$BG$252))*100))</x:f>
      </x:c>
      <x:c r="BI46">
        <x:f>IF(AC46="","",LOG10(AC46+1))</x:f>
      </x:c>
      <x:c r="BJ46" s="10">
        <x:f>IF(BI46="","",IF(MAX($BI$2:$BI$252)-MIN($BI$2:$BI$252)=0,"",(BI46-MIN($BI$2:$BI$252))/(MAX($BI$2:$BI$252)-MIN($BI$2:$BI$252))*100))</x:f>
      </x:c>
      <x:c r="BK46">
        <x:f>IF(AD46="","",(AD46*2)+(AE46*1))</x:f>
      </x:c>
      <x:c r="BL46" s="10">
        <x:f>IF(BK46="","",IF(MAX($BK$2:$BK$252)-MIN($BK$2:$BK$252)=0,"",(BK46-MIN($BK$2:$BK$252))/(MAX($BK$2:$BK$252)-MIN($BK$2:$BK$252))*100))</x:f>
      </x:c>
      <x:c r="BM46" s="10">
        <x:f>IF(AB46="","",IF(MAX($AB$2:$AB$252)-MIN($AB$2:$AB$252)=0,"",(AB46-MIN($AB$2:$AB$252))/(MAX($AB$2:$AB$252)-MIN($AB$2:$AB$252))*100))</x:f>
      </x:c>
      <x:c r="BN46" s="10">
        <x:f>IF(X46="","",X46)</x:f>
      </x:c>
      <x:c r="BO46" s="10">
        <x:f>IF(X46="","",100-X46)</x:f>
      </x:c>
      <x:c r="BP46" s="10">
        <x:f>IF((Weights!$C$2*IF(BH46="",0,1)+Weights!$C$3*IF(BJ46="",0,1)+Weights!$C$4*IF(BL46="",0,1))=0,"",(Weights!$C$2*IF(BH46="",0,BH46)+Weights!$C$3*IF(BJ46="",0,BJ46)+Weights!$C$4*IF(BL46="",0,BL46))/(Weights!$C$2*IF(BH46="",0,1)+Weights!$C$3*IF(BJ46="",0,1)+Weights!$C$4*IF(BL46="",0,1)))</x:f>
      </x:c>
      <x:c r="BQ46" s="10">
        <x:f>IF((Weights!$C$5*IF(BA46="",0,1)+Weights!$C$6*IF(AW46="",0,1)+Weights!$C$7*IF(AU46="",0,1))=0,"",(Weights!$C$5*IF(BA46="",0,BA46)+Weights!$C$6*IF(AW46="",0,AW46)+Weights!$C$7*IF(AU46="",0,AU46))/(Weights!$C$5*IF(BA46="",0,1)+Weights!$C$6*IF(AW46="",0,1)+Weights!$C$7*IF(AU46="",0,1)))</x:f>
      </x:c>
      <x:c r="BR46" s="10">
        <x:f>IF((Weights!$C$8*IF(AW46="",0,1)+Weights!$C$9*IF(BC46="",0,1)+Weights!$C$10*IF(BF46="",0,1))=0,"",(Weights!$C$8*IF(AW46="",0,AW46)+Weights!$C$9*IF(BC46="",0,BC46)+Weights!$C$10*IF(BF46="",0,BF46))/(Weights!$C$8*IF(AW46="",0,1)+Weights!$C$9*IF(BC46="",0,1)+Weights!$C$10*IF(BF46="",0,1)))</x:f>
      </x:c>
      <x:c r="BS46" s="10">
        <x:f>IF(Y46="","",Y46)</x:f>
      </x:c>
      <x:c r="BT46" s="10">
        <x:f>IF(AS46="","",AS46)</x:f>
      </x:c>
      <x:c r="BU46" s="10">
        <x:f>IF(AJ46&lt;&gt;"",(0.6*AJ46+0.4*AU46),IF((Weights!$C$11*IF(AU46="",0,1)+Weights!$C$12*IF(BM46="",0,1))=0,"",(Weights!$C$11*IF(AU46="",0,AU46)+Weights!$C$12*IF(BM46="",0,BM46))/(Weights!$C$11*IF(AU46="",0,1)+Weights!$C$12*IF(BM46="",0,1))))</x:f>
      </x:c>
      <x:c r="BV46" s="10">
        <x:f>IF(CG46="",0,CG46)</x:f>
      </x:c>
      <x:c r="BW46" s="10">
        <x:f>IF(AP46="","",AP46)</x:f>
      </x:c>
      <x:c r="BX46" s="10">
        <x:f>IF(AO46="","",AO46)</x:f>
      </x:c>
      <x:c r="BY46" s="10">
        <x:f>IF(AL46="","",AL46)</x:f>
      </x:c>
      <x:c r="BZ46" s="10">
        <x:f>IF(AM46="","",AM46)</x:f>
      </x:c>
      <x:c r="CA46" s="10">
        <x:f>IF(AK46&lt;&gt;"",AK46,AW46)</x:f>
      </x:c>
      <x:c r="CB46" s="10">
        <x:f>IF((Weights!$C$13*IF(BP46="",0,1)+Weights!$C$14*IF(BR46="",0,1)+Weights!$C$15*IF(BQ46="",0,1)+Weights!$C$16*IF(BS46="",0,1)+Weights!$C$17*IF(BU46="",0,1)+Weights!$C$18*IF(BT46="",0,1)+Weights!$C$19*IF(BW46="",0,1)+Weights!$C$20*IF(BZ46="",0,1)+Weights!$C$21*IF(BO46="",0,1)+Weights!$C$22)=0,"",(Weights!$C$13*IF(BP46="",0,BP46)+Weights!$C$14*IF(BR46="",0,BR46)+Weights!$C$15*IF(BQ46="",0,BQ46)+Weights!$C$16*IF(BS46="",0,BS46)+Weights!$C$17*IF(BU46="",0,BU46)+Weights!$C$18*IF(BT46="",0,BT46)+Weights!$C$19*IF(BW46="",0,BW46)+Weights!$C$20*IF(BZ46="",0,BZ46)+Weights!$C$21*IF(BO46="",0,BO46)+Weights!$C$22*BV46)/(Weights!$C$13*IF(BP46="",0,1)+Weights!$C$14*IF(BR46="",0,1)+Weights!$C$15*IF(BQ46="",0,1)+Weights!$C$16*IF(BS46="",0,1)+Weights!$C$17*IF(BU46="",0,1)+Weights!$C$18*IF(BT46="",0,1)+Weights!$C$19*IF(BW46="",0,1)+Weights!$C$20*IF(BZ46="",0,1)+Weights!$C$21*IF(BO46="",0,1)+Weights!$C$22))</x:f>
      </x:c>
      <x:c r="CC46" s="10">
        <x:f>IF((Weights!$C$23*IF(BQ46="",0,1)+Weights!$C$24*IF(BN46="",0,1)+Weights!$C$25*IF(BS46="",0,1)+Weights!$C$26*IF(BY46="",0,1)+Weights!$C$27*IF(BX46="",0,1)+Weights!$C$28*IF(BT46="",0,1)+Weights!$C$29*IF(CA46="",0,1)+Weights!$C$30+Weights!$C$31*IF(BU46="",0,1))=0,"",(Weights!$C$23*IF(BQ46="",0,BQ46)+Weights!$C$24*IF(BN46="",0,BN46)+Weights!$C$25*IF(BS46="",0,BS46)+Weights!$C$26*IF(BY46="",0,BY46)+Weights!$C$27*IF(BX46="",0,BX46)+Weights!$C$28*IF(BT46="",0,BT46)+Weights!$C$29*IF(CA46="",0,CA46)+Weights!$C$30*BV46+Weights!$C$31*IF(BU46="",0,BU46))/(Weights!$C$23*IF(BQ46="",0,1)+Weights!$C$24*IF(BN46="",0,1)+Weights!$C$25*IF(BS46="",0,1)+Weights!$C$26*IF(BY46="",0,1)+Weights!$C$27*IF(BX46="",0,1)+Weights!$C$28*IF(BT46="",0,1)+Weights!$C$29*IF(CA46="",0,1)+Weights!$C$30+Weights!$C$31*IF(BU46="",0,1)))</x:f>
      </x:c>
      <x:c r="CD46" s="10">
        <x:f>IF(AND(CB46="",CC46=""),"",IF(CB46="",CC46,IF(CC46="",CB46,AVERAGE(CB46,CC46))))</x:f>
      </x:c>
      <x:c r="CE46" s="7">
        <x:f>ROUND(100*((IF(BP46&lt;&gt;"",1,0)+IF(BQ46&lt;&gt;"",1,0)+IF(BR46&lt;&gt;"",1,0)+IF(BS46&lt;&gt;"",1,0)+IF(BU46&lt;&gt;"",1,0)+IF(BT46&lt;&gt;"",1,0)+IF(BN46&lt;&gt;"",1,0)+IF(AW46&lt;&gt;"",1,0))/8),0)</x:f>
      </x:c>
      <x:c r="CF46">
        <x:f>IF(V46="","",LOG10(V46+1))</x:f>
      </x:c>
      <x:c r="CG46">
        <x:f>IF(CF46="","",IF(MAX($CF$2:$CF$252)-MIN($CF$2:$CF$252)=0,"",(CF46-MIN($CF$2:$CF$252))/(MAX($CF$2:$CF$252)-MIN($CF$2:$CF$252))*100))</x:f>
      </x:c>
    </x:row>
    <x:row r="47">
      <x:c r="A47" t="inlineStr">
        <x:is>
          <x:t xml:space="preserve">GUF</x:t>
        </x:is>
      </x:c>
      <x:c r="B47" t="inlineStr">
        <x:is>
          <x:t xml:space="preserve">French Guiana</x:t>
        </x:is>
      </x:c>
      <x:c r="N47" s="8" t="n"/>
      <x:c r="O47" s="9" t="n"/>
      <x:c r="P47" s="8" t="n"/>
      <x:c r="R47" s="8" t="n"/>
      <x:c r="AB47" s="8" t="n"/>
      <x:c r="AR47">
        <x:f>IF(G47="","",LOG10(G47+1))</x:f>
      </x:c>
      <x:c r="AS47" s="10">
        <x:f>IF(AR47="","",IF(MAX($AR$2:$AR$252)-MIN($AR$2:$AR$252)=0,"",(AR47-MIN($AR$2:$AR$252))/(MAX($AR$2:$AR$252)-MIN($AR$2:$AR$252))*100))</x:f>
      </x:c>
      <x:c r="AT47">
        <x:f>IF(R47="","",LOG10(R47+1))</x:f>
      </x:c>
      <x:c r="AU47" s="10">
        <x:f>IF(AT47="","",IF(MAX($AT$2:$AT$252)-MIN($AT$2:$AT$252)=0,"",(AT47-MIN($AT$2:$AT$252))/(MAX($AT$2:$AT$252)-MIN($AT$2:$AT$252))*100))</x:f>
      </x:c>
      <x:c r="AV47">
        <x:f>IF(N47="","",LOG10(N47+1))</x:f>
      </x:c>
      <x:c r="AW47" s="10">
        <x:f>IF(AV47="","",IF(MAX($AV$2:$AV$252)-MIN($AV$2:$AV$252)=0,"",(AV47-MIN($AV$2:$AV$252))/(MAX($AV$2:$AV$252)-MIN($AV$2:$AV$252))*100))</x:f>
      </x:c>
      <x:c r="AX47">
        <x:f>IF(I47="","",LOG10(I47+1))</x:f>
      </x:c>
      <x:c r="AY47" s="10">
        <x:f>IF(AX47="","",IF(MAX($AX$2:$AX$252)-MIN($AX$2:$AX$252)=0,"",(AX47-MIN($AX$2:$AX$252))/(MAX($AX$2:$AX$252)-MIN($AX$2:$AX$252))*100))</x:f>
      </x:c>
      <x:c r="AZ47">
        <x:f>IF(J47="","",LOG10(J47+1))</x:f>
      </x:c>
      <x:c r="BA47" s="10">
        <x:f>IF(AZ47="","",IF(MAX($AZ$2:$AZ$252)-MIN($AZ$2:$AZ$252)=0,"",(AZ47-MIN($AZ$2:$AZ$252))/(MAX($AZ$2:$AZ$252)-MIN($AZ$2:$AZ$252))*100))</x:f>
      </x:c>
      <x:c r="BB47">
        <x:f>IF(K47="","",LOG10(K47+1))</x:f>
      </x:c>
      <x:c r="BC47" s="10">
        <x:f>IF(BB47="","",IF(MAX($BB$2:$BB$252)-MIN($BB$2:$BB$252)=0,"",(BB47-MIN($BB$2:$BB$252))/(MAX($BB$2:$BB$252)-MIN($BB$2:$BB$252))*100))</x:f>
      </x:c>
      <x:c r="BD47">
        <x:f>IF(L47="","",LOG10(L47+1))</x:f>
      </x:c>
      <x:c r="BE47" s="10">
        <x:f>IF(BD47="","",IF(MAX($BD$2:$BD$252)-MIN($BD$2:$BD$252)=0,"",(BD47-MIN($BD$2:$BD$252))/(MAX($BD$2:$BD$252)-MIN($BD$2:$BD$252))*100))</x:f>
      </x:c>
      <x:c r="BF47" s="10">
        <x:f>IF(P47="","",IF(MAX($P$2:$P$252)-MIN($P$2:$P$252)=0,"",(P47-MIN($P$2:$P$252))/(MAX($P$2:$P$252)-MIN($P$2:$P$252))*100))</x:f>
      </x:c>
      <x:c r="BG47">
        <x:f>IF(AF47="","",LOG10(AF47+1))</x:f>
      </x:c>
      <x:c r="BH47" s="10">
        <x:f>IF(BG47="","",IF(MAX($BG$2:$BG$252)-MIN($BG$2:$BG$252)=0,"",(BG47-MIN($BG$2:$BG$252))/(MAX($BG$2:$BG$252)-MIN($BG$2:$BG$252))*100))</x:f>
      </x:c>
      <x:c r="BI47">
        <x:f>IF(AC47="","",LOG10(AC47+1))</x:f>
      </x:c>
      <x:c r="BJ47" s="10">
        <x:f>IF(BI47="","",IF(MAX($BI$2:$BI$252)-MIN($BI$2:$BI$252)=0,"",(BI47-MIN($BI$2:$BI$252))/(MAX($BI$2:$BI$252)-MIN($BI$2:$BI$252))*100))</x:f>
      </x:c>
      <x:c r="BK47">
        <x:f>IF(AD47="","",(AD47*2)+(AE47*1))</x:f>
      </x:c>
      <x:c r="BL47" s="10">
        <x:f>IF(BK47="","",IF(MAX($BK$2:$BK$252)-MIN($BK$2:$BK$252)=0,"",(BK47-MIN($BK$2:$BK$252))/(MAX($BK$2:$BK$252)-MIN($BK$2:$BK$252))*100))</x:f>
      </x:c>
      <x:c r="BM47" s="10">
        <x:f>IF(AB47="","",IF(MAX($AB$2:$AB$252)-MIN($AB$2:$AB$252)=0,"",(AB47-MIN($AB$2:$AB$252))/(MAX($AB$2:$AB$252)-MIN($AB$2:$AB$252))*100))</x:f>
      </x:c>
      <x:c r="BN47" s="10">
        <x:f>IF(X47="","",X47)</x:f>
      </x:c>
      <x:c r="BO47" s="10">
        <x:f>IF(X47="","",100-X47)</x:f>
      </x:c>
      <x:c r="BP47" s="10">
        <x:f>IF((Weights!$C$2*IF(BH47="",0,1)+Weights!$C$3*IF(BJ47="",0,1)+Weights!$C$4*IF(BL47="",0,1))=0,"",(Weights!$C$2*IF(BH47="",0,BH47)+Weights!$C$3*IF(BJ47="",0,BJ47)+Weights!$C$4*IF(BL47="",0,BL47))/(Weights!$C$2*IF(BH47="",0,1)+Weights!$C$3*IF(BJ47="",0,1)+Weights!$C$4*IF(BL47="",0,1)))</x:f>
      </x:c>
      <x:c r="BQ47" s="10">
        <x:f>IF((Weights!$C$5*IF(BA47="",0,1)+Weights!$C$6*IF(AW47="",0,1)+Weights!$C$7*IF(AU47="",0,1))=0,"",(Weights!$C$5*IF(BA47="",0,BA47)+Weights!$C$6*IF(AW47="",0,AW47)+Weights!$C$7*IF(AU47="",0,AU47))/(Weights!$C$5*IF(BA47="",0,1)+Weights!$C$6*IF(AW47="",0,1)+Weights!$C$7*IF(AU47="",0,1)))</x:f>
      </x:c>
      <x:c r="BR47" s="10">
        <x:f>IF((Weights!$C$8*IF(AW47="",0,1)+Weights!$C$9*IF(BC47="",0,1)+Weights!$C$10*IF(BF47="",0,1))=0,"",(Weights!$C$8*IF(AW47="",0,AW47)+Weights!$C$9*IF(BC47="",0,BC47)+Weights!$C$10*IF(BF47="",0,BF47))/(Weights!$C$8*IF(AW47="",0,1)+Weights!$C$9*IF(BC47="",0,1)+Weights!$C$10*IF(BF47="",0,1)))</x:f>
      </x:c>
      <x:c r="BS47" s="10">
        <x:f>IF(Y47="","",Y47)</x:f>
      </x:c>
      <x:c r="BT47" s="10">
        <x:f>IF(AS47="","",AS47)</x:f>
      </x:c>
      <x:c r="BU47" s="10">
        <x:f>IF(AJ47&lt;&gt;"",(0.6*AJ47+0.4*AU47),IF((Weights!$C$11*IF(AU47="",0,1)+Weights!$C$12*IF(BM47="",0,1))=0,"",(Weights!$C$11*IF(AU47="",0,AU47)+Weights!$C$12*IF(BM47="",0,BM47))/(Weights!$C$11*IF(AU47="",0,1)+Weights!$C$12*IF(BM47="",0,1))))</x:f>
      </x:c>
      <x:c r="BV47" s="10">
        <x:f>IF(CG47="",0,CG47)</x:f>
      </x:c>
      <x:c r="BW47" s="10">
        <x:f>IF(AP47="","",AP47)</x:f>
      </x:c>
      <x:c r="BX47" s="10">
        <x:f>IF(AO47="","",AO47)</x:f>
      </x:c>
      <x:c r="BY47" s="10">
        <x:f>IF(AL47="","",AL47)</x:f>
      </x:c>
      <x:c r="BZ47" s="10">
        <x:f>IF(AM47="","",AM47)</x:f>
      </x:c>
      <x:c r="CA47" s="10">
        <x:f>IF(AK47&lt;&gt;"",AK47,AW47)</x:f>
      </x:c>
      <x:c r="CB47" s="10">
        <x:f>IF((Weights!$C$13*IF(BP47="",0,1)+Weights!$C$14*IF(BR47="",0,1)+Weights!$C$15*IF(BQ47="",0,1)+Weights!$C$16*IF(BS47="",0,1)+Weights!$C$17*IF(BU47="",0,1)+Weights!$C$18*IF(BT47="",0,1)+Weights!$C$19*IF(BW47="",0,1)+Weights!$C$20*IF(BZ47="",0,1)+Weights!$C$21*IF(BO47="",0,1)+Weights!$C$22)=0,"",(Weights!$C$13*IF(BP47="",0,BP47)+Weights!$C$14*IF(BR47="",0,BR47)+Weights!$C$15*IF(BQ47="",0,BQ47)+Weights!$C$16*IF(BS47="",0,BS47)+Weights!$C$17*IF(BU47="",0,BU47)+Weights!$C$18*IF(BT47="",0,BT47)+Weights!$C$19*IF(BW47="",0,BW47)+Weights!$C$20*IF(BZ47="",0,BZ47)+Weights!$C$21*IF(BO47="",0,BO47)+Weights!$C$22*BV47)/(Weights!$C$13*IF(BP47="",0,1)+Weights!$C$14*IF(BR47="",0,1)+Weights!$C$15*IF(BQ47="",0,1)+Weights!$C$16*IF(BS47="",0,1)+Weights!$C$17*IF(BU47="",0,1)+Weights!$C$18*IF(BT47="",0,1)+Weights!$C$19*IF(BW47="",0,1)+Weights!$C$20*IF(BZ47="",0,1)+Weights!$C$21*IF(BO47="",0,1)+Weights!$C$22))</x:f>
      </x:c>
      <x:c r="CC47" s="10">
        <x:f>IF((Weights!$C$23*IF(BQ47="",0,1)+Weights!$C$24*IF(BN47="",0,1)+Weights!$C$25*IF(BS47="",0,1)+Weights!$C$26*IF(BY47="",0,1)+Weights!$C$27*IF(BX47="",0,1)+Weights!$C$28*IF(BT47="",0,1)+Weights!$C$29*IF(CA47="",0,1)+Weights!$C$30+Weights!$C$31*IF(BU47="",0,1))=0,"",(Weights!$C$23*IF(BQ47="",0,BQ47)+Weights!$C$24*IF(BN47="",0,BN47)+Weights!$C$25*IF(BS47="",0,BS47)+Weights!$C$26*IF(BY47="",0,BY47)+Weights!$C$27*IF(BX47="",0,BX47)+Weights!$C$28*IF(BT47="",0,BT47)+Weights!$C$29*IF(CA47="",0,CA47)+Weights!$C$30*BV47+Weights!$C$31*IF(BU47="",0,BU47))/(Weights!$C$23*IF(BQ47="",0,1)+Weights!$C$24*IF(BN47="",0,1)+Weights!$C$25*IF(BS47="",0,1)+Weights!$C$26*IF(BY47="",0,1)+Weights!$C$27*IF(BX47="",0,1)+Weights!$C$28*IF(BT47="",0,1)+Weights!$C$29*IF(CA47="",0,1)+Weights!$C$30+Weights!$C$31*IF(BU47="",0,1)))</x:f>
      </x:c>
      <x:c r="CD47" s="10">
        <x:f>IF(AND(CB47="",CC47=""),"",IF(CB47="",CC47,IF(CC47="",CB47,AVERAGE(CB47,CC47))))</x:f>
      </x:c>
      <x:c r="CE47" s="7">
        <x:f>ROUND(100*((IF(BP47&lt;&gt;"",1,0)+IF(BQ47&lt;&gt;"",1,0)+IF(BR47&lt;&gt;"",1,0)+IF(BS47&lt;&gt;"",1,0)+IF(BU47&lt;&gt;"",1,0)+IF(BT47&lt;&gt;"",1,0)+IF(BN47&lt;&gt;"",1,0)+IF(AW47&lt;&gt;"",1,0))/8),0)</x:f>
      </x:c>
      <x:c r="CF47">
        <x:f>IF(V47="","",LOG10(V47+1))</x:f>
      </x:c>
      <x:c r="CG47">
        <x:f>IF(CF47="","",IF(MAX($CF$2:$CF$252)-MIN($CF$2:$CF$252)=0,"",(CF47-MIN($CF$2:$CF$252))/(MAX($CF$2:$CF$252)-MIN($CF$2:$CF$252))*100))</x:f>
      </x:c>
    </x:row>
    <x:row r="48">
      <x:c r="A48" t="inlineStr">
        <x:is>
          <x:t xml:space="preserve">PYF</x:t>
        </x:is>
      </x:c>
      <x:c r="B48" t="inlineStr">
        <x:is>
          <x:t xml:space="preserve">French Polynesia</x:t>
        </x:is>
      </x:c>
      <x:c r="C48" t="inlineStr">
        <x:is>
          <x:t xml:space="preserve">East Asia &amp; Pacific</x:t>
        </x:is>
      </x:c>
      <x:c r="D48" t="inlineStr">
        <x:is>
          <x:t xml:space="preserve">High income</x:t>
        </x:is>
      </x:c>
      <x:c r="F48" t="n">
        <x:v>2024</x:v>
      </x:c>
      <x:c r="G48" t="n">
        <x:v>281807</x:v>
      </x:c>
      <x:c r="N48" s="8" t="n"/>
      <x:c r="O48" s="9" t="n"/>
      <x:c r="P48" s="8" t="n"/>
      <x:c r="Q48" t="n">
        <x:v>2024</x:v>
      </x:c>
      <x:c r="R48" s="8" t="n">
        <x:v>6323716355.05009</x:v>
      </x:c>
      <x:c r="S48" t="n">
        <x:v>0</x:v>
      </x:c>
      <x:c r="T48" t="n">
        <x:v>0</x:v>
      </x:c>
      <x:c r="U48" t="inlineStr">
        <x:is>
          <x:t xml:space="preserve">No</x:t>
        </x:is>
      </x:c>
      <x:c r="W48" t="inlineStr">
        <x:is>
          <x:t xml:space="preserve">No</x:t>
        </x:is>
      </x:c>
      <x:c r="AB48" s="8" t="n"/>
      <x:c r="AR48">
        <x:f>IF(G48="","",LOG10(G48+1))</x:f>
        <x:v>5.449953317753251</x:v>
      </x:c>
      <x:c r="AS48" s="10">
        <x:f>IF(AR48="","",IF(MAX($AR$2:$AR$252)-MIN($AR$2:$AR$252)=0,"",(AR48-MIN($AR$2:$AR$252))/(MAX($AR$2:$AR$252)-MIN($AR$2:$AR$252))*100))</x:f>
        <x:v>65.13817256210633</x:v>
      </x:c>
      <x:c r="AT48">
        <x:f>IF(R48="","",LOG10(R48+1))</x:f>
        <x:v>9.800972381853956</x:v>
      </x:c>
      <x:c r="AU48" s="10">
        <x:f>IF(AT48="","",IF(MAX($AT$2:$AT$252)-MIN($AT$2:$AT$252)=0,"",(AT48-MIN($AT$2:$AT$252))/(MAX($AT$2:$AT$252)-MIN($AT$2:$AT$252))*100))</x:f>
        <x:v>77.35107352048787</x:v>
      </x:c>
      <x:c r="AV48">
        <x:f>IF(N48="","",LOG10(N48+1))</x:f>
      </x:c>
      <x:c r="AW48" s="10">
        <x:f>IF(AV48="","",IF(MAX($AV$2:$AV$252)-MIN($AV$2:$AV$252)=0,"",(AV48-MIN($AV$2:$AV$252))/(MAX($AV$2:$AV$252)-MIN($AV$2:$AV$252))*100))</x:f>
      </x:c>
      <x:c r="AX48">
        <x:f>IF(I48="","",LOG10(I48+1))</x:f>
      </x:c>
      <x:c r="AY48" s="10">
        <x:f>IF(AX48="","",IF(MAX($AX$2:$AX$252)-MIN($AX$2:$AX$252)=0,"",(AX48-MIN($AX$2:$AX$252))/(MAX($AX$2:$AX$252)-MIN($AX$2:$AX$252))*100))</x:f>
      </x:c>
      <x:c r="AZ48">
        <x:f>IF(J48="","",LOG10(J48+1))</x:f>
      </x:c>
      <x:c r="BA48" s="10">
        <x:f>IF(AZ48="","",IF(MAX($AZ$2:$AZ$252)-MIN($AZ$2:$AZ$252)=0,"",(AZ48-MIN($AZ$2:$AZ$252))/(MAX($AZ$2:$AZ$252)-MIN($AZ$2:$AZ$252))*100))</x:f>
      </x:c>
      <x:c r="BB48">
        <x:f>IF(K48="","",LOG10(K48+1))</x:f>
      </x:c>
      <x:c r="BC48" s="10">
        <x:f>IF(BB48="","",IF(MAX($BB$2:$BB$252)-MIN($BB$2:$BB$252)=0,"",(BB48-MIN($BB$2:$BB$252))/(MAX($BB$2:$BB$252)-MIN($BB$2:$BB$252))*100))</x:f>
      </x:c>
      <x:c r="BD48">
        <x:f>IF(L48="","",LOG10(L48+1))</x:f>
      </x:c>
      <x:c r="BE48" s="10">
        <x:f>IF(BD48="","",IF(MAX($BD$2:$BD$252)-MIN($BD$2:$BD$252)=0,"",(BD48-MIN($BD$2:$BD$252))/(MAX($BD$2:$BD$252)-MIN($BD$2:$BD$252))*100))</x:f>
      </x:c>
      <x:c r="BF48" s="10">
        <x:f>IF(P48="","",IF(MAX($P$2:$P$252)-MIN($P$2:$P$252)=0,"",(P48-MIN($P$2:$P$252))/(MAX($P$2:$P$252)-MIN($P$2:$P$252))*100))</x:f>
      </x:c>
      <x:c r="BG48">
        <x:f>IF(AF48="","",LOG10(AF48+1))</x:f>
      </x:c>
      <x:c r="BH48" s="10">
        <x:f>IF(BG48="","",IF(MAX($BG$2:$BG$252)-MIN($BG$2:$BG$252)=0,"",(BG48-MIN($BG$2:$BG$252))/(MAX($BG$2:$BG$252)-MIN($BG$2:$BG$252))*100))</x:f>
      </x:c>
      <x:c r="BI48">
        <x:f>IF(AC48="","",LOG10(AC48+1))</x:f>
      </x:c>
      <x:c r="BJ48" s="10">
        <x:f>IF(BI48="","",IF(MAX($BI$2:$BI$252)-MIN($BI$2:$BI$252)=0,"",(BI48-MIN($BI$2:$BI$252))/(MAX($BI$2:$BI$252)-MIN($BI$2:$BI$252))*100))</x:f>
      </x:c>
      <x:c r="BK48">
        <x:f>IF(AD48="","",(AD48*2)+(AE48*1))</x:f>
      </x:c>
      <x:c r="BL48" s="10">
        <x:f>IF(BK48="","",IF(MAX($BK$2:$BK$252)-MIN($BK$2:$BK$252)=0,"",(BK48-MIN($BK$2:$BK$252))/(MAX($BK$2:$BK$252)-MIN($BK$2:$BK$252))*100))</x:f>
      </x:c>
      <x:c r="BM48" s="10">
        <x:f>IF(AB48="","",IF(MAX($AB$2:$AB$252)-MIN($AB$2:$AB$252)=0,"",(AB48-MIN($AB$2:$AB$252))/(MAX($AB$2:$AB$252)-MIN($AB$2:$AB$252))*100))</x:f>
      </x:c>
      <x:c r="BN48" s="10">
        <x:f>IF(X48="","",X48)</x:f>
      </x:c>
      <x:c r="BO48" s="10">
        <x:f>IF(X48="","",100-X48)</x:f>
      </x:c>
      <x:c r="BP48" s="10">
        <x:f>IF((Weights!$C$2*IF(BH48="",0,1)+Weights!$C$3*IF(BJ48="",0,1)+Weights!$C$4*IF(BL48="",0,1))=0,"",(Weights!$C$2*IF(BH48="",0,BH48)+Weights!$C$3*IF(BJ48="",0,BJ48)+Weights!$C$4*IF(BL48="",0,BL48))/(Weights!$C$2*IF(BH48="",0,1)+Weights!$C$3*IF(BJ48="",0,1)+Weights!$C$4*IF(BL48="",0,1)))</x:f>
      </x:c>
      <x:c r="BQ48" s="10">
        <x:f>IF((Weights!$C$5*IF(BA48="",0,1)+Weights!$C$6*IF(AW48="",0,1)+Weights!$C$7*IF(AU48="",0,1))=0,"",(Weights!$C$5*IF(BA48="",0,BA48)+Weights!$C$6*IF(AW48="",0,AW48)+Weights!$C$7*IF(AU48="",0,AU48))/(Weights!$C$5*IF(BA48="",0,1)+Weights!$C$6*IF(AW48="",0,1)+Weights!$C$7*IF(AU48="",0,1)))</x:f>
      </x:c>
      <x:c r="BR48" s="10">
        <x:f>IF((Weights!$C$8*IF(AW48="",0,1)+Weights!$C$9*IF(BC48="",0,1)+Weights!$C$10*IF(BF48="",0,1))=0,"",(Weights!$C$8*IF(AW48="",0,AW48)+Weights!$C$9*IF(BC48="",0,BC48)+Weights!$C$10*IF(BF48="",0,BF48))/(Weights!$C$8*IF(AW48="",0,1)+Weights!$C$9*IF(BC48="",0,1)+Weights!$C$10*IF(BF48="",0,1)))</x:f>
      </x:c>
      <x:c r="BS48" s="10">
        <x:f>IF(Y48="","",Y48)</x:f>
      </x:c>
      <x:c r="BT48" s="10">
        <x:f>IF(AS48="","",AS48)</x:f>
      </x:c>
      <x:c r="BU48" s="10">
        <x:f>IF(AJ48&lt;&gt;"",(0.6*AJ48+0.4*AU48),IF((Weights!$C$11*IF(AU48="",0,1)+Weights!$C$12*IF(BM48="",0,1))=0,"",(Weights!$C$11*IF(AU48="",0,AU48)+Weights!$C$12*IF(BM48="",0,BM48))/(Weights!$C$11*IF(AU48="",0,1)+Weights!$C$12*IF(BM48="",0,1))))</x:f>
      </x:c>
      <x:c r="BV48" s="10">
        <x:f>IF(CG48="",0,CG48)</x:f>
      </x:c>
      <x:c r="BW48" s="10">
        <x:f>IF(AP48="","",AP48)</x:f>
      </x:c>
      <x:c r="BX48" s="10">
        <x:f>IF(AO48="","",AO48)</x:f>
      </x:c>
      <x:c r="BY48" s="10">
        <x:f>IF(AL48="","",AL48)</x:f>
      </x:c>
      <x:c r="BZ48" s="10">
        <x:f>IF(AM48="","",AM48)</x:f>
      </x:c>
      <x:c r="CA48" s="10">
        <x:f>IF(AK48&lt;&gt;"",AK48,AW48)</x:f>
      </x:c>
      <x:c r="CB48" s="10">
        <x:f>IF((Weights!$C$13*IF(BP48="",0,1)+Weights!$C$14*IF(BR48="",0,1)+Weights!$C$15*IF(BQ48="",0,1)+Weights!$C$16*IF(BS48="",0,1)+Weights!$C$17*IF(BU48="",0,1)+Weights!$C$18*IF(BT48="",0,1)+Weights!$C$19*IF(BW48="",0,1)+Weights!$C$20*IF(BZ48="",0,1)+Weights!$C$21*IF(BO48="",0,1)+Weights!$C$22)=0,"",(Weights!$C$13*IF(BP48="",0,BP48)+Weights!$C$14*IF(BR48="",0,BR48)+Weights!$C$15*IF(BQ48="",0,BQ48)+Weights!$C$16*IF(BS48="",0,BS48)+Weights!$C$17*IF(BU48="",0,BU48)+Weights!$C$18*IF(BT48="",0,BT48)+Weights!$C$19*IF(BW48="",0,BW48)+Weights!$C$20*IF(BZ48="",0,BZ48)+Weights!$C$21*IF(BO48="",0,BO48)+Weights!$C$22*BV48)/(Weights!$C$13*IF(BP48="",0,1)+Weights!$C$14*IF(BR48="",0,1)+Weights!$C$15*IF(BQ48="",0,1)+Weights!$C$16*IF(BS48="",0,1)+Weights!$C$17*IF(BU48="",0,1)+Weights!$C$18*IF(BT48="",0,1)+Weights!$C$19*IF(BW48="",0,1)+Weights!$C$20*IF(BZ48="",0,1)+Weights!$C$21*IF(BO48="",0,1)+Weights!$C$22))</x:f>
      </x:c>
      <x:c r="CC48" s="10">
        <x:f>IF((Weights!$C$23*IF(BQ48="",0,1)+Weights!$C$24*IF(BN48="",0,1)+Weights!$C$25*IF(BS48="",0,1)+Weights!$C$26*IF(BY48="",0,1)+Weights!$C$27*IF(BX48="",0,1)+Weights!$C$28*IF(BT48="",0,1)+Weights!$C$29*IF(CA48="",0,1)+Weights!$C$30+Weights!$C$31*IF(BU48="",0,1))=0,"",(Weights!$C$23*IF(BQ48="",0,BQ48)+Weights!$C$24*IF(BN48="",0,BN48)+Weights!$C$25*IF(BS48="",0,BS48)+Weights!$C$26*IF(BY48="",0,BY48)+Weights!$C$27*IF(BX48="",0,BX48)+Weights!$C$28*IF(BT48="",0,BT48)+Weights!$C$29*IF(CA48="",0,CA48)+Weights!$C$30*BV48+Weights!$C$31*IF(BU48="",0,BU48))/(Weights!$C$23*IF(BQ48="",0,1)+Weights!$C$24*IF(BN48="",0,1)+Weights!$C$25*IF(BS48="",0,1)+Weights!$C$26*IF(BY48="",0,1)+Weights!$C$27*IF(BX48="",0,1)+Weights!$C$28*IF(BT48="",0,1)+Weights!$C$29*IF(CA48="",0,1)+Weights!$C$30+Weights!$C$31*IF(BU48="",0,1)))</x:f>
      </x:c>
      <x:c r="CD48" s="10">
        <x:f>IF(AND(CB48="",CC48=""),"",IF(CB48="",CC48,IF(CC48="",CB48,AVERAGE(CB48,CC48))))</x:f>
      </x:c>
      <x:c r="CE48" s="7">
        <x:f>ROUND(100*((IF(BP48&lt;&gt;"",1,0)+IF(BQ48&lt;&gt;"",1,0)+IF(BR48&lt;&gt;"",1,0)+IF(BS48&lt;&gt;"",1,0)+IF(BU48&lt;&gt;"",1,0)+IF(BT48&lt;&gt;"",1,0)+IF(BN48&lt;&gt;"",1,0)+IF(AW48&lt;&gt;"",1,0))/8),0)</x:f>
      </x:c>
      <x:c r="CF48">
        <x:f>IF(V48="","",LOG10(V48+1))</x:f>
      </x:c>
      <x:c r="CG48">
        <x:f>IF(CF48="","",IF(MAX($CF$2:$CF$252)-MIN($CF$2:$CF$252)=0,"",(CF48-MIN($CF$2:$CF$252))/(MAX($CF$2:$CF$252)-MIN($CF$2:$CF$252))*100))</x:f>
      </x:c>
    </x:row>
    <x:row r="49">
      <x:c r="A49" t="inlineStr">
        <x:is>
          <x:t xml:space="preserve">FRA</x:t>
        </x:is>
      </x:c>
      <x:c r="B49" t="inlineStr">
        <x:is>
          <x:t xml:space="preserve">France</x:t>
        </x:is>
      </x:c>
      <x:c r="C49" t="inlineStr">
        <x:is>
          <x:t xml:space="preserve">Europe &amp; Central Asia</x:t>
        </x:is>
      </x:c>
      <x:c r="D49" t="inlineStr">
        <x:is>
          <x:t xml:space="preserve">High income</x:t>
        </x:is>
      </x:c>
      <x:c r="E49" t="inlineStr">
        <x:is>
          <x:t xml:space="preserve">Europe</x:t>
        </x:is>
      </x:c>
      <x:c r="F49" t="n">
        <x:v>2024</x:v>
      </x:c>
      <x:c r="G49" t="n">
        <x:v>68551653</x:v>
      </x:c>
      <x:c r="H49" t="n">
        <x:v>2020</x:v>
      </x:c>
      <x:c r="I49" t="n">
        <x:v>304000</x:v>
      </x:c>
      <x:c r="J49" t="n">
        <x:v>197600</x:v>
      </x:c>
      <x:c r="K49" t="n">
        <x:v>60800</x:v>
      </x:c>
      <x:c r="L49" t="n">
        <x:v>36480</x:v>
      </x:c>
      <x:c r="M49" t="n">
        <x:v>2024</x:v>
      </x:c>
      <x:c r="N49" s="8" t="n">
        <x:v>64675015306.1997</x:v>
      </x:c>
      <x:c r="O49" s="9" t="n">
        <x:v>2.05257687860637</x:v>
      </x:c>
      <x:c r="P49" s="8" t="n">
        <x:v>212746.7608756569</x:v>
      </x:c>
      <x:c r="Q49" t="n">
        <x:v>2024</x:v>
      </x:c>
      <x:c r="R49" s="8" t="n">
        <x:v>3160442622465.08</x:v>
      </x:c>
      <x:c r="S49" t="n">
        <x:v>46</x:v>
      </x:c>
      <x:c r="T49" t="n">
        <x:v>19</x:v>
      </x:c>
      <x:c r="U49" t="inlineStr">
        <x:is>
          <x:t xml:space="preserve">Yes</x:t>
        </x:is>
      </x:c>
      <x:c r="V49" t="n">
        <x:v>290</x:v>
      </x:c>
      <x:c r="W49" t="inlineStr">
        <x:is>
          <x:t xml:space="preserve">Yes</x:t>
        </x:is>
      </x:c>
      <x:c r="X49" t="n">
        <x:v>36.96261858281957</x:v>
      </x:c>
      <x:c r="Y49" t="n">
        <x:v>77.06411027726806</x:v>
      </x:c>
      <x:c r="Z49" t="n">
        <x:v>644847.8822588432</x:v>
      </x:c>
      <x:c r="AA49" t="n">
        <x:v>104.0651025555566</x:v>
      </x:c>
      <x:c r="AB49" s="8" t="n">
        <x:v>40219.8540309883</x:v>
      </x:c>
      <x:c r="AC49" t="n">
        <x:v>128</x:v>
      </x:c>
      <x:c r="AD49" t="n">
        <x:v>1</x:v>
      </x:c>
      <x:c r="AE49" t="n">
        <x:v>3</x:v>
      </x:c>
      <x:c r="AF49" t="n">
        <x:v>92.90000000000001</x:v>
      </x:c>
      <x:c r="AG49" t="n">
        <x:v>70</x:v>
      </x:c>
      <x:c r="AH49" t="n">
        <x:v>8</x:v>
      </x:c>
      <x:c r="AR49">
        <x:f>IF(G49="","",LOG10(G49+1))</x:f>
        <x:v>7.836017937818561</x:v>
      </x:c>
      <x:c r="AS49" s="10">
        <x:f>IF(AR49="","",IF(MAX($AR$2:$AR$252)-MIN($AR$2:$AR$252)=0,"",(AR49-MIN($AR$2:$AR$252))/(MAX($AR$2:$AR$252)-MIN($AR$2:$AR$252))*100))</x:f>
        <x:v>93.65656160222099</x:v>
      </x:c>
      <x:c r="AT49">
        <x:f>IF(R49="","",LOG10(R49+1))</x:f>
        <x:v>12.499747910160517</x:v>
      </x:c>
      <x:c r="AU49" s="10">
        <x:f>IF(AT49="","",IF(MAX($AT$2:$AT$252)-MIN($AT$2:$AT$252)=0,"",(AT49-MIN($AT$2:$AT$252))/(MAX($AT$2:$AT$252)-MIN($AT$2:$AT$252))*100))</x:f>
        <x:v>98.65030549177993</x:v>
      </x:c>
      <x:c r="AV49">
        <x:f>IF(N49="","",LOG10(N49+1))</x:f>
        <x:v>10.810736540176853</x:v>
      </x:c>
      <x:c r="AW49" s="10">
        <x:f>IF(AV49="","",IF(MAX($AV$2:$AV$252)-MIN($AV$2:$AV$252)=0,"",(AV49-MIN($AV$2:$AV$252))/(MAX($AV$2:$AV$252)-MIN($AV$2:$AV$252))*100))</x:f>
        <x:v>98.75759430293299</x:v>
      </x:c>
      <x:c r="AX49">
        <x:f>IF(I49="","",LOG10(I49+1))</x:f>
        <x:v>5.482875012206673</x:v>
      </x:c>
      <x:c r="AY49" s="10">
        <x:f>IF(AX49="","",IF(MAX($AX$2:$AX$252)-MIN($AX$2:$AX$252)=0,"",(AX49-MIN($AX$2:$AX$252))/(MAX($AX$2:$AX$252)-MIN($AX$2:$AX$252))*100))</x:f>
      </x:c>
      <x:c r="AZ49">
        <x:f>IF(J49="","",LOG10(J49+1))</x:f>
      </x:c>
      <x:c r="BA49" s="10">
        <x:f>IF(AZ49="","",IF(MAX($AZ$2:$AZ$252)-MIN($AZ$2:$AZ$252)=0,"",(AZ49-MIN($AZ$2:$AZ$252))/(MAX($AZ$2:$AZ$252)-MIN($AZ$2:$AZ$252))*100))</x:f>
      </x:c>
      <x:c r="BB49">
        <x:f>IF(K49="","",LOG10(K49+1))</x:f>
      </x:c>
      <x:c r="BC49" s="10">
        <x:f>IF(BB49="","",IF(MAX($BB$2:$BB$252)-MIN($BB$2:$BB$252)=0,"",(BB49-MIN($BB$2:$BB$252))/(MAX($BB$2:$BB$252)-MIN($BB$2:$BB$252))*100))</x:f>
      </x:c>
      <x:c r="BD49">
        <x:f>IF(L49="","",LOG10(L49+1))</x:f>
      </x:c>
      <x:c r="BE49" s="10">
        <x:f>IF(BD49="","",IF(MAX($BD$2:$BD$252)-MIN($BD$2:$BD$252)=0,"",(BD49-MIN($BD$2:$BD$252))/(MAX($BD$2:$BD$252)-MIN($BD$2:$BD$252))*100))</x:f>
      </x:c>
      <x:c r="BF49" s="10">
        <x:f>IF(P49="","",IF(MAX($P$2:$P$252)-MIN($P$2:$P$252)=0,"",(P49-MIN($P$2:$P$252))/(MAX($P$2:$P$252)-MIN($P$2:$P$252))*100))</x:f>
      </x:c>
      <x:c r="BG49">
        <x:f>IF(AF49="","",LOG10(AF49+1))</x:f>
      </x:c>
      <x:c r="BH49" s="10">
        <x:f>IF(BG49="","",IF(MAX($BG$2:$BG$252)-MIN($BG$2:$BG$252)=0,"",(BG49-MIN($BG$2:$BG$252))/(MAX($BG$2:$BG$252)-MIN($BG$2:$BG$252))*100))</x:f>
      </x:c>
      <x:c r="BI49">
        <x:f>IF(AC49="","",LOG10(AC49+1))</x:f>
      </x:c>
      <x:c r="BJ49" s="10">
        <x:f>IF(BI49="","",IF(MAX($BI$2:$BI$252)-MIN($BI$2:$BI$252)=0,"",(BI49-MIN($BI$2:$BI$252))/(MAX($BI$2:$BI$252)-MIN($BI$2:$BI$252))*100))</x:f>
      </x:c>
      <x:c r="BK49">
        <x:f>IF(AD49="","",(AD49*2)+(AE49*1))</x:f>
      </x:c>
      <x:c r="BL49" s="10">
        <x:f>IF(BK49="","",IF(MAX($BK$2:$BK$252)-MIN($BK$2:$BK$252)=0,"",(BK49-MIN($BK$2:$BK$252))/(MAX($BK$2:$BK$252)-MIN($BK$2:$BK$252))*100))</x:f>
      </x:c>
      <x:c r="BM49" s="10">
        <x:f>IF(AB49="","",IF(MAX($AB$2:$AB$252)-MIN($AB$2:$AB$252)=0,"",(AB49-MIN($AB$2:$AB$252))/(MAX($AB$2:$AB$252)-MIN($AB$2:$AB$252))*100))</x:f>
      </x:c>
      <x:c r="BN49" s="10">
        <x:f>IF(X49="","",X49)</x:f>
      </x:c>
      <x:c r="BO49" s="10">
        <x:f>IF(X49="","",100-X49)</x:f>
      </x:c>
      <x:c r="BP49" s="10">
        <x:f>IF((Weights!$C$2*IF(BH49="",0,1)+Weights!$C$3*IF(BJ49="",0,1)+Weights!$C$4*IF(BL49="",0,1))=0,"",(Weights!$C$2*IF(BH49="",0,BH49)+Weights!$C$3*IF(BJ49="",0,BJ49)+Weights!$C$4*IF(BL49="",0,BL49))/(Weights!$C$2*IF(BH49="",0,1)+Weights!$C$3*IF(BJ49="",0,1)+Weights!$C$4*IF(BL49="",0,1)))</x:f>
      </x:c>
      <x:c r="BQ49" s="10">
        <x:f>IF((Weights!$C$5*IF(BA49="",0,1)+Weights!$C$6*IF(AW49="",0,1)+Weights!$C$7*IF(AU49="",0,1))=0,"",(Weights!$C$5*IF(BA49="",0,BA49)+Weights!$C$6*IF(AW49="",0,AW49)+Weights!$C$7*IF(AU49="",0,AU49))/(Weights!$C$5*IF(BA49="",0,1)+Weights!$C$6*IF(AW49="",0,1)+Weights!$C$7*IF(AU49="",0,1)))</x:f>
      </x:c>
      <x:c r="BR49" s="10">
        <x:f>IF((Weights!$C$8*IF(AW49="",0,1)+Weights!$C$9*IF(BC49="",0,1)+Weights!$C$10*IF(BF49="",0,1))=0,"",(Weights!$C$8*IF(AW49="",0,AW49)+Weights!$C$9*IF(BC49="",0,BC49)+Weights!$C$10*IF(BF49="",0,BF49))/(Weights!$C$8*IF(AW49="",0,1)+Weights!$C$9*IF(BC49="",0,1)+Weights!$C$10*IF(BF49="",0,1)))</x:f>
      </x:c>
      <x:c r="BS49" s="10">
        <x:f>IF(Y49="","",Y49)</x:f>
      </x:c>
      <x:c r="BT49" s="10">
        <x:f>IF(AS49="","",AS49)</x:f>
      </x:c>
      <x:c r="BU49" s="10">
        <x:f>IF(AJ49&lt;&gt;"",(0.6*AJ49+0.4*AU49),IF((Weights!$C$11*IF(AU49="",0,1)+Weights!$C$12*IF(BM49="",0,1))=0,"",(Weights!$C$11*IF(AU49="",0,AU49)+Weights!$C$12*IF(BM49="",0,BM49))/(Weights!$C$11*IF(AU49="",0,1)+Weights!$C$12*IF(BM49="",0,1))))</x:f>
      </x:c>
      <x:c r="BV49" s="10">
        <x:f>IF(CG49="",0,CG49)</x:f>
      </x:c>
      <x:c r="BW49" s="10">
        <x:f>IF(AP49="","",AP49)</x:f>
      </x:c>
      <x:c r="BX49" s="10">
        <x:f>IF(AO49="","",AO49)</x:f>
      </x:c>
      <x:c r="BY49" s="10">
        <x:f>IF(AL49="","",AL49)</x:f>
      </x:c>
      <x:c r="BZ49" s="10">
        <x:f>IF(AM49="","",AM49)</x:f>
      </x:c>
      <x:c r="CA49" s="10">
        <x:f>IF(AK49&lt;&gt;"",AK49,AW49)</x:f>
      </x:c>
      <x:c r="CB49" s="10">
        <x:f>IF((Weights!$C$13*IF(BP49="",0,1)+Weights!$C$14*IF(BR49="",0,1)+Weights!$C$15*IF(BQ49="",0,1)+Weights!$C$16*IF(BS49="",0,1)+Weights!$C$17*IF(BU49="",0,1)+Weights!$C$18*IF(BT49="",0,1)+Weights!$C$19*IF(BW49="",0,1)+Weights!$C$20*IF(BZ49="",0,1)+Weights!$C$21*IF(BO49="",0,1)+Weights!$C$22)=0,"",(Weights!$C$13*IF(BP49="",0,BP49)+Weights!$C$14*IF(BR49="",0,BR49)+Weights!$C$15*IF(BQ49="",0,BQ49)+Weights!$C$16*IF(BS49="",0,BS49)+Weights!$C$17*IF(BU49="",0,BU49)+Weights!$C$18*IF(BT49="",0,BT49)+Weights!$C$19*IF(BW49="",0,BW49)+Weights!$C$20*IF(BZ49="",0,BZ49)+Weights!$C$21*IF(BO49="",0,BO49)+Weights!$C$22*BV49)/(Weights!$C$13*IF(BP49="",0,1)+Weights!$C$14*IF(BR49="",0,1)+Weights!$C$15*IF(BQ49="",0,1)+Weights!$C$16*IF(BS49="",0,1)+Weights!$C$17*IF(BU49="",0,1)+Weights!$C$18*IF(BT49="",0,1)+Weights!$C$19*IF(BW49="",0,1)+Weights!$C$20*IF(BZ49="",0,1)+Weights!$C$21*IF(BO49="",0,1)+Weights!$C$22))</x:f>
      </x:c>
      <x:c r="CC49" s="10">
        <x:f>IF((Weights!$C$23*IF(BQ49="",0,1)+Weights!$C$24*IF(BN49="",0,1)+Weights!$C$25*IF(BS49="",0,1)+Weights!$C$26*IF(BY49="",0,1)+Weights!$C$27*IF(BX49="",0,1)+Weights!$C$28*IF(BT49="",0,1)+Weights!$C$29*IF(CA49="",0,1)+Weights!$C$30+Weights!$C$31*IF(BU49="",0,1))=0,"",(Weights!$C$23*IF(BQ49="",0,BQ49)+Weights!$C$24*IF(BN49="",0,BN49)+Weights!$C$25*IF(BS49="",0,BS49)+Weights!$C$26*IF(BY49="",0,BY49)+Weights!$C$27*IF(BX49="",0,BX49)+Weights!$C$28*IF(BT49="",0,BT49)+Weights!$C$29*IF(CA49="",0,CA49)+Weights!$C$30*BV49+Weights!$C$31*IF(BU49="",0,BU49))/(Weights!$C$23*IF(BQ49="",0,1)+Weights!$C$24*IF(BN49="",0,1)+Weights!$C$25*IF(BS49="",0,1)+Weights!$C$26*IF(BY49="",0,1)+Weights!$C$27*IF(BX49="",0,1)+Weights!$C$28*IF(BT49="",0,1)+Weights!$C$29*IF(CA49="",0,1)+Weights!$C$30+Weights!$C$31*IF(BU49="",0,1)))</x:f>
      </x:c>
      <x:c r="CD49" s="10">
        <x:f>IF(AND(CB49="",CC49=""),"",IF(CB49="",CC49,IF(CC49="",CB49,AVERAGE(CB49,CC49))))</x:f>
      </x:c>
      <x:c r="CE49" s="7">
        <x:f>ROUND(100*((IF(BP49&lt;&gt;"",1,0)+IF(BQ49&lt;&gt;"",1,0)+IF(BR49&lt;&gt;"",1,0)+IF(BS49&lt;&gt;"",1,0)+IF(BU49&lt;&gt;"",1,0)+IF(BT49&lt;&gt;"",1,0)+IF(BN49&lt;&gt;"",1,0)+IF(AW49&lt;&gt;"",1,0))/8),0)</x:f>
      </x:c>
      <x:c r="CF49">
        <x:f>IF(V49="","",LOG10(V49+1))</x:f>
      </x:c>
      <x:c r="CG49">
        <x:f>IF(CF49="","",IF(MAX($CF$2:$CF$252)-MIN($CF$2:$CF$252)=0,"",(CF49-MIN($CF$2:$CF$252))/(MAX($CF$2:$CF$252)-MIN($CF$2:$CF$252))*100))</x:f>
      </x:c>
    </x:row>
    <x:row r="50">
      <x:c r="A50" t="inlineStr">
        <x:is>
          <x:t xml:space="preserve">ATF</x:t>
        </x:is>
      </x:c>
      <x:c r="B50" t="inlineStr">
        <x:is>
          <x:t xml:space="preserve">French Southern Territories</x:t>
        </x:is>
      </x:c>
      <x:c r="E50" t="inlineStr">
        <x:is>
          <x:t xml:space="preserve">Seven seas (open ocean)</x:t>
        </x:is>
      </x:c>
      <x:c r="N50" s="8" t="n"/>
      <x:c r="O50" s="9" t="n"/>
      <x:c r="P50" s="8" t="n"/>
      <x:c r="R50" s="8" t="n"/>
      <x:c r="X50" t="n">
        <x:v>4.929910930385612</x:v>
      </x:c>
      <x:c r="Y50" t="n">
        <x:v>63.22088602667771</x:v>
      </x:c>
      <x:c r="Z50" t="n">
        <x:v>11602.57184674622</x:v>
      </x:c>
      <x:c r="AA50" t="n">
        <x:v>0.01206629028884325</x:v>
      </x:c>
      <x:c r="AB50" s="8" t="n">
        <x:v>114285.7142857143</x:v>
      </x:c>
      <x:c r="AR50">
        <x:f>IF(G50="","",LOG10(G50+1))</x:f>
      </x:c>
      <x:c r="AS50" s="10">
        <x:f>IF(AR50="","",IF(MAX($AR$2:$AR$252)-MIN($AR$2:$AR$252)=0,"",(AR50-MIN($AR$2:$AR$252))/(MAX($AR$2:$AR$252)-MIN($AR$2:$AR$252))*100))</x:f>
      </x:c>
      <x:c r="AT50">
        <x:f>IF(R50="","",LOG10(R50+1))</x:f>
      </x:c>
      <x:c r="AU50" s="10">
        <x:f>IF(AT50="","",IF(MAX($AT$2:$AT$252)-MIN($AT$2:$AT$252)=0,"",(AT50-MIN($AT$2:$AT$252))/(MAX($AT$2:$AT$252)-MIN($AT$2:$AT$252))*100))</x:f>
      </x:c>
      <x:c r="AV50">
        <x:f>IF(N50="","",LOG10(N50+1))</x:f>
      </x:c>
      <x:c r="AW50" s="10">
        <x:f>IF(AV50="","",IF(MAX($AV$2:$AV$252)-MIN($AV$2:$AV$252)=0,"",(AV50-MIN($AV$2:$AV$252))/(MAX($AV$2:$AV$252)-MIN($AV$2:$AV$252))*100))</x:f>
      </x:c>
      <x:c r="AX50">
        <x:f>IF(I50="","",LOG10(I50+1))</x:f>
      </x:c>
      <x:c r="AY50" s="10">
        <x:f>IF(AX50="","",IF(MAX($AX$2:$AX$252)-MIN($AX$2:$AX$252)=0,"",(AX50-MIN($AX$2:$AX$252))/(MAX($AX$2:$AX$252)-MIN($AX$2:$AX$252))*100))</x:f>
      </x:c>
      <x:c r="AZ50">
        <x:f>IF(J50="","",LOG10(J50+1))</x:f>
      </x:c>
      <x:c r="BA50" s="10">
        <x:f>IF(AZ50="","",IF(MAX($AZ$2:$AZ$252)-MIN($AZ$2:$AZ$252)=0,"",(AZ50-MIN($AZ$2:$AZ$252))/(MAX($AZ$2:$AZ$252)-MIN($AZ$2:$AZ$252))*100))</x:f>
      </x:c>
      <x:c r="BB50">
        <x:f>IF(K50="","",LOG10(K50+1))</x:f>
      </x:c>
      <x:c r="BC50" s="10">
        <x:f>IF(BB50="","",IF(MAX($BB$2:$BB$252)-MIN($BB$2:$BB$252)=0,"",(BB50-MIN($BB$2:$BB$252))/(MAX($BB$2:$BB$252)-MIN($BB$2:$BB$252))*100))</x:f>
      </x:c>
      <x:c r="BD50">
        <x:f>IF(L50="","",LOG10(L50+1))</x:f>
      </x:c>
      <x:c r="BE50" s="10">
        <x:f>IF(BD50="","",IF(MAX($BD$2:$BD$252)-MIN($BD$2:$BD$252)=0,"",(BD50-MIN($BD$2:$BD$252))/(MAX($BD$2:$BD$252)-MIN($BD$2:$BD$252))*100))</x:f>
      </x:c>
      <x:c r="BF50" s="10">
        <x:f>IF(P50="","",IF(MAX($P$2:$P$252)-MIN($P$2:$P$252)=0,"",(P50-MIN($P$2:$P$252))/(MAX($P$2:$P$252)-MIN($P$2:$P$252))*100))</x:f>
      </x:c>
      <x:c r="BG50">
        <x:f>IF(AF50="","",LOG10(AF50+1))</x:f>
      </x:c>
      <x:c r="BH50" s="10">
        <x:f>IF(BG50="","",IF(MAX($BG$2:$BG$252)-MIN($BG$2:$BG$252)=0,"",(BG50-MIN($BG$2:$BG$252))/(MAX($BG$2:$BG$252)-MIN($BG$2:$BG$252))*100))</x:f>
      </x:c>
      <x:c r="BI50">
        <x:f>IF(AC50="","",LOG10(AC50+1))</x:f>
      </x:c>
      <x:c r="BJ50" s="10">
        <x:f>IF(BI50="","",IF(MAX($BI$2:$BI$252)-MIN($BI$2:$BI$252)=0,"",(BI50-MIN($BI$2:$BI$252))/(MAX($BI$2:$BI$252)-MIN($BI$2:$BI$252))*100))</x:f>
      </x:c>
      <x:c r="BK50">
        <x:f>IF(AD50="","",(AD50*2)+(AE50*1))</x:f>
      </x:c>
      <x:c r="BL50" s="10">
        <x:f>IF(BK50="","",IF(MAX($BK$2:$BK$252)-MIN($BK$2:$BK$252)=0,"",(BK50-MIN($BK$2:$BK$252))/(MAX($BK$2:$BK$252)-MIN($BK$2:$BK$252))*100))</x:f>
      </x:c>
      <x:c r="BM50" s="10">
        <x:f>IF(AB50="","",IF(MAX($AB$2:$AB$252)-MIN($AB$2:$AB$252)=0,"",(AB50-MIN($AB$2:$AB$252))/(MAX($AB$2:$AB$252)-MIN($AB$2:$AB$252))*100))</x:f>
      </x:c>
      <x:c r="BN50" s="10">
        <x:f>IF(X50="","",X50)</x:f>
      </x:c>
      <x:c r="BO50" s="10">
        <x:f>IF(X50="","",100-X50)</x:f>
      </x:c>
      <x:c r="BP50" s="10">
        <x:f>IF((Weights!$C$2*IF(BH50="",0,1)+Weights!$C$3*IF(BJ50="",0,1)+Weights!$C$4*IF(BL50="",0,1))=0,"",(Weights!$C$2*IF(BH50="",0,BH50)+Weights!$C$3*IF(BJ50="",0,BJ50)+Weights!$C$4*IF(BL50="",0,BL50))/(Weights!$C$2*IF(BH50="",0,1)+Weights!$C$3*IF(BJ50="",0,1)+Weights!$C$4*IF(BL50="",0,1)))</x:f>
      </x:c>
      <x:c r="BQ50" s="10">
        <x:f>IF((Weights!$C$5*IF(BA50="",0,1)+Weights!$C$6*IF(AW50="",0,1)+Weights!$C$7*IF(AU50="",0,1))=0,"",(Weights!$C$5*IF(BA50="",0,BA50)+Weights!$C$6*IF(AW50="",0,AW50)+Weights!$C$7*IF(AU50="",0,AU50))/(Weights!$C$5*IF(BA50="",0,1)+Weights!$C$6*IF(AW50="",0,1)+Weights!$C$7*IF(AU50="",0,1)))</x:f>
      </x:c>
      <x:c r="BR50" s="10">
        <x:f>IF((Weights!$C$8*IF(AW50="",0,1)+Weights!$C$9*IF(BC50="",0,1)+Weights!$C$10*IF(BF50="",0,1))=0,"",(Weights!$C$8*IF(AW50="",0,AW50)+Weights!$C$9*IF(BC50="",0,BC50)+Weights!$C$10*IF(BF50="",0,BF50))/(Weights!$C$8*IF(AW50="",0,1)+Weights!$C$9*IF(BC50="",0,1)+Weights!$C$10*IF(BF50="",0,1)))</x:f>
      </x:c>
      <x:c r="BS50" s="10">
        <x:f>IF(Y50="","",Y50)</x:f>
      </x:c>
      <x:c r="BT50" s="10">
        <x:f>IF(AS50="","",AS50)</x:f>
      </x:c>
      <x:c r="BU50" s="10">
        <x:f>IF(AJ50&lt;&gt;"",(0.6*AJ50+0.4*AU50),IF((Weights!$C$11*IF(AU50="",0,1)+Weights!$C$12*IF(BM50="",0,1))=0,"",(Weights!$C$11*IF(AU50="",0,AU50)+Weights!$C$12*IF(BM50="",0,BM50))/(Weights!$C$11*IF(AU50="",0,1)+Weights!$C$12*IF(BM50="",0,1))))</x:f>
      </x:c>
      <x:c r="BV50" s="10">
        <x:f>IF(CG50="",0,CG50)</x:f>
      </x:c>
      <x:c r="BW50" s="10">
        <x:f>IF(AP50="","",AP50)</x:f>
      </x:c>
      <x:c r="BX50" s="10">
        <x:f>IF(AO50="","",AO50)</x:f>
      </x:c>
      <x:c r="BY50" s="10">
        <x:f>IF(AL50="","",AL50)</x:f>
      </x:c>
      <x:c r="BZ50" s="10">
        <x:f>IF(AM50="","",AM50)</x:f>
      </x:c>
      <x:c r="CA50" s="10">
        <x:f>IF(AK50&lt;&gt;"",AK50,AW50)</x:f>
      </x:c>
      <x:c r="CB50" s="10">
        <x:f>IF((Weights!$C$13*IF(BP50="",0,1)+Weights!$C$14*IF(BR50="",0,1)+Weights!$C$15*IF(BQ50="",0,1)+Weights!$C$16*IF(BS50="",0,1)+Weights!$C$17*IF(BU50="",0,1)+Weights!$C$18*IF(BT50="",0,1)+Weights!$C$19*IF(BW50="",0,1)+Weights!$C$20*IF(BZ50="",0,1)+Weights!$C$21*IF(BO50="",0,1)+Weights!$C$22)=0,"",(Weights!$C$13*IF(BP50="",0,BP50)+Weights!$C$14*IF(BR50="",0,BR50)+Weights!$C$15*IF(BQ50="",0,BQ50)+Weights!$C$16*IF(BS50="",0,BS50)+Weights!$C$17*IF(BU50="",0,BU50)+Weights!$C$18*IF(BT50="",0,BT50)+Weights!$C$19*IF(BW50="",0,BW50)+Weights!$C$20*IF(BZ50="",0,BZ50)+Weights!$C$21*IF(BO50="",0,BO50)+Weights!$C$22*BV50)/(Weights!$C$13*IF(BP50="",0,1)+Weights!$C$14*IF(BR50="",0,1)+Weights!$C$15*IF(BQ50="",0,1)+Weights!$C$16*IF(BS50="",0,1)+Weights!$C$17*IF(BU50="",0,1)+Weights!$C$18*IF(BT50="",0,1)+Weights!$C$19*IF(BW50="",0,1)+Weights!$C$20*IF(BZ50="",0,1)+Weights!$C$21*IF(BO50="",0,1)+Weights!$C$22))</x:f>
      </x:c>
      <x:c r="CC50" s="10">
        <x:f>IF((Weights!$C$23*IF(BQ50="",0,1)+Weights!$C$24*IF(BN50="",0,1)+Weights!$C$25*IF(BS50="",0,1)+Weights!$C$26*IF(BY50="",0,1)+Weights!$C$27*IF(BX50="",0,1)+Weights!$C$28*IF(BT50="",0,1)+Weights!$C$29*IF(CA50="",0,1)+Weights!$C$30+Weights!$C$31*IF(BU50="",0,1))=0,"",(Weights!$C$23*IF(BQ50="",0,BQ50)+Weights!$C$24*IF(BN50="",0,BN50)+Weights!$C$25*IF(BS50="",0,BS50)+Weights!$C$26*IF(BY50="",0,BY50)+Weights!$C$27*IF(BX50="",0,BX50)+Weights!$C$28*IF(BT50="",0,BT50)+Weights!$C$29*IF(CA50="",0,CA50)+Weights!$C$30*BV50+Weights!$C$31*IF(BU50="",0,BU50))/(Weights!$C$23*IF(BQ50="",0,1)+Weights!$C$24*IF(BN50="",0,1)+Weights!$C$25*IF(BS50="",0,1)+Weights!$C$26*IF(BY50="",0,1)+Weights!$C$27*IF(BX50="",0,1)+Weights!$C$28*IF(BT50="",0,1)+Weights!$C$29*IF(CA50="",0,1)+Weights!$C$30+Weights!$C$31*IF(BU50="",0,1)))</x:f>
      </x:c>
      <x:c r="CD50" s="10">
        <x:f>IF(AND(CB50="",CC50=""),"",IF(CB50="",CC50,IF(CC50="",CB50,AVERAGE(CB50,CC50))))</x:f>
      </x:c>
      <x:c r="CE50" s="7">
        <x:f>ROUND(100*((IF(BP50&lt;&gt;"",1,0)+IF(BQ50&lt;&gt;"",1,0)+IF(BR50&lt;&gt;"",1,0)+IF(BS50&lt;&gt;"",1,0)+IF(BU50&lt;&gt;"",1,0)+IF(BT50&lt;&gt;"",1,0)+IF(BN50&lt;&gt;"",1,0)+IF(AW50&lt;&gt;"",1,0))/8),0)</x:f>
      </x:c>
      <x:c r="CF50">
        <x:f>IF(V50="","",LOG10(V50+1))</x:f>
      </x:c>
      <x:c r="CG50">
        <x:f>IF(CF50="","",IF(MAX($CF$2:$CF$252)-MIN($CF$2:$CF$252)=0,"",(CF50-MIN($CF$2:$CF$252))/(MAX($CF$2:$CF$252)-MIN($CF$2:$CF$252))*100))</x:f>
      </x:c>
    </x:row>
    <x:row r="51">
      <x:c r="A51" t="inlineStr">
        <x:is>
          <x:t xml:space="preserve">GAB</x:t>
        </x:is>
      </x:c>
      <x:c r="B51" t="inlineStr">
        <x:is>
          <x:t xml:space="preserve">Gabon</x:t>
        </x:is>
      </x:c>
      <x:c r="C51" t="inlineStr">
        <x:is>
          <x:t xml:space="preserve">Sub-Saharan Africa</x:t>
        </x:is>
      </x:c>
      <x:c r="D51" t="inlineStr">
        <x:is>
          <x:t xml:space="preserve">Upper middle income</x:t>
        </x:is>
      </x:c>
      <x:c r="E51" t="inlineStr">
        <x:is>
          <x:t xml:space="preserve">Africa</x:t>
        </x:is>
      </x:c>
      <x:c r="F51" t="n">
        <x:v>2024</x:v>
      </x:c>
      <x:c r="G51" t="n">
        <x:v>2538952</x:v>
      </x:c>
      <x:c r="H51" t="n">
        <x:v>2020</x:v>
      </x:c>
      <x:c r="I51" t="n">
        <x:v>7000</x:v>
      </x:c>
      <x:c r="J51" t="n">
        <x:v>4550</x:v>
      </x:c>
      <x:c r="K51" t="n">
        <x:v>1400</x:v>
      </x:c>
      <x:c r="L51" t="n">
        <x:v>840</x:v>
      </x:c>
      <x:c r="M51" t="n">
        <x:v>2024</x:v>
      </x:c>
      <x:c r="N51" s="8" t="n">
        <x:v>319095920.726509</x:v>
      </x:c>
      <x:c r="O51" s="9" t="n">
        <x:v>1.538206793748</x:v>
      </x:c>
      <x:c r="P51" s="8" t="n">
        <x:v>45585.13153235843</x:v>
      </x:c>
      <x:c r="Q51" t="n">
        <x:v>2024</x:v>
      </x:c>
      <x:c r="R51" s="8" t="n">
        <x:v>20895684425.6752</x:v>
      </x:c>
      <x:c r="S51" t="n">
        <x:v>0</x:v>
      </x:c>
      <x:c r="T51" t="n">
        <x:v>0</x:v>
      </x:c>
      <x:c r="U51" t="inlineStr">
        <x:is>
          <x:t xml:space="preserve">No</x:t>
        </x:is>
      </x:c>
      <x:c r="W51" t="inlineStr">
        <x:is>
          <x:t xml:space="preserve">No</x:t>
        </x:is>
      </x:c>
      <x:c r="X51" t="n">
        <x:v>10.74666161051248</x:v>
      </x:c>
      <x:c r="Y51" t="n">
        <x:v>50.55056974114196</x:v>
      </x:c>
      <x:c r="Z51" t="n">
        <x:v>269475.7979194645</x:v>
      </x:c>
      <x:c r="AA51" t="n">
        <x:v>6.576675952657001</x:v>
      </x:c>
      <x:c r="AB51" s="8" t="n">
        <x:v>20301.81886918079</x:v>
      </x:c>
      <x:c r="AC51" t="n">
        <x:v>5</x:v>
      </x:c>
      <x:c r="AD51" t="n">
        <x:v>0</x:v>
      </x:c>
      <x:c r="AE51" t="n">
        <x:v>0</x:v>
      </x:c>
      <x:c r="AR51">
        <x:f>IF(G51="","",LOG10(G51+1))</x:f>
      </x:c>
      <x:c r="AS51" s="10">
        <x:f>IF(AR51="","",IF(MAX($AR$2:$AR$252)-MIN($AR$2:$AR$252)=0,"",(AR51-MIN($AR$2:$AR$252))/(MAX($AR$2:$AR$252)-MIN($AR$2:$AR$252))*100))</x:f>
      </x:c>
      <x:c r="AT51">
        <x:f>IF(R51="","",LOG10(R51+1))</x:f>
      </x:c>
      <x:c r="AU51" s="10">
        <x:f>IF(AT51="","",IF(MAX($AT$2:$AT$252)-MIN($AT$2:$AT$252)=0,"",(AT51-MIN($AT$2:$AT$252))/(MAX($AT$2:$AT$252)-MIN($AT$2:$AT$252))*100))</x:f>
      </x:c>
      <x:c r="AV51">
        <x:f>IF(N51="","",LOG10(N51+1))</x:f>
      </x:c>
      <x:c r="AW51" s="10">
        <x:f>IF(AV51="","",IF(MAX($AV$2:$AV$252)-MIN($AV$2:$AV$252)=0,"",(AV51-MIN($AV$2:$AV$252))/(MAX($AV$2:$AV$252)-MIN($AV$2:$AV$252))*100))</x:f>
      </x:c>
      <x:c r="AX51">
        <x:f>IF(I51="","",LOG10(I51+1))</x:f>
      </x:c>
      <x:c r="AY51" s="10">
        <x:f>IF(AX51="","",IF(MAX($AX$2:$AX$252)-MIN($AX$2:$AX$252)=0,"",(AX51-MIN($AX$2:$AX$252))/(MAX($AX$2:$AX$252)-MIN($AX$2:$AX$252))*100))</x:f>
      </x:c>
      <x:c r="AZ51">
        <x:f>IF(J51="","",LOG10(J51+1))</x:f>
      </x:c>
      <x:c r="BA51" s="10">
        <x:f>IF(AZ51="","",IF(MAX($AZ$2:$AZ$252)-MIN($AZ$2:$AZ$252)=0,"",(AZ51-MIN($AZ$2:$AZ$252))/(MAX($AZ$2:$AZ$252)-MIN($AZ$2:$AZ$252))*100))</x:f>
      </x:c>
      <x:c r="BB51">
        <x:f>IF(K51="","",LOG10(K51+1))</x:f>
      </x:c>
      <x:c r="BC51" s="10">
        <x:f>IF(BB51="","",IF(MAX($BB$2:$BB$252)-MIN($BB$2:$BB$252)=0,"",(BB51-MIN($BB$2:$BB$252))/(MAX($BB$2:$BB$252)-MIN($BB$2:$BB$252))*100))</x:f>
      </x:c>
      <x:c r="BD51">
        <x:f>IF(L51="","",LOG10(L51+1))</x:f>
      </x:c>
      <x:c r="BE51" s="10">
        <x:f>IF(BD51="","",IF(MAX($BD$2:$BD$252)-MIN($BD$2:$BD$252)=0,"",(BD51-MIN($BD$2:$BD$252))/(MAX($BD$2:$BD$252)-MIN($BD$2:$BD$252))*100))</x:f>
      </x:c>
      <x:c r="BF51" s="10">
        <x:f>IF(P51="","",IF(MAX($P$2:$P$252)-MIN($P$2:$P$252)=0,"",(P51-MIN($P$2:$P$252))/(MAX($P$2:$P$252)-MIN($P$2:$P$252))*100))</x:f>
      </x:c>
      <x:c r="BG51">
        <x:f>IF(AF51="","",LOG10(AF51+1))</x:f>
      </x:c>
      <x:c r="BH51" s="10">
        <x:f>IF(BG51="","",IF(MAX($BG$2:$BG$252)-MIN($BG$2:$BG$252)=0,"",(BG51-MIN($BG$2:$BG$252))/(MAX($BG$2:$BG$252)-MIN($BG$2:$BG$252))*100))</x:f>
      </x:c>
      <x:c r="BI51">
        <x:f>IF(AC51="","",LOG10(AC51+1))</x:f>
      </x:c>
      <x:c r="BJ51" s="10">
        <x:f>IF(BI51="","",IF(MAX($BI$2:$BI$252)-MIN($BI$2:$BI$252)=0,"",(BI51-MIN($BI$2:$BI$252))/(MAX($BI$2:$BI$252)-MIN($BI$2:$BI$252))*100))</x:f>
      </x:c>
      <x:c r="BK51">
        <x:f>IF(AD51="","",(AD51*2)+(AE51*1))</x:f>
      </x:c>
      <x:c r="BL51" s="10">
        <x:f>IF(BK51="","",IF(MAX($BK$2:$BK$252)-MIN($BK$2:$BK$252)=0,"",(BK51-MIN($BK$2:$BK$252))/(MAX($BK$2:$BK$252)-MIN($BK$2:$BK$252))*100))</x:f>
      </x:c>
      <x:c r="BM51" s="10">
        <x:f>IF(AB51="","",IF(MAX($AB$2:$AB$252)-MIN($AB$2:$AB$252)=0,"",(AB51-MIN($AB$2:$AB$252))/(MAX($AB$2:$AB$252)-MIN($AB$2:$AB$252))*100))</x:f>
      </x:c>
      <x:c r="BN51" s="10">
        <x:f>IF(X51="","",X51)</x:f>
      </x:c>
      <x:c r="BO51" s="10">
        <x:f>IF(X51="","",100-X51)</x:f>
      </x:c>
      <x:c r="BP51" s="10">
        <x:f>IF((Weights!$C$2*IF(BH51="",0,1)+Weights!$C$3*IF(BJ51="",0,1)+Weights!$C$4*IF(BL51="",0,1))=0,"",(Weights!$C$2*IF(BH51="",0,BH51)+Weights!$C$3*IF(BJ51="",0,BJ51)+Weights!$C$4*IF(BL51="",0,BL51))/(Weights!$C$2*IF(BH51="",0,1)+Weights!$C$3*IF(BJ51="",0,1)+Weights!$C$4*IF(BL51="",0,1)))</x:f>
      </x:c>
      <x:c r="BQ51" s="10">
        <x:f>IF((Weights!$C$5*IF(BA51="",0,1)+Weights!$C$6*IF(AW51="",0,1)+Weights!$C$7*IF(AU51="",0,1))=0,"",(Weights!$C$5*IF(BA51="",0,BA51)+Weights!$C$6*IF(AW51="",0,AW51)+Weights!$C$7*IF(AU51="",0,AU51))/(Weights!$C$5*IF(BA51="",0,1)+Weights!$C$6*IF(AW51="",0,1)+Weights!$C$7*IF(AU51="",0,1)))</x:f>
      </x:c>
      <x:c r="BR51" s="10">
        <x:f>IF((Weights!$C$8*IF(AW51="",0,1)+Weights!$C$9*IF(BC51="",0,1)+Weights!$C$10*IF(BF51="",0,1))=0,"",(Weights!$C$8*IF(AW51="",0,AW51)+Weights!$C$9*IF(BC51="",0,BC51)+Weights!$C$10*IF(BF51="",0,BF51))/(Weights!$C$8*IF(AW51="",0,1)+Weights!$C$9*IF(BC51="",0,1)+Weights!$C$10*IF(BF51="",0,1)))</x:f>
      </x:c>
      <x:c r="BS51" s="10">
        <x:f>IF(Y51="","",Y51)</x:f>
      </x:c>
      <x:c r="BT51" s="10">
        <x:f>IF(AS51="","",AS51)</x:f>
      </x:c>
      <x:c r="BU51" s="10">
        <x:f>IF(AJ51&lt;&gt;"",(0.6*AJ51+0.4*AU51),IF((Weights!$C$11*IF(AU51="",0,1)+Weights!$C$12*IF(BM51="",0,1))=0,"",(Weights!$C$11*IF(AU51="",0,AU51)+Weights!$C$12*IF(BM51="",0,BM51))/(Weights!$C$11*IF(AU51="",0,1)+Weights!$C$12*IF(BM51="",0,1))))</x:f>
      </x:c>
      <x:c r="BV51" s="10">
        <x:f>IF(CG51="",0,CG51)</x:f>
      </x:c>
      <x:c r="BW51" s="10">
        <x:f>IF(AP51="","",AP51)</x:f>
      </x:c>
      <x:c r="BX51" s="10">
        <x:f>IF(AO51="","",AO51)</x:f>
      </x:c>
      <x:c r="BY51" s="10">
        <x:f>IF(AL51="","",AL51)</x:f>
      </x:c>
      <x:c r="BZ51" s="10">
        <x:f>IF(AM51="","",AM51)</x:f>
      </x:c>
      <x:c r="CA51" s="10">
        <x:f>IF(AK51&lt;&gt;"",AK51,AW51)</x:f>
      </x:c>
      <x:c r="CB51" s="10">
        <x:f>IF((Weights!$C$13*IF(BP51="",0,1)+Weights!$C$14*IF(BR51="",0,1)+Weights!$C$15*IF(BQ51="",0,1)+Weights!$C$16*IF(BS51="",0,1)+Weights!$C$17*IF(BU51="",0,1)+Weights!$C$18*IF(BT51="",0,1)+Weights!$C$19*IF(BW51="",0,1)+Weights!$C$20*IF(BZ51="",0,1)+Weights!$C$21*IF(BO51="",0,1)+Weights!$C$22)=0,"",(Weights!$C$13*IF(BP51="",0,BP51)+Weights!$C$14*IF(BR51="",0,BR51)+Weights!$C$15*IF(BQ51="",0,BQ51)+Weights!$C$16*IF(BS51="",0,BS51)+Weights!$C$17*IF(BU51="",0,BU51)+Weights!$C$18*IF(BT51="",0,BT51)+Weights!$C$19*IF(BW51="",0,BW51)+Weights!$C$20*IF(BZ51="",0,BZ51)+Weights!$C$21*IF(BO51="",0,BO51)+Weights!$C$22*BV51)/(Weights!$C$13*IF(BP51="",0,1)+Weights!$C$14*IF(BR51="",0,1)+Weights!$C$15*IF(BQ51="",0,1)+Weights!$C$16*IF(BS51="",0,1)+Weights!$C$17*IF(BU51="",0,1)+Weights!$C$18*IF(BT51="",0,1)+Weights!$C$19*IF(BW51="",0,1)+Weights!$C$20*IF(BZ51="",0,1)+Weights!$C$21*IF(BO51="",0,1)+Weights!$C$22))</x:f>
      </x:c>
      <x:c r="CC51" s="10">
        <x:f>IF((Weights!$C$23*IF(BQ51="",0,1)+Weights!$C$24*IF(BN51="",0,1)+Weights!$C$25*IF(BS51="",0,1)+Weights!$C$26*IF(BY51="",0,1)+Weights!$C$27*IF(BX51="",0,1)+Weights!$C$28*IF(BT51="",0,1)+Weights!$C$29*IF(CA51="",0,1)+Weights!$C$30+Weights!$C$31*IF(BU51="",0,1))=0,"",(Weights!$C$23*IF(BQ51="",0,BQ51)+Weights!$C$24*IF(BN51="",0,BN51)+Weights!$C$25*IF(BS51="",0,BS51)+Weights!$C$26*IF(BY51="",0,BY51)+Weights!$C$27*IF(BX51="",0,BX51)+Weights!$C$28*IF(BT51="",0,BT51)+Weights!$C$29*IF(CA51="",0,CA51)+Weights!$C$30*BV51+Weights!$C$31*IF(BU51="",0,BU51))/(Weights!$C$23*IF(BQ51="",0,1)+Weights!$C$24*IF(BN51="",0,1)+Weights!$C$25*IF(BS51="",0,1)+Weights!$C$26*IF(BY51="",0,1)+Weights!$C$27*IF(BX51="",0,1)+Weights!$C$28*IF(BT51="",0,1)+Weights!$C$29*IF(CA51="",0,1)+Weights!$C$30+Weights!$C$31*IF(BU51="",0,1)))</x:f>
      </x:c>
      <x:c r="CD51" s="10">
        <x:f>IF(AND(CB51="",CC51=""),"",IF(CB51="",CC51,IF(CC51="",CB51,AVERAGE(CB51,CC51))))</x:f>
      </x:c>
      <x:c r="CE51" s="7">
        <x:f>ROUND(100*((IF(BP51&lt;&gt;"",1,0)+IF(BQ51&lt;&gt;"",1,0)+IF(BR51&lt;&gt;"",1,0)+IF(BS51&lt;&gt;"",1,0)+IF(BU51&lt;&gt;"",1,0)+IF(BT51&lt;&gt;"",1,0)+IF(BN51&lt;&gt;"",1,0)+IF(AW51&lt;&gt;"",1,0))/8),0)</x:f>
      </x:c>
      <x:c r="CF51">
        <x:f>IF(V51="","",LOG10(V51+1))</x:f>
      </x:c>
      <x:c r="CG51">
        <x:f>IF(CF51="","",IF(MAX($CF$2:$CF$252)-MIN($CF$2:$CF$252)=0,"",(CF51-MIN($CF$2:$CF$252))/(MAX($CF$2:$CF$252)-MIN($CF$2:$CF$252))*100))</x:f>
      </x:c>
    </x:row>
    <x:row r="52">
      <x:c r="A52" t="inlineStr">
        <x:is>
          <x:t xml:space="preserve">GEO</x:t>
        </x:is>
      </x:c>
      <x:c r="B52" t="inlineStr">
        <x:is>
          <x:t xml:space="preserve">Georgia</x:t>
        </x:is>
      </x:c>
      <x:c r="C52" t="inlineStr">
        <x:is>
          <x:t xml:space="preserve">Europe &amp; Central Asia</x:t>
        </x:is>
      </x:c>
      <x:c r="D52" t="inlineStr">
        <x:is>
          <x:t xml:space="preserve">Upper middle income</x:t>
        </x:is>
      </x:c>
      <x:c r="E52" t="inlineStr">
        <x:is>
          <x:t xml:space="preserve">Asia</x:t>
        </x:is>
      </x:c>
      <x:c r="F52" t="n">
        <x:v>2024</x:v>
      </x:c>
      <x:c r="G52" t="n">
        <x:v>3699557</x:v>
      </x:c>
      <x:c r="H52" t="n">
        <x:v>2020</x:v>
      </x:c>
      <x:c r="I52" t="n">
        <x:v>26000</x:v>
      </x:c>
      <x:c r="J52" t="n">
        <x:v>16900</x:v>
      </x:c>
      <x:c r="K52" t="n">
        <x:v>5200</x:v>
      </x:c>
      <x:c r="L52" t="n">
        <x:v>3120</x:v>
      </x:c>
      <x:c r="M52" t="n">
        <x:v>2024</x:v>
      </x:c>
      <x:c r="N52" s="8" t="n">
        <x:v>615864045.59285</x:v>
      </x:c>
      <x:c r="O52" s="9" t="n">
        <x:v>1.86402941794564</x:v>
      </x:c>
      <x:c r="P52" s="8" t="n">
        <x:v>23687.07867664807</x:v>
      </x:c>
      <x:c r="Q52" t="n">
        <x:v>2024</x:v>
      </x:c>
      <x:c r="R52" s="8" t="n">
        <x:v>34189423544.9955</x:v>
      </x:c>
      <x:c r="S52" t="n">
        <x:v>0</x:v>
      </x:c>
      <x:c r="T52" t="n">
        <x:v>0</x:v>
      </x:c>
      <x:c r="U52" t="inlineStr">
        <x:is>
          <x:t xml:space="preserve">No</x:t>
        </x:is>
      </x:c>
      <x:c r="W52" t="inlineStr">
        <x:is>
          <x:t xml:space="preserve">No</x:t>
        </x:is>
      </x:c>
      <x:c r="X52" t="n">
        <x:v>19.09451052467422</x:v>
      </x:c>
      <x:c r="Y52" t="n">
        <x:v>50.25635000173703</x:v>
      </x:c>
      <x:c r="Z52" t="n">
        <x:v>69048.16050446073</x:v>
      </x:c>
      <x:c r="AA52" t="n">
        <x:v>71.34628879333786</x:v>
      </x:c>
      <x:c r="AB52" s="8" t="n">
        <x:v>7565.469629521368</x:v>
      </x:c>
      <x:c r="AC52" t="n">
        <x:v>19</x:v>
      </x:c>
      <x:c r="AD52" t="n">
        <x:v>0</x:v>
      </x:c>
      <x:c r="AE52" t="n">
        <x:v>0</x:v>
      </x:c>
      <x:c r="AR52">
        <x:f>IF(G52="","",LOG10(G52+1))</x:f>
      </x:c>
      <x:c r="AS52" s="10">
        <x:f>IF(AR52="","",IF(MAX($AR$2:$AR$252)-MIN($AR$2:$AR$252)=0,"",(AR52-MIN($AR$2:$AR$252))/(MAX($AR$2:$AR$252)-MIN($AR$2:$AR$252))*100))</x:f>
      </x:c>
      <x:c r="AT52">
        <x:f>IF(R52="","",LOG10(R52+1))</x:f>
      </x:c>
      <x:c r="AU52" s="10">
        <x:f>IF(AT52="","",IF(MAX($AT$2:$AT$252)-MIN($AT$2:$AT$252)=0,"",(AT52-MIN($AT$2:$AT$252))/(MAX($AT$2:$AT$252)-MIN($AT$2:$AT$252))*100))</x:f>
      </x:c>
      <x:c r="AV52">
        <x:f>IF(N52="","",LOG10(N52+1))</x:f>
      </x:c>
      <x:c r="AW52" s="10">
        <x:f>IF(AV52="","",IF(MAX($AV$2:$AV$252)-MIN($AV$2:$AV$252)=0,"",(AV52-MIN($AV$2:$AV$252))/(MAX($AV$2:$AV$252)-MIN($AV$2:$AV$252))*100))</x:f>
      </x:c>
      <x:c r="AX52">
        <x:f>IF(I52="","",LOG10(I52+1))</x:f>
      </x:c>
      <x:c r="AY52" s="10">
        <x:f>IF(AX52="","",IF(MAX($AX$2:$AX$252)-MIN($AX$2:$AX$252)=0,"",(AX52-MIN($AX$2:$AX$252))/(MAX($AX$2:$AX$252)-MIN($AX$2:$AX$252))*100))</x:f>
      </x:c>
      <x:c r="AZ52">
        <x:f>IF(J52="","",LOG10(J52+1))</x:f>
      </x:c>
      <x:c r="BA52" s="10">
        <x:f>IF(AZ52="","",IF(MAX($AZ$2:$AZ$252)-MIN($AZ$2:$AZ$252)=0,"",(AZ52-MIN($AZ$2:$AZ$252))/(MAX($AZ$2:$AZ$252)-MIN($AZ$2:$AZ$252))*100))</x:f>
      </x:c>
      <x:c r="BB52">
        <x:f>IF(K52="","",LOG10(K52+1))</x:f>
      </x:c>
      <x:c r="BC52" s="10">
        <x:f>IF(BB52="","",IF(MAX($BB$2:$BB$252)-MIN($BB$2:$BB$252)=0,"",(BB52-MIN($BB$2:$BB$252))/(MAX($BB$2:$BB$252)-MIN($BB$2:$BB$252))*100))</x:f>
      </x:c>
      <x:c r="BD52">
        <x:f>IF(L52="","",LOG10(L52+1))</x:f>
      </x:c>
      <x:c r="BE52" s="10">
        <x:f>IF(BD52="","",IF(MAX($BD$2:$BD$252)-MIN($BD$2:$BD$252)=0,"",(BD52-MIN($BD$2:$BD$252))/(MAX($BD$2:$BD$252)-MIN($BD$2:$BD$252))*100))</x:f>
      </x:c>
      <x:c r="BF52" s="10">
        <x:f>IF(P52="","",IF(MAX($P$2:$P$252)-MIN($P$2:$P$252)=0,"",(P52-MIN($P$2:$P$252))/(MAX($P$2:$P$252)-MIN($P$2:$P$252))*100))</x:f>
      </x:c>
      <x:c r="BG52">
        <x:f>IF(AF52="","",LOG10(AF52+1))</x:f>
      </x:c>
      <x:c r="BH52" s="10">
        <x:f>IF(BG52="","",IF(MAX($BG$2:$BG$252)-MIN($BG$2:$BG$252)=0,"",(BG52-MIN($BG$2:$BG$252))/(MAX($BG$2:$BG$252)-MIN($BG$2:$BG$252))*100))</x:f>
      </x:c>
      <x:c r="BI52">
        <x:f>IF(AC52="","",LOG10(AC52+1))</x:f>
      </x:c>
      <x:c r="BJ52" s="10">
        <x:f>IF(BI52="","",IF(MAX($BI$2:$BI$252)-MIN($BI$2:$BI$252)=0,"",(BI52-MIN($BI$2:$BI$252))/(MAX($BI$2:$BI$252)-MIN($BI$2:$BI$252))*100))</x:f>
      </x:c>
      <x:c r="BK52">
        <x:f>IF(AD52="","",(AD52*2)+(AE52*1))</x:f>
      </x:c>
      <x:c r="BL52" s="10">
        <x:f>IF(BK52="","",IF(MAX($BK$2:$BK$252)-MIN($BK$2:$BK$252)=0,"",(BK52-MIN($BK$2:$BK$252))/(MAX($BK$2:$BK$252)-MIN($BK$2:$BK$252))*100))</x:f>
      </x:c>
      <x:c r="BM52" s="10">
        <x:f>IF(AB52="","",IF(MAX($AB$2:$AB$252)-MIN($AB$2:$AB$252)=0,"",(AB52-MIN($AB$2:$AB$252))/(MAX($AB$2:$AB$252)-MIN($AB$2:$AB$252))*100))</x:f>
      </x:c>
      <x:c r="BN52" s="10">
        <x:f>IF(X52="","",X52)</x:f>
      </x:c>
      <x:c r="BO52" s="10">
        <x:f>IF(X52="","",100-X52)</x:f>
      </x:c>
      <x:c r="BP52" s="10">
        <x:f>IF((Weights!$C$2*IF(BH52="",0,1)+Weights!$C$3*IF(BJ52="",0,1)+Weights!$C$4*IF(BL52="",0,1))=0,"",(Weights!$C$2*IF(BH52="",0,BH52)+Weights!$C$3*IF(BJ52="",0,BJ52)+Weights!$C$4*IF(BL52="",0,BL52))/(Weights!$C$2*IF(BH52="",0,1)+Weights!$C$3*IF(BJ52="",0,1)+Weights!$C$4*IF(BL52="",0,1)))</x:f>
      </x:c>
      <x:c r="BQ52" s="10">
        <x:f>IF((Weights!$C$5*IF(BA52="",0,1)+Weights!$C$6*IF(AW52="",0,1)+Weights!$C$7*IF(AU52="",0,1))=0,"",(Weights!$C$5*IF(BA52="",0,BA52)+Weights!$C$6*IF(AW52="",0,AW52)+Weights!$C$7*IF(AU52="",0,AU52))/(Weights!$C$5*IF(BA52="",0,1)+Weights!$C$6*IF(AW52="",0,1)+Weights!$C$7*IF(AU52="",0,1)))</x:f>
      </x:c>
      <x:c r="BR52" s="10">
        <x:f>IF((Weights!$C$8*IF(AW52="",0,1)+Weights!$C$9*IF(BC52="",0,1)+Weights!$C$10*IF(BF52="",0,1))=0,"",(Weights!$C$8*IF(AW52="",0,AW52)+Weights!$C$9*IF(BC52="",0,BC52)+Weights!$C$10*IF(BF52="",0,BF52))/(Weights!$C$8*IF(AW52="",0,1)+Weights!$C$9*IF(BC52="",0,1)+Weights!$C$10*IF(BF52="",0,1)))</x:f>
      </x:c>
      <x:c r="BS52" s="10">
        <x:f>IF(Y52="","",Y52)</x:f>
      </x:c>
      <x:c r="BT52" s="10">
        <x:f>IF(AS52="","",AS52)</x:f>
      </x:c>
      <x:c r="BU52" s="10">
        <x:f>IF(AJ52&lt;&gt;"",(0.6*AJ52+0.4*AU52),IF((Weights!$C$11*IF(AU52="",0,1)+Weights!$C$12*IF(BM52="",0,1))=0,"",(Weights!$C$11*IF(AU52="",0,AU52)+Weights!$C$12*IF(BM52="",0,BM52))/(Weights!$C$11*IF(AU52="",0,1)+Weights!$C$12*IF(BM52="",0,1))))</x:f>
      </x:c>
      <x:c r="BV52" s="10">
        <x:f>IF(CG52="",0,CG52)</x:f>
      </x:c>
      <x:c r="BW52" s="10">
        <x:f>IF(AP52="","",AP52)</x:f>
      </x:c>
      <x:c r="BX52" s="10">
        <x:f>IF(AO52="","",AO52)</x:f>
      </x:c>
      <x:c r="BY52" s="10">
        <x:f>IF(AL52="","",AL52)</x:f>
      </x:c>
      <x:c r="BZ52" s="10">
        <x:f>IF(AM52="","",AM52)</x:f>
      </x:c>
      <x:c r="CA52" s="10">
        <x:f>IF(AK52&lt;&gt;"",AK52,AW52)</x:f>
      </x:c>
      <x:c r="CB52" s="10">
        <x:f>IF((Weights!$C$13*IF(BP52="",0,1)+Weights!$C$14*IF(BR52="",0,1)+Weights!$C$15*IF(BQ52="",0,1)+Weights!$C$16*IF(BS52="",0,1)+Weights!$C$17*IF(BU52="",0,1)+Weights!$C$18*IF(BT52="",0,1)+Weights!$C$19*IF(BW52="",0,1)+Weights!$C$20*IF(BZ52="",0,1)+Weights!$C$21*IF(BO52="",0,1)+Weights!$C$22)=0,"",(Weights!$C$13*IF(BP52="",0,BP52)+Weights!$C$14*IF(BR52="",0,BR52)+Weights!$C$15*IF(BQ52="",0,BQ52)+Weights!$C$16*IF(BS52="",0,BS52)+Weights!$C$17*IF(BU52="",0,BU52)+Weights!$C$18*IF(BT52="",0,BT52)+Weights!$C$19*IF(BW52="",0,BW52)+Weights!$C$20*IF(BZ52="",0,BZ52)+Weights!$C$21*IF(BO52="",0,BO52)+Weights!$C$22*BV52)/(Weights!$C$13*IF(BP52="",0,1)+Weights!$C$14*IF(BR52="",0,1)+Weights!$C$15*IF(BQ52="",0,1)+Weights!$C$16*IF(BS52="",0,1)+Weights!$C$17*IF(BU52="",0,1)+Weights!$C$18*IF(BT52="",0,1)+Weights!$C$19*IF(BW52="",0,1)+Weights!$C$20*IF(BZ52="",0,1)+Weights!$C$21*IF(BO52="",0,1)+Weights!$C$22))</x:f>
      </x:c>
      <x:c r="CC52" s="10">
        <x:f>IF((Weights!$C$23*IF(BQ52="",0,1)+Weights!$C$24*IF(BN52="",0,1)+Weights!$C$25*IF(BS52="",0,1)+Weights!$C$26*IF(BY52="",0,1)+Weights!$C$27*IF(BX52="",0,1)+Weights!$C$28*IF(BT52="",0,1)+Weights!$C$29*IF(CA52="",0,1)+Weights!$C$30+Weights!$C$31*IF(BU52="",0,1))=0,"",(Weights!$C$23*IF(BQ52="",0,BQ52)+Weights!$C$24*IF(BN52="",0,BN52)+Weights!$C$25*IF(BS52="",0,BS52)+Weights!$C$26*IF(BY52="",0,BY52)+Weights!$C$27*IF(BX52="",0,BX52)+Weights!$C$28*IF(BT52="",0,BT52)+Weights!$C$29*IF(CA52="",0,CA52)+Weights!$C$30*BV52+Weights!$C$31*IF(BU52="",0,BU52))/(Weights!$C$23*IF(BQ52="",0,1)+Weights!$C$24*IF(BN52="",0,1)+Weights!$C$25*IF(BS52="",0,1)+Weights!$C$26*IF(BY52="",0,1)+Weights!$C$27*IF(BX52="",0,1)+Weights!$C$28*IF(BT52="",0,1)+Weights!$C$29*IF(CA52="",0,1)+Weights!$C$30+Weights!$C$31*IF(BU52="",0,1)))</x:f>
      </x:c>
      <x:c r="CD52" s="10">
        <x:f>IF(AND(CB52="",CC52=""),"",IF(CB52="",CC52,IF(CC52="",CB52,AVERAGE(CB52,CC52))))</x:f>
      </x:c>
      <x:c r="CE52" s="7">
        <x:f>ROUND(100*((IF(BP52&lt;&gt;"",1,0)+IF(BQ52&lt;&gt;"",1,0)+IF(BR52&lt;&gt;"",1,0)+IF(BS52&lt;&gt;"",1,0)+IF(BU52&lt;&gt;"",1,0)+IF(BT52&lt;&gt;"",1,0)+IF(BN52&lt;&gt;"",1,0)+IF(AW52&lt;&gt;"",1,0))/8),0)</x:f>
      </x:c>
      <x:c r="CF52">
        <x:f>IF(V52="","",LOG10(V52+1))</x:f>
      </x:c>
      <x:c r="CG52">
        <x:f>IF(CF52="","",IF(MAX($CF$2:$CF$252)-MIN($CF$2:$CF$252)=0,"",(CF52-MIN($CF$2:$CF$252))/(MAX($CF$2:$CF$252)-MIN($CF$2:$CF$252))*100))</x:f>
      </x:c>
    </x:row>
    <x:row r="53">
      <x:c r="A53" t="inlineStr">
        <x:is>
          <x:t xml:space="preserve">GIB</x:t>
        </x:is>
      </x:c>
      <x:c r="B53" t="inlineStr">
        <x:is>
          <x:t xml:space="preserve">Gibraltar</x:t>
        </x:is>
      </x:c>
      <x:c r="C53" t="inlineStr">
        <x:is>
          <x:t xml:space="preserve">Europe &amp; Central Asia</x:t>
        </x:is>
      </x:c>
      <x:c r="D53" t="inlineStr">
        <x:is>
          <x:t xml:space="preserve">High income</x:t>
        </x:is>
      </x:c>
      <x:c r="F53" t="n">
        <x:v>2024</x:v>
      </x:c>
      <x:c r="G53" t="n">
        <x:v>39329</x:v>
      </x:c>
      <x:c r="N53" s="8" t="n"/>
      <x:c r="O53" s="9" t="n"/>
      <x:c r="P53" s="8" t="n"/>
      <x:c r="R53" s="8" t="n"/>
      <x:c r="S53" t="n">
        <x:v>0</x:v>
      </x:c>
      <x:c r="T53" t="n">
        <x:v>0</x:v>
      </x:c>
      <x:c r="U53" t="inlineStr">
        <x:is>
          <x:t xml:space="preserve">No</x:t>
        </x:is>
      </x:c>
      <x:c r="W53" t="inlineStr">
        <x:is>
          <x:t xml:space="preserve">No</x:t>
        </x:is>
      </x:c>
      <x:c r="AB53" s="8" t="n"/>
      <x:c r="AR53">
        <x:f>IF(G53="","",LOG10(G53+1))</x:f>
      </x:c>
      <x:c r="AS53" s="10">
        <x:f>IF(AR53="","",IF(MAX($AR$2:$AR$252)-MIN($AR$2:$AR$252)=0,"",(AR53-MIN($AR$2:$AR$252))/(MAX($AR$2:$AR$252)-MIN($AR$2:$AR$252))*100))</x:f>
      </x:c>
      <x:c r="AT53">
        <x:f>IF(R53="","",LOG10(R53+1))</x:f>
      </x:c>
      <x:c r="AU53" s="10">
        <x:f>IF(AT53="","",IF(MAX($AT$2:$AT$252)-MIN($AT$2:$AT$252)=0,"",(AT53-MIN($AT$2:$AT$252))/(MAX($AT$2:$AT$252)-MIN($AT$2:$AT$252))*100))</x:f>
      </x:c>
      <x:c r="AV53">
        <x:f>IF(N53="","",LOG10(N53+1))</x:f>
      </x:c>
      <x:c r="AW53" s="10">
        <x:f>IF(AV53="","",IF(MAX($AV$2:$AV$252)-MIN($AV$2:$AV$252)=0,"",(AV53-MIN($AV$2:$AV$252))/(MAX($AV$2:$AV$252)-MIN($AV$2:$AV$252))*100))</x:f>
      </x:c>
      <x:c r="AX53">
        <x:f>IF(I53="","",LOG10(I53+1))</x:f>
      </x:c>
      <x:c r="AY53" s="10">
        <x:f>IF(AX53="","",IF(MAX($AX$2:$AX$252)-MIN($AX$2:$AX$252)=0,"",(AX53-MIN($AX$2:$AX$252))/(MAX($AX$2:$AX$252)-MIN($AX$2:$AX$252))*100))</x:f>
      </x:c>
      <x:c r="AZ53">
        <x:f>IF(J53="","",LOG10(J53+1))</x:f>
      </x:c>
      <x:c r="BA53" s="10">
        <x:f>IF(AZ53="","",IF(MAX($AZ$2:$AZ$252)-MIN($AZ$2:$AZ$252)=0,"",(AZ53-MIN($AZ$2:$AZ$252))/(MAX($AZ$2:$AZ$252)-MIN($AZ$2:$AZ$252))*100))</x:f>
      </x:c>
      <x:c r="BB53">
        <x:f>IF(K53="","",LOG10(K53+1))</x:f>
      </x:c>
      <x:c r="BC53" s="10">
        <x:f>IF(BB53="","",IF(MAX($BB$2:$BB$252)-MIN($BB$2:$BB$252)=0,"",(BB53-MIN($BB$2:$BB$252))/(MAX($BB$2:$BB$252)-MIN($BB$2:$BB$252))*100))</x:f>
      </x:c>
      <x:c r="BD53">
        <x:f>IF(L53="","",LOG10(L53+1))</x:f>
      </x:c>
      <x:c r="BE53" s="10">
        <x:f>IF(BD53="","",IF(MAX($BD$2:$BD$252)-MIN($BD$2:$BD$252)=0,"",(BD53-MIN($BD$2:$BD$252))/(MAX($BD$2:$BD$252)-MIN($BD$2:$BD$252))*100))</x:f>
      </x:c>
      <x:c r="BF53" s="10">
        <x:f>IF(P53="","",IF(MAX($P$2:$P$252)-MIN($P$2:$P$252)=0,"",(P53-MIN($P$2:$P$252))/(MAX($P$2:$P$252)-MIN($P$2:$P$252))*100))</x:f>
      </x:c>
      <x:c r="BG53">
        <x:f>IF(AF53="","",LOG10(AF53+1))</x:f>
      </x:c>
      <x:c r="BH53" s="10">
        <x:f>IF(BG53="","",IF(MAX($BG$2:$BG$252)-MIN($BG$2:$BG$252)=0,"",(BG53-MIN($BG$2:$BG$252))/(MAX($BG$2:$BG$252)-MIN($BG$2:$BG$252))*100))</x:f>
      </x:c>
      <x:c r="BI53">
        <x:f>IF(AC53="","",LOG10(AC53+1))</x:f>
      </x:c>
      <x:c r="BJ53" s="10">
        <x:f>IF(BI53="","",IF(MAX($BI$2:$BI$252)-MIN($BI$2:$BI$252)=0,"",(BI53-MIN($BI$2:$BI$252))/(MAX($BI$2:$BI$252)-MIN($BI$2:$BI$252))*100))</x:f>
      </x:c>
      <x:c r="BK53">
        <x:f>IF(AD53="","",(AD53*2)+(AE53*1))</x:f>
      </x:c>
      <x:c r="BL53" s="10">
        <x:f>IF(BK53="","",IF(MAX($BK$2:$BK$252)-MIN($BK$2:$BK$252)=0,"",(BK53-MIN($BK$2:$BK$252))/(MAX($BK$2:$BK$252)-MIN($BK$2:$BK$252))*100))</x:f>
      </x:c>
      <x:c r="BM53" s="10">
        <x:f>IF(AB53="","",IF(MAX($AB$2:$AB$252)-MIN($AB$2:$AB$252)=0,"",(AB53-MIN($AB$2:$AB$252))/(MAX($AB$2:$AB$252)-MIN($AB$2:$AB$252))*100))</x:f>
      </x:c>
      <x:c r="BN53" s="10">
        <x:f>IF(X53="","",X53)</x:f>
      </x:c>
      <x:c r="BO53" s="10">
        <x:f>IF(X53="","",100-X53)</x:f>
      </x:c>
      <x:c r="BP53" s="10">
        <x:f>IF((Weights!$C$2*IF(BH53="",0,1)+Weights!$C$3*IF(BJ53="",0,1)+Weights!$C$4*IF(BL53="",0,1))=0,"",(Weights!$C$2*IF(BH53="",0,BH53)+Weights!$C$3*IF(BJ53="",0,BJ53)+Weights!$C$4*IF(BL53="",0,BL53))/(Weights!$C$2*IF(BH53="",0,1)+Weights!$C$3*IF(BJ53="",0,1)+Weights!$C$4*IF(BL53="",0,1)))</x:f>
      </x:c>
      <x:c r="BQ53" s="10">
        <x:f>IF((Weights!$C$5*IF(BA53="",0,1)+Weights!$C$6*IF(AW53="",0,1)+Weights!$C$7*IF(AU53="",0,1))=0,"",(Weights!$C$5*IF(BA53="",0,BA53)+Weights!$C$6*IF(AW53="",0,AW53)+Weights!$C$7*IF(AU53="",0,AU53))/(Weights!$C$5*IF(BA53="",0,1)+Weights!$C$6*IF(AW53="",0,1)+Weights!$C$7*IF(AU53="",0,1)))</x:f>
      </x:c>
      <x:c r="BR53" s="10">
        <x:f>IF((Weights!$C$8*IF(AW53="",0,1)+Weights!$C$9*IF(BC53="",0,1)+Weights!$C$10*IF(BF53="",0,1))=0,"",(Weights!$C$8*IF(AW53="",0,AW53)+Weights!$C$9*IF(BC53="",0,BC53)+Weights!$C$10*IF(BF53="",0,BF53))/(Weights!$C$8*IF(AW53="",0,1)+Weights!$C$9*IF(BC53="",0,1)+Weights!$C$10*IF(BF53="",0,1)))</x:f>
      </x:c>
      <x:c r="BS53" s="10">
        <x:f>IF(Y53="","",Y53)</x:f>
      </x:c>
      <x:c r="BT53" s="10">
        <x:f>IF(AS53="","",AS53)</x:f>
      </x:c>
      <x:c r="BU53" s="10">
        <x:f>IF(AJ53&lt;&gt;"",(0.6*AJ53+0.4*AU53),IF((Weights!$C$11*IF(AU53="",0,1)+Weights!$C$12*IF(BM53="",0,1))=0,"",(Weights!$C$11*IF(AU53="",0,AU53)+Weights!$C$12*IF(BM53="",0,BM53))/(Weights!$C$11*IF(AU53="",0,1)+Weights!$C$12*IF(BM53="",0,1))))</x:f>
      </x:c>
      <x:c r="BV53" s="10">
        <x:f>IF(CG53="",0,CG53)</x:f>
      </x:c>
      <x:c r="BW53" s="10">
        <x:f>IF(AP53="","",AP53)</x:f>
      </x:c>
      <x:c r="BX53" s="10">
        <x:f>IF(AO53="","",AO53)</x:f>
      </x:c>
      <x:c r="BY53" s="10">
        <x:f>IF(AL53="","",AL53)</x:f>
      </x:c>
      <x:c r="BZ53" s="10">
        <x:f>IF(AM53="","",AM53)</x:f>
      </x:c>
      <x:c r="CA53" s="10">
        <x:f>IF(AK53&lt;&gt;"",AK53,AW53)</x:f>
      </x:c>
      <x:c r="CB53" s="10">
        <x:f>IF((Weights!$C$13*IF(BP53="",0,1)+Weights!$C$14*IF(BR53="",0,1)+Weights!$C$15*IF(BQ53="",0,1)+Weights!$C$16*IF(BS53="",0,1)+Weights!$C$17*IF(BU53="",0,1)+Weights!$C$18*IF(BT53="",0,1)+Weights!$C$19*IF(BW53="",0,1)+Weights!$C$20*IF(BZ53="",0,1)+Weights!$C$21*IF(BO53="",0,1)+Weights!$C$22)=0,"",(Weights!$C$13*IF(BP53="",0,BP53)+Weights!$C$14*IF(BR53="",0,BR53)+Weights!$C$15*IF(BQ53="",0,BQ53)+Weights!$C$16*IF(BS53="",0,BS53)+Weights!$C$17*IF(BU53="",0,BU53)+Weights!$C$18*IF(BT53="",0,BT53)+Weights!$C$19*IF(BW53="",0,BW53)+Weights!$C$20*IF(BZ53="",0,BZ53)+Weights!$C$21*IF(BO53="",0,BO53)+Weights!$C$22*BV53)/(Weights!$C$13*IF(BP53="",0,1)+Weights!$C$14*IF(BR53="",0,1)+Weights!$C$15*IF(BQ53="",0,1)+Weights!$C$16*IF(BS53="",0,1)+Weights!$C$17*IF(BU53="",0,1)+Weights!$C$18*IF(BT53="",0,1)+Weights!$C$19*IF(BW53="",0,1)+Weights!$C$20*IF(BZ53="",0,1)+Weights!$C$21*IF(BO53="",0,1)+Weights!$C$22))</x:f>
      </x:c>
      <x:c r="CC53" s="10">
        <x:f>IF((Weights!$C$23*IF(BQ53="",0,1)+Weights!$C$24*IF(BN53="",0,1)+Weights!$C$25*IF(BS53="",0,1)+Weights!$C$26*IF(BY53="",0,1)+Weights!$C$27*IF(BX53="",0,1)+Weights!$C$28*IF(BT53="",0,1)+Weights!$C$29*IF(CA53="",0,1)+Weights!$C$30+Weights!$C$31*IF(BU53="",0,1))=0,"",(Weights!$C$23*IF(BQ53="",0,BQ53)+Weights!$C$24*IF(BN53="",0,BN53)+Weights!$C$25*IF(BS53="",0,BS53)+Weights!$C$26*IF(BY53="",0,BY53)+Weights!$C$27*IF(BX53="",0,BX53)+Weights!$C$28*IF(BT53="",0,BT53)+Weights!$C$29*IF(CA53="",0,CA53)+Weights!$C$30*BV53+Weights!$C$31*IF(BU53="",0,BU53))/(Weights!$C$23*IF(BQ53="",0,1)+Weights!$C$24*IF(BN53="",0,1)+Weights!$C$25*IF(BS53="",0,1)+Weights!$C$26*IF(BY53="",0,1)+Weights!$C$27*IF(BX53="",0,1)+Weights!$C$28*IF(BT53="",0,1)+Weights!$C$29*IF(CA53="",0,1)+Weights!$C$30+Weights!$C$31*IF(BU53="",0,1)))</x:f>
      </x:c>
      <x:c r="CD53" s="10">
        <x:f>IF(AND(CB53="",CC53=""),"",IF(CB53="",CC53,IF(CC53="",CB53,AVERAGE(CB53,CC53))))</x:f>
      </x:c>
      <x:c r="CE53" s="7">
        <x:f>ROUND(100*((IF(BP53&lt;&gt;"",1,0)+IF(BQ53&lt;&gt;"",1,0)+IF(BR53&lt;&gt;"",1,0)+IF(BS53&lt;&gt;"",1,0)+IF(BU53&lt;&gt;"",1,0)+IF(BT53&lt;&gt;"",1,0)+IF(BN53&lt;&gt;"",1,0)+IF(AW53&lt;&gt;"",1,0))/8),0)</x:f>
      </x:c>
      <x:c r="CF53">
        <x:f>IF(V53="","",LOG10(V53+1))</x:f>
      </x:c>
      <x:c r="CG53">
        <x:f>IF(CF53="","",IF(MAX($CF$2:$CF$252)-MIN($CF$2:$CF$252)=0,"",(CF53-MIN($CF$2:$CF$252))/(MAX($CF$2:$CF$252)-MIN($CF$2:$CF$252))*100))</x:f>
      </x:c>
    </x:row>
    <x:row r="54">
      <x:c r="A54" t="inlineStr">
        <x:is>
          <x:t xml:space="preserve">LUX</x:t>
        </x:is>
      </x:c>
      <x:c r="B54" t="inlineStr">
        <x:is>
          <x:t xml:space="preserve">Luxembourg</x:t>
        </x:is>
      </x:c>
      <x:c r="C54" t="inlineStr">
        <x:is>
          <x:t xml:space="preserve">Europe &amp; Central Asia</x:t>
        </x:is>
      </x:c>
      <x:c r="D54" t="inlineStr">
        <x:is>
          <x:t xml:space="preserve">High income</x:t>
        </x:is>
      </x:c>
      <x:c r="E54" t="inlineStr">
        <x:is>
          <x:t xml:space="preserve">Europe</x:t>
        </x:is>
      </x:c>
      <x:c r="F54" t="n">
        <x:v>2024</x:v>
      </x:c>
      <x:c r="G54" t="n">
        <x:v>677012</x:v>
      </x:c>
      <x:c r="H54" t="n">
        <x:v>2020</x:v>
      </x:c>
      <x:c r="I54" t="n">
        <x:v>1000</x:v>
      </x:c>
      <x:c r="J54" t="n">
        <x:v>650</x:v>
      </x:c>
      <x:c r="K54" t="n">
        <x:v>200</x:v>
      </x:c>
      <x:c r="L54" t="n">
        <x:v>120</x:v>
      </x:c>
      <x:c r="M54" t="n">
        <x:v>2024</x:v>
      </x:c>
      <x:c r="N54" s="8" t="n">
        <x:v>871643141.196422</x:v>
      </x:c>
      <x:c r="O54" s="9" t="n">
        <x:v>0.962679157025622</x:v>
      </x:c>
      <x:c r="P54" s="8" t="n">
        <x:v>871643.1411964219</x:v>
      </x:c>
      <x:c r="Q54" t="n">
        <x:v>2024</x:v>
      </x:c>
      <x:c r="R54" s="8" t="n">
        <x:v>93279851863.4062</x:v>
      </x:c>
      <x:c r="S54" t="n">
        <x:v>57</x:v>
      </x:c>
      <x:c r="T54" t="n">
        <x:v>1</x:v>
      </x:c>
      <x:c r="U54" t="inlineStr">
        <x:is>
          <x:t xml:space="preserve">No</x:t>
        </x:is>
      </x:c>
      <x:c r="W54" t="inlineStr">
        <x:is>
          <x:t xml:space="preserve">No</x:t>
        </x:is>
      </x:c>
      <x:c r="X54" t="n">
        <x:v>4.004625863070256</x:v>
      </x:c>
      <x:c r="Y54" t="n">
        <x:v>95.59510741909959</x:v>
      </x:c>
      <x:c r="Z54" t="n">
        <x:v>2416.870482664917</x:v>
      </x:c>
      <x:c r="AA54" t="n">
        <x:v>245.8261641496377</x:v>
      </x:c>
      <x:c r="AB54" s="8" t="n">
        <x:v>98867.25127497349</x:v>
      </x:c>
      <x:c r="AR54">
        <x:f>IF(G54="","",LOG10(G54+1))</x:f>
      </x:c>
      <x:c r="AS54" s="10">
        <x:f>IF(AR54="","",IF(MAX($AR$2:$AR$252)-MIN($AR$2:$AR$252)=0,"",(AR54-MIN($AR$2:$AR$252))/(MAX($AR$2:$AR$252)-MIN($AR$2:$AR$252))*100))</x:f>
      </x:c>
      <x:c r="AT54">
        <x:f>IF(R54="","",LOG10(R54+1))</x:f>
      </x:c>
      <x:c r="AU54" s="10">
        <x:f>IF(AT54="","",IF(MAX($AT$2:$AT$252)-MIN($AT$2:$AT$252)=0,"",(AT54-MIN($AT$2:$AT$252))/(MAX($AT$2:$AT$252)-MIN($AT$2:$AT$252))*100))</x:f>
      </x:c>
      <x:c r="AV54">
        <x:f>IF(N54="","",LOG10(N54+1))</x:f>
      </x:c>
      <x:c r="AW54" s="10">
        <x:f>IF(AV54="","",IF(MAX($AV$2:$AV$252)-MIN($AV$2:$AV$252)=0,"",(AV54-MIN($AV$2:$AV$252))/(MAX($AV$2:$AV$252)-MIN($AV$2:$AV$252))*100))</x:f>
      </x:c>
      <x:c r="AX54">
        <x:f>IF(I54="","",LOG10(I54+1))</x:f>
      </x:c>
      <x:c r="AY54" s="10">
        <x:f>IF(AX54="","",IF(MAX($AX$2:$AX$252)-MIN($AX$2:$AX$252)=0,"",(AX54-MIN($AX$2:$AX$252))/(MAX($AX$2:$AX$252)-MIN($AX$2:$AX$252))*100))</x:f>
      </x:c>
      <x:c r="AZ54">
        <x:f>IF(J54="","",LOG10(J54+1))</x:f>
      </x:c>
      <x:c r="BA54" s="10">
        <x:f>IF(AZ54="","",IF(MAX($AZ$2:$AZ$252)-MIN($AZ$2:$AZ$252)=0,"",(AZ54-MIN($AZ$2:$AZ$252))/(MAX($AZ$2:$AZ$252)-MIN($AZ$2:$AZ$252))*100))</x:f>
      </x:c>
      <x:c r="BB54">
        <x:f>IF(K54="","",LOG10(K54+1))</x:f>
      </x:c>
      <x:c r="BC54" s="10">
        <x:f>IF(BB54="","",IF(MAX($BB$2:$BB$252)-MIN($BB$2:$BB$252)=0,"",(BB54-MIN($BB$2:$BB$252))/(MAX($BB$2:$BB$252)-MIN($BB$2:$BB$252))*100))</x:f>
      </x:c>
      <x:c r="BD54">
        <x:f>IF(L54="","",LOG10(L54+1))</x:f>
      </x:c>
      <x:c r="BE54" s="10">
        <x:f>IF(BD54="","",IF(MAX($BD$2:$BD$252)-MIN($BD$2:$BD$252)=0,"",(BD54-MIN($BD$2:$BD$252))/(MAX($BD$2:$BD$252)-MIN($BD$2:$BD$252))*100))</x:f>
      </x:c>
      <x:c r="BF54" s="10">
        <x:f>IF(P54="","",IF(MAX($P$2:$P$252)-MIN($P$2:$P$252)=0,"",(P54-MIN($P$2:$P$252))/(MAX($P$2:$P$252)-MIN($P$2:$P$252))*100))</x:f>
      </x:c>
      <x:c r="BG54">
        <x:f>IF(AF54="","",LOG10(AF54+1))</x:f>
      </x:c>
      <x:c r="BH54" s="10">
        <x:f>IF(BG54="","",IF(MAX($BG$2:$BG$252)-MIN($BG$2:$BG$252)=0,"",(BG54-MIN($BG$2:$BG$252))/(MAX($BG$2:$BG$252)-MIN($BG$2:$BG$252))*100))</x:f>
      </x:c>
      <x:c r="BI54">
        <x:f>IF(AC54="","",LOG10(AC54+1))</x:f>
      </x:c>
      <x:c r="BJ54" s="10">
        <x:f>IF(BI54="","",IF(MAX($BI$2:$BI$252)-MIN($BI$2:$BI$252)=0,"",(BI54-MIN($BI$2:$BI$252))/(MAX($BI$2:$BI$252)-MIN($BI$2:$BI$252))*100))</x:f>
      </x:c>
      <x:c r="BK54">
        <x:f>IF(AD54="","",(AD54*2)+(AE54*1))</x:f>
      </x:c>
      <x:c r="BL54" s="10">
        <x:f>IF(BK54="","",IF(MAX($BK$2:$BK$252)-MIN($BK$2:$BK$252)=0,"",(BK54-MIN($BK$2:$BK$252))/(MAX($BK$2:$BK$252)-MIN($BK$2:$BK$252))*100))</x:f>
      </x:c>
      <x:c r="BM54" s="10">
        <x:f>IF(AB54="","",IF(MAX($AB$2:$AB$252)-MIN($AB$2:$AB$252)=0,"",(AB54-MIN($AB$2:$AB$252))/(MAX($AB$2:$AB$252)-MIN($AB$2:$AB$252))*100))</x:f>
      </x:c>
      <x:c r="BN54" s="10">
        <x:f>IF(X54="","",X54)</x:f>
      </x:c>
      <x:c r="BO54" s="10">
        <x:f>IF(X54="","",100-X54)</x:f>
      </x:c>
      <x:c r="BP54" s="10">
        <x:f>IF((Weights!$C$2*IF(BH54="",0,1)+Weights!$C$3*IF(BJ54="",0,1)+Weights!$C$4*IF(BL54="",0,1))=0,"",(Weights!$C$2*IF(BH54="",0,BH54)+Weights!$C$3*IF(BJ54="",0,BJ54)+Weights!$C$4*IF(BL54="",0,BL54))/(Weights!$C$2*IF(BH54="",0,1)+Weights!$C$3*IF(BJ54="",0,1)+Weights!$C$4*IF(BL54="",0,1)))</x:f>
      </x:c>
      <x:c r="BQ54" s="10">
        <x:f>IF((Weights!$C$5*IF(BA54="",0,1)+Weights!$C$6*IF(AW54="",0,1)+Weights!$C$7*IF(AU54="",0,1))=0,"",(Weights!$C$5*IF(BA54="",0,BA54)+Weights!$C$6*IF(AW54="",0,AW54)+Weights!$C$7*IF(AU54="",0,AU54))/(Weights!$C$5*IF(BA54="",0,1)+Weights!$C$6*IF(AW54="",0,1)+Weights!$C$7*IF(AU54="",0,1)))</x:f>
      </x:c>
      <x:c r="BR54" s="10">
        <x:f>IF((Weights!$C$8*IF(AW54="",0,1)+Weights!$C$9*IF(BC54="",0,1)+Weights!$C$10*IF(BF54="",0,1))=0,"",(Weights!$C$8*IF(AW54="",0,AW54)+Weights!$C$9*IF(BC54="",0,BC54)+Weights!$C$10*IF(BF54="",0,BF54))/(Weights!$C$8*IF(AW54="",0,1)+Weights!$C$9*IF(BC54="",0,1)+Weights!$C$10*IF(BF54="",0,1)))</x:f>
      </x:c>
      <x:c r="BS54" s="10">
        <x:f>IF(Y54="","",Y54)</x:f>
      </x:c>
      <x:c r="BT54" s="10">
        <x:f>IF(AS54="","",AS54)</x:f>
      </x:c>
      <x:c r="BU54" s="10">
        <x:f>IF(AJ54&lt;&gt;"",(0.6*AJ54+0.4*AU54),IF((Weights!$C$11*IF(AU54="",0,1)+Weights!$C$12*IF(BM54="",0,1))=0,"",(Weights!$C$11*IF(AU54="",0,AU54)+Weights!$C$12*IF(BM54="",0,BM54))/(Weights!$C$11*IF(AU54="",0,1)+Weights!$C$12*IF(BM54="",0,1))))</x:f>
      </x:c>
      <x:c r="BV54" s="10">
        <x:f>IF(CG54="",0,CG54)</x:f>
      </x:c>
      <x:c r="BW54" s="10">
        <x:f>IF(AP54="","",AP54)</x:f>
      </x:c>
      <x:c r="BX54" s="10">
        <x:f>IF(AO54="","",AO54)</x:f>
      </x:c>
      <x:c r="BY54" s="10">
        <x:f>IF(AL54="","",AL54)</x:f>
      </x:c>
      <x:c r="BZ54" s="10">
        <x:f>IF(AM54="","",AM54)</x:f>
      </x:c>
      <x:c r="CA54" s="10">
        <x:f>IF(AK54&lt;&gt;"",AK54,AW54)</x:f>
      </x:c>
      <x:c r="CB54" s="10">
        <x:f>IF((Weights!$C$13*IF(BP54="",0,1)+Weights!$C$14*IF(BR54="",0,1)+Weights!$C$15*IF(BQ54="",0,1)+Weights!$C$16*IF(BS54="",0,1)+Weights!$C$17*IF(BU54="",0,1)+Weights!$C$18*IF(BT54="",0,1)+Weights!$C$19*IF(BW54="",0,1)+Weights!$C$20*IF(BZ54="",0,1)+Weights!$C$21*IF(BO54="",0,1)+Weights!$C$22)=0,"",(Weights!$C$13*IF(BP54="",0,BP54)+Weights!$C$14*IF(BR54="",0,BR54)+Weights!$C$15*IF(BQ54="",0,BQ54)+Weights!$C$16*IF(BS54="",0,BS54)+Weights!$C$17*IF(BU54="",0,BU54)+Weights!$C$18*IF(BT54="",0,BT54)+Weights!$C$19*IF(BW54="",0,BW54)+Weights!$C$20*IF(BZ54="",0,BZ54)+Weights!$C$21*IF(BO54="",0,BO54)+Weights!$C$22*BV54)/(Weights!$C$13*IF(BP54="",0,1)+Weights!$C$14*IF(BR54="",0,1)+Weights!$C$15*IF(BQ54="",0,1)+Weights!$C$16*IF(BS54="",0,1)+Weights!$C$17*IF(BU54="",0,1)+Weights!$C$18*IF(BT54="",0,1)+Weights!$C$19*IF(BW54="",0,1)+Weights!$C$20*IF(BZ54="",0,1)+Weights!$C$21*IF(BO54="",0,1)+Weights!$C$22))</x:f>
      </x:c>
      <x:c r="CC54" s="10">
        <x:f>IF((Weights!$C$23*IF(BQ54="",0,1)+Weights!$C$24*IF(BN54="",0,1)+Weights!$C$25*IF(BS54="",0,1)+Weights!$C$26*IF(BY54="",0,1)+Weights!$C$27*IF(BX54="",0,1)+Weights!$C$28*IF(BT54="",0,1)+Weights!$C$29*IF(CA54="",0,1)+Weights!$C$30+Weights!$C$31*IF(BU54="",0,1))=0,"",(Weights!$C$23*IF(BQ54="",0,BQ54)+Weights!$C$24*IF(BN54="",0,BN54)+Weights!$C$25*IF(BS54="",0,BS54)+Weights!$C$26*IF(BY54="",0,BY54)+Weights!$C$27*IF(BX54="",0,BX54)+Weights!$C$28*IF(BT54="",0,BT54)+Weights!$C$29*IF(CA54="",0,CA54)+Weights!$C$30*BV54+Weights!$C$31*IF(BU54="",0,BU54))/(Weights!$C$23*IF(BQ54="",0,1)+Weights!$C$24*IF(BN54="",0,1)+Weights!$C$25*IF(BS54="",0,1)+Weights!$C$26*IF(BY54="",0,1)+Weights!$C$27*IF(BX54="",0,1)+Weights!$C$28*IF(BT54="",0,1)+Weights!$C$29*IF(CA54="",0,1)+Weights!$C$30+Weights!$C$31*IF(BU54="",0,1)))</x:f>
      </x:c>
      <x:c r="CD54" s="10">
        <x:f>IF(AND(CB54="",CC54=""),"",IF(CB54="",CC54,IF(CC54="",CB54,AVERAGE(CB54,CC54))))</x:f>
      </x:c>
      <x:c r="CE54" s="7">
        <x:f>ROUND(100*((IF(BP54&lt;&gt;"",1,0)+IF(BQ54&lt;&gt;"",1,0)+IF(BR54&lt;&gt;"",1,0)+IF(BS54&lt;&gt;"",1,0)+IF(BU54&lt;&gt;"",1,0)+IF(BT54&lt;&gt;"",1,0)+IF(BN54&lt;&gt;"",1,0)+IF(AW54&lt;&gt;"",1,0))/8),0)</x:f>
      </x:c>
      <x:c r="CF54">
        <x:f>IF(V54="","",LOG10(V54+1))</x:f>
      </x:c>
      <x:c r="CG54">
        <x:f>IF(CF54="","",IF(MAX($CF$2:$CF$252)-MIN($CF$2:$CF$252)=0,"",(CF54-MIN($CF$2:$CF$252))/(MAX($CF$2:$CF$252)-MIN($CF$2:$CF$252))*100))</x:f>
      </x:c>
    </x:row>
    <x:row r="55">
      <x:c r="A55" t="inlineStr">
        <x:is>
          <x:t xml:space="preserve">GRL</x:t>
        </x:is>
      </x:c>
      <x:c r="B55" t="inlineStr">
        <x:is>
          <x:t xml:space="preserve">Greenland</x:t>
        </x:is>
      </x:c>
      <x:c r="C55" t="inlineStr">
        <x:is>
          <x:t xml:space="preserve">Europe &amp; Central Asia</x:t>
        </x:is>
      </x:c>
      <x:c r="D55" t="inlineStr">
        <x:is>
          <x:t xml:space="preserve">High income</x:t>
        </x:is>
      </x:c>
      <x:c r="E55" t="inlineStr">
        <x:is>
          <x:t xml:space="preserve">North America</x:t>
        </x:is>
      </x:c>
      <x:c r="F55" t="n">
        <x:v>2024</x:v>
      </x:c>
      <x:c r="G55" t="n">
        <x:v>56836</x:v>
      </x:c>
      <x:c r="N55" s="8" t="n"/>
      <x:c r="O55" s="9" t="n"/>
      <x:c r="P55" s="8" t="n"/>
      <x:c r="Q55" t="n">
        <x:v>2023</x:v>
      </x:c>
      <x:c r="R55" s="8" t="n">
        <x:v>3326543974.39193</x:v>
      </x:c>
      <x:c r="S55" t="n">
        <x:v>0</x:v>
      </x:c>
      <x:c r="T55" t="n">
        <x:v>0</x:v>
      </x:c>
      <x:c r="U55" t="inlineStr">
        <x:is>
          <x:t xml:space="preserve">No</x:t>
        </x:is>
      </x:c>
      <x:c r="W55" t="inlineStr">
        <x:is>
          <x:t xml:space="preserve">No</x:t>
        </x:is>
      </x:c>
      <x:c r="X55" t="n">
        <x:v>25.96074438015703</x:v>
      </x:c>
      <x:c r="Y55" t="n">
        <x:v>47.04849115366684</x:v>
      </x:c>
      <x:c r="Z55" t="n">
        <x:v>2206644.439532625</x:v>
      </x:c>
      <x:c r="AA55" t="n">
        <x:v>0.02615419093627237</x:v>
      </x:c>
      <x:c r="AB55" s="8" t="n">
        <x:v>37651.82887737598</x:v>
      </x:c>
      <x:c r="AR55">
        <x:f>IF(G55="","",LOG10(G55+1))</x:f>
      </x:c>
      <x:c r="AS55" s="10">
        <x:f>IF(AR55="","",IF(MAX($AR$2:$AR$252)-MIN($AR$2:$AR$252)=0,"",(AR55-MIN($AR$2:$AR$252))/(MAX($AR$2:$AR$252)-MIN($AR$2:$AR$252))*100))</x:f>
      </x:c>
      <x:c r="AT55">
        <x:f>IF(R55="","",LOG10(R55+1))</x:f>
      </x:c>
      <x:c r="AU55" s="10">
        <x:f>IF(AT55="","",IF(MAX($AT$2:$AT$252)-MIN($AT$2:$AT$252)=0,"",(AT55-MIN($AT$2:$AT$252))/(MAX($AT$2:$AT$252)-MIN($AT$2:$AT$252))*100))</x:f>
      </x:c>
      <x:c r="AV55">
        <x:f>IF(N55="","",LOG10(N55+1))</x:f>
      </x:c>
      <x:c r="AW55" s="10">
        <x:f>IF(AV55="","",IF(MAX($AV$2:$AV$252)-MIN($AV$2:$AV$252)=0,"",(AV55-MIN($AV$2:$AV$252))/(MAX($AV$2:$AV$252)-MIN($AV$2:$AV$252))*100))</x:f>
      </x:c>
      <x:c r="AX55">
        <x:f>IF(I55="","",LOG10(I55+1))</x:f>
      </x:c>
      <x:c r="AY55" s="10">
        <x:f>IF(AX55="","",IF(MAX($AX$2:$AX$252)-MIN($AX$2:$AX$252)=0,"",(AX55-MIN($AX$2:$AX$252))/(MAX($AX$2:$AX$252)-MIN($AX$2:$AX$252))*100))</x:f>
      </x:c>
      <x:c r="AZ55">
        <x:f>IF(J55="","",LOG10(J55+1))</x:f>
      </x:c>
      <x:c r="BA55" s="10">
        <x:f>IF(AZ55="","",IF(MAX($AZ$2:$AZ$252)-MIN($AZ$2:$AZ$252)=0,"",(AZ55-MIN($AZ$2:$AZ$252))/(MAX($AZ$2:$AZ$252)-MIN($AZ$2:$AZ$252))*100))</x:f>
      </x:c>
      <x:c r="BB55">
        <x:f>IF(K55="","",LOG10(K55+1))</x:f>
      </x:c>
      <x:c r="BC55" s="10">
        <x:f>IF(BB55="","",IF(MAX($BB$2:$BB$252)-MIN($BB$2:$BB$252)=0,"",(BB55-MIN($BB$2:$BB$252))/(MAX($BB$2:$BB$252)-MIN($BB$2:$BB$252))*100))</x:f>
      </x:c>
      <x:c r="BD55">
        <x:f>IF(L55="","",LOG10(L55+1))</x:f>
      </x:c>
      <x:c r="BE55" s="10">
        <x:f>IF(BD55="","",IF(MAX($BD$2:$BD$252)-MIN($BD$2:$BD$252)=0,"",(BD55-MIN($BD$2:$BD$252))/(MAX($BD$2:$BD$252)-MIN($BD$2:$BD$252))*100))</x:f>
      </x:c>
      <x:c r="BF55" s="10">
        <x:f>IF(P55="","",IF(MAX($P$2:$P$252)-MIN($P$2:$P$252)=0,"",(P55-MIN($P$2:$P$252))/(MAX($P$2:$P$252)-MIN($P$2:$P$252))*100))</x:f>
      </x:c>
      <x:c r="BG55">
        <x:f>IF(AF55="","",LOG10(AF55+1))</x:f>
      </x:c>
      <x:c r="BH55" s="10">
        <x:f>IF(BG55="","",IF(MAX($BG$2:$BG$252)-MIN($BG$2:$BG$252)=0,"",(BG55-MIN($BG$2:$BG$252))/(MAX($BG$2:$BG$252)-MIN($BG$2:$BG$252))*100))</x:f>
      </x:c>
      <x:c r="BI55">
        <x:f>IF(AC55="","",LOG10(AC55+1))</x:f>
      </x:c>
      <x:c r="BJ55" s="10">
        <x:f>IF(BI55="","",IF(MAX($BI$2:$BI$252)-MIN($BI$2:$BI$252)=0,"",(BI55-MIN($BI$2:$BI$252))/(MAX($BI$2:$BI$252)-MIN($BI$2:$BI$252))*100))</x:f>
      </x:c>
      <x:c r="BK55">
        <x:f>IF(AD55="","",(AD55*2)+(AE55*1))</x:f>
      </x:c>
      <x:c r="BL55" s="10">
        <x:f>IF(BK55="","",IF(MAX($BK$2:$BK$252)-MIN($BK$2:$BK$252)=0,"",(BK55-MIN($BK$2:$BK$252))/(MAX($BK$2:$BK$252)-MIN($BK$2:$BK$252))*100))</x:f>
      </x:c>
      <x:c r="BM55" s="10">
        <x:f>IF(AB55="","",IF(MAX($AB$2:$AB$252)-MIN($AB$2:$AB$252)=0,"",(AB55-MIN($AB$2:$AB$252))/(MAX($AB$2:$AB$252)-MIN($AB$2:$AB$252))*100))</x:f>
      </x:c>
      <x:c r="BN55" s="10">
        <x:f>IF(X55="","",X55)</x:f>
      </x:c>
      <x:c r="BO55" s="10">
        <x:f>IF(X55="","",100-X55)</x:f>
      </x:c>
      <x:c r="BP55" s="10">
        <x:f>IF((Weights!$C$2*IF(BH55="",0,1)+Weights!$C$3*IF(BJ55="",0,1)+Weights!$C$4*IF(BL55="",0,1))=0,"",(Weights!$C$2*IF(BH55="",0,BH55)+Weights!$C$3*IF(BJ55="",0,BJ55)+Weights!$C$4*IF(BL55="",0,BL55))/(Weights!$C$2*IF(BH55="",0,1)+Weights!$C$3*IF(BJ55="",0,1)+Weights!$C$4*IF(BL55="",0,1)))</x:f>
      </x:c>
      <x:c r="BQ55" s="10">
        <x:f>IF((Weights!$C$5*IF(BA55="",0,1)+Weights!$C$6*IF(AW55="",0,1)+Weights!$C$7*IF(AU55="",0,1))=0,"",(Weights!$C$5*IF(BA55="",0,BA55)+Weights!$C$6*IF(AW55="",0,AW55)+Weights!$C$7*IF(AU55="",0,AU55))/(Weights!$C$5*IF(BA55="",0,1)+Weights!$C$6*IF(AW55="",0,1)+Weights!$C$7*IF(AU55="",0,1)))</x:f>
      </x:c>
      <x:c r="BR55" s="10">
        <x:f>IF((Weights!$C$8*IF(AW55="",0,1)+Weights!$C$9*IF(BC55="",0,1)+Weights!$C$10*IF(BF55="",0,1))=0,"",(Weights!$C$8*IF(AW55="",0,AW55)+Weights!$C$9*IF(BC55="",0,BC55)+Weights!$C$10*IF(BF55="",0,BF55))/(Weights!$C$8*IF(AW55="",0,1)+Weights!$C$9*IF(BC55="",0,1)+Weights!$C$10*IF(BF55="",0,1)))</x:f>
      </x:c>
      <x:c r="BS55" s="10">
        <x:f>IF(Y55="","",Y55)</x:f>
      </x:c>
      <x:c r="BT55" s="10">
        <x:f>IF(AS55="","",AS55)</x:f>
      </x:c>
      <x:c r="BU55" s="10">
        <x:f>IF(AJ55&lt;&gt;"",(0.6*AJ55+0.4*AU55),IF((Weights!$C$11*IF(AU55="",0,1)+Weights!$C$12*IF(BM55="",0,1))=0,"",(Weights!$C$11*IF(AU55="",0,AU55)+Weights!$C$12*IF(BM55="",0,BM55))/(Weights!$C$11*IF(AU55="",0,1)+Weights!$C$12*IF(BM55="",0,1))))</x:f>
      </x:c>
      <x:c r="BV55" s="10">
        <x:f>IF(CG55="",0,CG55)</x:f>
      </x:c>
      <x:c r="BW55" s="10">
        <x:f>IF(AP55="","",AP55)</x:f>
      </x:c>
      <x:c r="BX55" s="10">
        <x:f>IF(AO55="","",AO55)</x:f>
      </x:c>
      <x:c r="BY55" s="10">
        <x:f>IF(AL55="","",AL55)</x:f>
      </x:c>
      <x:c r="BZ55" s="10">
        <x:f>IF(AM55="","",AM55)</x:f>
      </x:c>
      <x:c r="CA55" s="10">
        <x:f>IF(AK55&lt;&gt;"",AK55,AW55)</x:f>
      </x:c>
      <x:c r="CB55" s="10">
        <x:f>IF((Weights!$C$13*IF(BP55="",0,1)+Weights!$C$14*IF(BR55="",0,1)+Weights!$C$15*IF(BQ55="",0,1)+Weights!$C$16*IF(BS55="",0,1)+Weights!$C$17*IF(BU55="",0,1)+Weights!$C$18*IF(BT55="",0,1)+Weights!$C$19*IF(BW55="",0,1)+Weights!$C$20*IF(BZ55="",0,1)+Weights!$C$21*IF(BO55="",0,1)+Weights!$C$22)=0,"",(Weights!$C$13*IF(BP55="",0,BP55)+Weights!$C$14*IF(BR55="",0,BR55)+Weights!$C$15*IF(BQ55="",0,BQ55)+Weights!$C$16*IF(BS55="",0,BS55)+Weights!$C$17*IF(BU55="",0,BU55)+Weights!$C$18*IF(BT55="",0,BT55)+Weights!$C$19*IF(BW55="",0,BW55)+Weights!$C$20*IF(BZ55="",0,BZ55)+Weights!$C$21*IF(BO55="",0,BO55)+Weights!$C$22*BV55)/(Weights!$C$13*IF(BP55="",0,1)+Weights!$C$14*IF(BR55="",0,1)+Weights!$C$15*IF(BQ55="",0,1)+Weights!$C$16*IF(BS55="",0,1)+Weights!$C$17*IF(BU55="",0,1)+Weights!$C$18*IF(BT55="",0,1)+Weights!$C$19*IF(BW55="",0,1)+Weights!$C$20*IF(BZ55="",0,1)+Weights!$C$21*IF(BO55="",0,1)+Weights!$C$22))</x:f>
      </x:c>
      <x:c r="CC55" s="10">
        <x:f>IF((Weights!$C$23*IF(BQ55="",0,1)+Weights!$C$24*IF(BN55="",0,1)+Weights!$C$25*IF(BS55="",0,1)+Weights!$C$26*IF(BY55="",0,1)+Weights!$C$27*IF(BX55="",0,1)+Weights!$C$28*IF(BT55="",0,1)+Weights!$C$29*IF(CA55="",0,1)+Weights!$C$30+Weights!$C$31*IF(BU55="",0,1))=0,"",(Weights!$C$23*IF(BQ55="",0,BQ55)+Weights!$C$24*IF(BN55="",0,BN55)+Weights!$C$25*IF(BS55="",0,BS55)+Weights!$C$26*IF(BY55="",0,BY55)+Weights!$C$27*IF(BX55="",0,BX55)+Weights!$C$28*IF(BT55="",0,BT55)+Weights!$C$29*IF(CA55="",0,CA55)+Weights!$C$30*BV55+Weights!$C$31*IF(BU55="",0,BU55))/(Weights!$C$23*IF(BQ55="",0,1)+Weights!$C$24*IF(BN55="",0,1)+Weights!$C$25*IF(BS55="",0,1)+Weights!$C$26*IF(BY55="",0,1)+Weights!$C$27*IF(BX55="",0,1)+Weights!$C$28*IF(BT55="",0,1)+Weights!$C$29*IF(CA55="",0,1)+Weights!$C$30+Weights!$C$31*IF(BU55="",0,1)))</x:f>
      </x:c>
      <x:c r="CD55" s="10">
        <x:f>IF(AND(CB55="",CC55=""),"",IF(CB55="",CC55,IF(CC55="",CB55,AVERAGE(CB55,CC55))))</x:f>
      </x:c>
      <x:c r="CE55" s="7">
        <x:f>ROUND(100*((IF(BP55&lt;&gt;"",1,0)+IF(BQ55&lt;&gt;"",1,0)+IF(BR55&lt;&gt;"",1,0)+IF(BS55&lt;&gt;"",1,0)+IF(BU55&lt;&gt;"",1,0)+IF(BT55&lt;&gt;"",1,0)+IF(BN55&lt;&gt;"",1,0)+IF(AW55&lt;&gt;"",1,0))/8),0)</x:f>
      </x:c>
      <x:c r="CF55">
        <x:f>IF(V55="","",LOG10(V55+1))</x:f>
      </x:c>
      <x:c r="CG55">
        <x:f>IF(CF55="","",IF(MAX($CF$2:$CF$252)-MIN($CF$2:$CF$252)=0,"",(CF55-MIN($CF$2:$CF$252))/(MAX($CF$2:$CF$252)-MIN($CF$2:$CF$252))*100))</x:f>
      </x:c>
    </x:row>
    <x:row r="56">
      <x:c r="A56" t="inlineStr">
        <x:is>
          <x:t xml:space="preserve">GRD</x:t>
        </x:is>
      </x:c>
      <x:c r="B56" t="inlineStr">
        <x:is>
          <x:t xml:space="preserve">Grenada</x:t>
        </x:is>
      </x:c>
      <x:c r="C56" t="inlineStr">
        <x:is>
          <x:t xml:space="preserve">Latin America &amp; Caribbean</x:t>
        </x:is>
      </x:c>
      <x:c r="D56" t="inlineStr">
        <x:is>
          <x:t xml:space="preserve">Upper middle income</x:t>
        </x:is>
      </x:c>
      <x:c r="F56" t="n">
        <x:v>2024</x:v>
      </x:c>
      <x:c r="G56" t="n">
        <x:v>117207</x:v>
      </x:c>
      <x:c r="N56" s="8" t="n"/>
      <x:c r="O56" s="9" t="n"/>
      <x:c r="P56" s="8" t="n"/>
      <x:c r="Q56" t="n">
        <x:v>2024</x:v>
      </x:c>
      <x:c r="R56" s="8" t="n">
        <x:v>1371918518.51852</x:v>
      </x:c>
      <x:c r="S56" t="n">
        <x:v>0</x:v>
      </x:c>
      <x:c r="T56" t="n">
        <x:v>0</x:v>
      </x:c>
      <x:c r="U56" t="inlineStr">
        <x:is>
          <x:t xml:space="preserve">No</x:t>
        </x:is>
      </x:c>
      <x:c r="W56" t="inlineStr">
        <x:is>
          <x:t xml:space="preserve">No</x:t>
        </x:is>
      </x:c>
      <x:c r="AB56" s="8" t="n"/>
      <x:c r="AR56">
        <x:f>IF(G56="","",LOG10(G56+1))</x:f>
      </x:c>
      <x:c r="AS56" s="10">
        <x:f>IF(AR56="","",IF(MAX($AR$2:$AR$252)-MIN($AR$2:$AR$252)=0,"",(AR56-MIN($AR$2:$AR$252))/(MAX($AR$2:$AR$252)-MIN($AR$2:$AR$252))*100))</x:f>
      </x:c>
      <x:c r="AT56">
        <x:f>IF(R56="","",LOG10(R56+1))</x:f>
      </x:c>
      <x:c r="AU56" s="10">
        <x:f>IF(AT56="","",IF(MAX($AT$2:$AT$252)-MIN($AT$2:$AT$252)=0,"",(AT56-MIN($AT$2:$AT$252))/(MAX($AT$2:$AT$252)-MIN($AT$2:$AT$252))*100))</x:f>
      </x:c>
      <x:c r="AV56">
        <x:f>IF(N56="","",LOG10(N56+1))</x:f>
      </x:c>
      <x:c r="AW56" s="10">
        <x:f>IF(AV56="","",IF(MAX($AV$2:$AV$252)-MIN($AV$2:$AV$252)=0,"",(AV56-MIN($AV$2:$AV$252))/(MAX($AV$2:$AV$252)-MIN($AV$2:$AV$252))*100))</x:f>
      </x:c>
      <x:c r="AX56">
        <x:f>IF(I56="","",LOG10(I56+1))</x:f>
      </x:c>
      <x:c r="AY56" s="10">
        <x:f>IF(AX56="","",IF(MAX($AX$2:$AX$252)-MIN($AX$2:$AX$252)=0,"",(AX56-MIN($AX$2:$AX$252))/(MAX($AX$2:$AX$252)-MIN($AX$2:$AX$252))*100))</x:f>
      </x:c>
      <x:c r="AZ56">
        <x:f>IF(J56="","",LOG10(J56+1))</x:f>
      </x:c>
      <x:c r="BA56" s="10">
        <x:f>IF(AZ56="","",IF(MAX($AZ$2:$AZ$252)-MIN($AZ$2:$AZ$252)=0,"",(AZ56-MIN($AZ$2:$AZ$252))/(MAX($AZ$2:$AZ$252)-MIN($AZ$2:$AZ$252))*100))</x:f>
      </x:c>
      <x:c r="BB56">
        <x:f>IF(K56="","",LOG10(K56+1))</x:f>
      </x:c>
      <x:c r="BC56" s="10">
        <x:f>IF(BB56="","",IF(MAX($BB$2:$BB$252)-MIN($BB$2:$BB$252)=0,"",(BB56-MIN($BB$2:$BB$252))/(MAX($BB$2:$BB$252)-MIN($BB$2:$BB$252))*100))</x:f>
      </x:c>
      <x:c r="BD56">
        <x:f>IF(L56="","",LOG10(L56+1))</x:f>
      </x:c>
      <x:c r="BE56" s="10">
        <x:f>IF(BD56="","",IF(MAX($BD$2:$BD$252)-MIN($BD$2:$BD$252)=0,"",(BD56-MIN($BD$2:$BD$252))/(MAX($BD$2:$BD$252)-MIN($BD$2:$BD$252))*100))</x:f>
      </x:c>
      <x:c r="BF56" s="10">
        <x:f>IF(P56="","",IF(MAX($P$2:$P$252)-MIN($P$2:$P$252)=0,"",(P56-MIN($P$2:$P$252))/(MAX($P$2:$P$252)-MIN($P$2:$P$252))*100))</x:f>
      </x:c>
      <x:c r="BG56">
        <x:f>IF(AF56="","",LOG10(AF56+1))</x:f>
      </x:c>
      <x:c r="BH56" s="10">
        <x:f>IF(BG56="","",IF(MAX($BG$2:$BG$252)-MIN($BG$2:$BG$252)=0,"",(BG56-MIN($BG$2:$BG$252))/(MAX($BG$2:$BG$252)-MIN($BG$2:$BG$252))*100))</x:f>
      </x:c>
      <x:c r="BI56">
        <x:f>IF(AC56="","",LOG10(AC56+1))</x:f>
      </x:c>
      <x:c r="BJ56" s="10">
        <x:f>IF(BI56="","",IF(MAX($BI$2:$BI$252)-MIN($BI$2:$BI$252)=0,"",(BI56-MIN($BI$2:$BI$252))/(MAX($BI$2:$BI$252)-MIN($BI$2:$BI$252))*100))</x:f>
      </x:c>
      <x:c r="BK56">
        <x:f>IF(AD56="","",(AD56*2)+(AE56*1))</x:f>
      </x:c>
      <x:c r="BL56" s="10">
        <x:f>IF(BK56="","",IF(MAX($BK$2:$BK$252)-MIN($BK$2:$BK$252)=0,"",(BK56-MIN($BK$2:$BK$252))/(MAX($BK$2:$BK$252)-MIN($BK$2:$BK$252))*100))</x:f>
      </x:c>
      <x:c r="BM56" s="10">
        <x:f>IF(AB56="","",IF(MAX($AB$2:$AB$252)-MIN($AB$2:$AB$252)=0,"",(AB56-MIN($AB$2:$AB$252))/(MAX($AB$2:$AB$252)-MIN($AB$2:$AB$252))*100))</x:f>
      </x:c>
      <x:c r="BN56" s="10">
        <x:f>IF(X56="","",X56)</x:f>
      </x:c>
      <x:c r="BO56" s="10">
        <x:f>IF(X56="","",100-X56)</x:f>
      </x:c>
      <x:c r="BP56" s="10">
        <x:f>IF((Weights!$C$2*IF(BH56="",0,1)+Weights!$C$3*IF(BJ56="",0,1)+Weights!$C$4*IF(BL56="",0,1))=0,"",(Weights!$C$2*IF(BH56="",0,BH56)+Weights!$C$3*IF(BJ56="",0,BJ56)+Weights!$C$4*IF(BL56="",0,BL56))/(Weights!$C$2*IF(BH56="",0,1)+Weights!$C$3*IF(BJ56="",0,1)+Weights!$C$4*IF(BL56="",0,1)))</x:f>
      </x:c>
      <x:c r="BQ56" s="10">
        <x:f>IF((Weights!$C$5*IF(BA56="",0,1)+Weights!$C$6*IF(AW56="",0,1)+Weights!$C$7*IF(AU56="",0,1))=0,"",(Weights!$C$5*IF(BA56="",0,BA56)+Weights!$C$6*IF(AW56="",0,AW56)+Weights!$C$7*IF(AU56="",0,AU56))/(Weights!$C$5*IF(BA56="",0,1)+Weights!$C$6*IF(AW56="",0,1)+Weights!$C$7*IF(AU56="",0,1)))</x:f>
      </x:c>
      <x:c r="BR56" s="10">
        <x:f>IF((Weights!$C$8*IF(AW56="",0,1)+Weights!$C$9*IF(BC56="",0,1)+Weights!$C$10*IF(BF56="",0,1))=0,"",(Weights!$C$8*IF(AW56="",0,AW56)+Weights!$C$9*IF(BC56="",0,BC56)+Weights!$C$10*IF(BF56="",0,BF56))/(Weights!$C$8*IF(AW56="",0,1)+Weights!$C$9*IF(BC56="",0,1)+Weights!$C$10*IF(BF56="",0,1)))</x:f>
      </x:c>
      <x:c r="BS56" s="10">
        <x:f>IF(Y56="","",Y56)</x:f>
      </x:c>
      <x:c r="BT56" s="10">
        <x:f>IF(AS56="","",AS56)</x:f>
      </x:c>
      <x:c r="BU56" s="10">
        <x:f>IF(AJ56&lt;&gt;"",(0.6*AJ56+0.4*AU56),IF((Weights!$C$11*IF(AU56="",0,1)+Weights!$C$12*IF(BM56="",0,1))=0,"",(Weights!$C$11*IF(AU56="",0,AU56)+Weights!$C$12*IF(BM56="",0,BM56))/(Weights!$C$11*IF(AU56="",0,1)+Weights!$C$12*IF(BM56="",0,1))))</x:f>
      </x:c>
      <x:c r="BV56" s="10">
        <x:f>IF(CG56="",0,CG56)</x:f>
      </x:c>
      <x:c r="BW56" s="10">
        <x:f>IF(AP56="","",AP56)</x:f>
      </x:c>
      <x:c r="BX56" s="10">
        <x:f>IF(AO56="","",AO56)</x:f>
      </x:c>
      <x:c r="BY56" s="10">
        <x:f>IF(AL56="","",AL56)</x:f>
      </x:c>
      <x:c r="BZ56" s="10">
        <x:f>IF(AM56="","",AM56)</x:f>
      </x:c>
      <x:c r="CA56" s="10">
        <x:f>IF(AK56&lt;&gt;"",AK56,AW56)</x:f>
      </x:c>
      <x:c r="CB56" s="10">
        <x:f>IF((Weights!$C$13*IF(BP56="",0,1)+Weights!$C$14*IF(BR56="",0,1)+Weights!$C$15*IF(BQ56="",0,1)+Weights!$C$16*IF(BS56="",0,1)+Weights!$C$17*IF(BU56="",0,1)+Weights!$C$18*IF(BT56="",0,1)+Weights!$C$19*IF(BW56="",0,1)+Weights!$C$20*IF(BZ56="",0,1)+Weights!$C$21*IF(BO56="",0,1)+Weights!$C$22)=0,"",(Weights!$C$13*IF(BP56="",0,BP56)+Weights!$C$14*IF(BR56="",0,BR56)+Weights!$C$15*IF(BQ56="",0,BQ56)+Weights!$C$16*IF(BS56="",0,BS56)+Weights!$C$17*IF(BU56="",0,BU56)+Weights!$C$18*IF(BT56="",0,BT56)+Weights!$C$19*IF(BW56="",0,BW56)+Weights!$C$20*IF(BZ56="",0,BZ56)+Weights!$C$21*IF(BO56="",0,BO56)+Weights!$C$22*BV56)/(Weights!$C$13*IF(BP56="",0,1)+Weights!$C$14*IF(BR56="",0,1)+Weights!$C$15*IF(BQ56="",0,1)+Weights!$C$16*IF(BS56="",0,1)+Weights!$C$17*IF(BU56="",0,1)+Weights!$C$18*IF(BT56="",0,1)+Weights!$C$19*IF(BW56="",0,1)+Weights!$C$20*IF(BZ56="",0,1)+Weights!$C$21*IF(BO56="",0,1)+Weights!$C$22))</x:f>
      </x:c>
      <x:c r="CC56" s="10">
        <x:f>IF((Weights!$C$23*IF(BQ56="",0,1)+Weights!$C$24*IF(BN56="",0,1)+Weights!$C$25*IF(BS56="",0,1)+Weights!$C$26*IF(BY56="",0,1)+Weights!$C$27*IF(BX56="",0,1)+Weights!$C$28*IF(BT56="",0,1)+Weights!$C$29*IF(CA56="",0,1)+Weights!$C$30+Weights!$C$31*IF(BU56="",0,1))=0,"",(Weights!$C$23*IF(BQ56="",0,BQ56)+Weights!$C$24*IF(BN56="",0,BN56)+Weights!$C$25*IF(BS56="",0,BS56)+Weights!$C$26*IF(BY56="",0,BY56)+Weights!$C$27*IF(BX56="",0,BX56)+Weights!$C$28*IF(BT56="",0,BT56)+Weights!$C$29*IF(CA56="",0,CA56)+Weights!$C$30*BV56+Weights!$C$31*IF(BU56="",0,BU56))/(Weights!$C$23*IF(BQ56="",0,1)+Weights!$C$24*IF(BN56="",0,1)+Weights!$C$25*IF(BS56="",0,1)+Weights!$C$26*IF(BY56="",0,1)+Weights!$C$27*IF(BX56="",0,1)+Weights!$C$28*IF(BT56="",0,1)+Weights!$C$29*IF(CA56="",0,1)+Weights!$C$30+Weights!$C$31*IF(BU56="",0,1)))</x:f>
      </x:c>
      <x:c r="CD56" s="10">
        <x:f>IF(AND(CB56="",CC56=""),"",IF(CB56="",CC56,IF(CC56="",CB56,AVERAGE(CB56,CC56))))</x:f>
      </x:c>
      <x:c r="CE56" s="7">
        <x:f>ROUND(100*((IF(BP56&lt;&gt;"",1,0)+IF(BQ56&lt;&gt;"",1,0)+IF(BR56&lt;&gt;"",1,0)+IF(BS56&lt;&gt;"",1,0)+IF(BU56&lt;&gt;"",1,0)+IF(BT56&lt;&gt;"",1,0)+IF(BN56&lt;&gt;"",1,0)+IF(AW56&lt;&gt;"",1,0))/8),0)</x:f>
      </x:c>
      <x:c r="CF56">
        <x:f>IF(V56="","",LOG10(V56+1))</x:f>
      </x:c>
      <x:c r="CG56">
        <x:f>IF(CF56="","",IF(MAX($CF$2:$CF$252)-MIN($CF$2:$CF$252)=0,"",(CF56-MIN($CF$2:$CF$252))/(MAX($CF$2:$CF$252)-MIN($CF$2:$CF$252))*100))</x:f>
      </x:c>
    </x:row>
    <x:row r="57">
      <x:c r="A57" t="inlineStr">
        <x:is>
          <x:t xml:space="preserve">GLP</x:t>
        </x:is>
      </x:c>
      <x:c r="B57" t="inlineStr">
        <x:is>
          <x:t xml:space="preserve">Guadeloupe</x:t>
        </x:is>
      </x:c>
      <x:c r="N57" s="8" t="n"/>
      <x:c r="O57" s="9" t="n"/>
      <x:c r="P57" s="8" t="n"/>
      <x:c r="R57" s="8" t="n"/>
      <x:c r="AB57" s="8" t="n"/>
      <x:c r="AR57">
        <x:f>IF(G57="","",LOG10(G57+1))</x:f>
      </x:c>
      <x:c r="AS57" s="10">
        <x:f>IF(AR57="","",IF(MAX($AR$2:$AR$252)-MIN($AR$2:$AR$252)=0,"",(AR57-MIN($AR$2:$AR$252))/(MAX($AR$2:$AR$252)-MIN($AR$2:$AR$252))*100))</x:f>
      </x:c>
      <x:c r="AT57">
        <x:f>IF(R57="","",LOG10(R57+1))</x:f>
      </x:c>
      <x:c r="AU57" s="10">
        <x:f>IF(AT57="","",IF(MAX($AT$2:$AT$252)-MIN($AT$2:$AT$252)=0,"",(AT57-MIN($AT$2:$AT$252))/(MAX($AT$2:$AT$252)-MIN($AT$2:$AT$252))*100))</x:f>
      </x:c>
      <x:c r="AV57">
        <x:f>IF(N57="","",LOG10(N57+1))</x:f>
      </x:c>
      <x:c r="AW57" s="10">
        <x:f>IF(AV57="","",IF(MAX($AV$2:$AV$252)-MIN($AV$2:$AV$252)=0,"",(AV57-MIN($AV$2:$AV$252))/(MAX($AV$2:$AV$252)-MIN($AV$2:$AV$252))*100))</x:f>
      </x:c>
      <x:c r="AX57">
        <x:f>IF(I57="","",LOG10(I57+1))</x:f>
      </x:c>
      <x:c r="AY57" s="10">
        <x:f>IF(AX57="","",IF(MAX($AX$2:$AX$252)-MIN($AX$2:$AX$252)=0,"",(AX57-MIN($AX$2:$AX$252))/(MAX($AX$2:$AX$252)-MIN($AX$2:$AX$252))*100))</x:f>
      </x:c>
      <x:c r="AZ57">
        <x:f>IF(J57="","",LOG10(J57+1))</x:f>
      </x:c>
      <x:c r="BA57" s="10">
        <x:f>IF(AZ57="","",IF(MAX($AZ$2:$AZ$252)-MIN($AZ$2:$AZ$252)=0,"",(AZ57-MIN($AZ$2:$AZ$252))/(MAX($AZ$2:$AZ$252)-MIN($AZ$2:$AZ$252))*100))</x:f>
      </x:c>
      <x:c r="BB57">
        <x:f>IF(K57="","",LOG10(K57+1))</x:f>
      </x:c>
      <x:c r="BC57" s="10">
        <x:f>IF(BB57="","",IF(MAX($BB$2:$BB$252)-MIN($BB$2:$BB$252)=0,"",(BB57-MIN($BB$2:$BB$252))/(MAX($BB$2:$BB$252)-MIN($BB$2:$BB$252))*100))</x:f>
      </x:c>
      <x:c r="BD57">
        <x:f>IF(L57="","",LOG10(L57+1))</x:f>
      </x:c>
      <x:c r="BE57" s="10">
        <x:f>IF(BD57="","",IF(MAX($BD$2:$BD$252)-MIN($BD$2:$BD$252)=0,"",(BD57-MIN($BD$2:$BD$252))/(MAX($BD$2:$BD$252)-MIN($BD$2:$BD$252))*100))</x:f>
      </x:c>
      <x:c r="BF57" s="10">
        <x:f>IF(P57="","",IF(MAX($P$2:$P$252)-MIN($P$2:$P$252)=0,"",(P57-MIN($P$2:$P$252))/(MAX($P$2:$P$252)-MIN($P$2:$P$252))*100))</x:f>
      </x:c>
      <x:c r="BG57">
        <x:f>IF(AF57="","",LOG10(AF57+1))</x:f>
      </x:c>
      <x:c r="BH57" s="10">
        <x:f>IF(BG57="","",IF(MAX($BG$2:$BG$252)-MIN($BG$2:$BG$252)=0,"",(BG57-MIN($BG$2:$BG$252))/(MAX($BG$2:$BG$252)-MIN($BG$2:$BG$252))*100))</x:f>
      </x:c>
      <x:c r="BI57">
        <x:f>IF(AC57="","",LOG10(AC57+1))</x:f>
      </x:c>
      <x:c r="BJ57" s="10">
        <x:f>IF(BI57="","",IF(MAX($BI$2:$BI$252)-MIN($BI$2:$BI$252)=0,"",(BI57-MIN($BI$2:$BI$252))/(MAX($BI$2:$BI$252)-MIN($BI$2:$BI$252))*100))</x:f>
      </x:c>
      <x:c r="BK57">
        <x:f>IF(AD57="","",(AD57*2)+(AE57*1))</x:f>
      </x:c>
      <x:c r="BL57" s="10">
        <x:f>IF(BK57="","",IF(MAX($BK$2:$BK$252)-MIN($BK$2:$BK$252)=0,"",(BK57-MIN($BK$2:$BK$252))/(MAX($BK$2:$BK$252)-MIN($BK$2:$BK$252))*100))</x:f>
      </x:c>
      <x:c r="BM57" s="10">
        <x:f>IF(AB57="","",IF(MAX($AB$2:$AB$252)-MIN($AB$2:$AB$252)=0,"",(AB57-MIN($AB$2:$AB$252))/(MAX($AB$2:$AB$252)-MIN($AB$2:$AB$252))*100))</x:f>
      </x:c>
      <x:c r="BN57" s="10">
        <x:f>IF(X57="","",X57)</x:f>
      </x:c>
      <x:c r="BO57" s="10">
        <x:f>IF(X57="","",100-X57)</x:f>
      </x:c>
      <x:c r="BP57" s="10">
        <x:f>IF((Weights!$C$2*IF(BH57="",0,1)+Weights!$C$3*IF(BJ57="",0,1)+Weights!$C$4*IF(BL57="",0,1))=0,"",(Weights!$C$2*IF(BH57="",0,BH57)+Weights!$C$3*IF(BJ57="",0,BJ57)+Weights!$C$4*IF(BL57="",0,BL57))/(Weights!$C$2*IF(BH57="",0,1)+Weights!$C$3*IF(BJ57="",0,1)+Weights!$C$4*IF(BL57="",0,1)))</x:f>
      </x:c>
      <x:c r="BQ57" s="10">
        <x:f>IF((Weights!$C$5*IF(BA57="",0,1)+Weights!$C$6*IF(AW57="",0,1)+Weights!$C$7*IF(AU57="",0,1))=0,"",(Weights!$C$5*IF(BA57="",0,BA57)+Weights!$C$6*IF(AW57="",0,AW57)+Weights!$C$7*IF(AU57="",0,AU57))/(Weights!$C$5*IF(BA57="",0,1)+Weights!$C$6*IF(AW57="",0,1)+Weights!$C$7*IF(AU57="",0,1)))</x:f>
      </x:c>
      <x:c r="BR57" s="10">
        <x:f>IF((Weights!$C$8*IF(AW57="",0,1)+Weights!$C$9*IF(BC57="",0,1)+Weights!$C$10*IF(BF57="",0,1))=0,"",(Weights!$C$8*IF(AW57="",0,AW57)+Weights!$C$9*IF(BC57="",0,BC57)+Weights!$C$10*IF(BF57="",0,BF57))/(Weights!$C$8*IF(AW57="",0,1)+Weights!$C$9*IF(BC57="",0,1)+Weights!$C$10*IF(BF57="",0,1)))</x:f>
      </x:c>
      <x:c r="BS57" s="10">
        <x:f>IF(Y57="","",Y57)</x:f>
      </x:c>
      <x:c r="BT57" s="10">
        <x:f>IF(AS57="","",AS57)</x:f>
      </x:c>
      <x:c r="BU57" s="10">
        <x:f>IF(AJ57&lt;&gt;"",(0.6*AJ57+0.4*AU57),IF((Weights!$C$11*IF(AU57="",0,1)+Weights!$C$12*IF(BM57="",0,1))=0,"",(Weights!$C$11*IF(AU57="",0,AU57)+Weights!$C$12*IF(BM57="",0,BM57))/(Weights!$C$11*IF(AU57="",0,1)+Weights!$C$12*IF(BM57="",0,1))))</x:f>
      </x:c>
      <x:c r="BV57" s="10">
        <x:f>IF(CG57="",0,CG57)</x:f>
      </x:c>
      <x:c r="BW57" s="10">
        <x:f>IF(AP57="","",AP57)</x:f>
      </x:c>
      <x:c r="BX57" s="10">
        <x:f>IF(AO57="","",AO57)</x:f>
      </x:c>
      <x:c r="BY57" s="10">
        <x:f>IF(AL57="","",AL57)</x:f>
      </x:c>
      <x:c r="BZ57" s="10">
        <x:f>IF(AM57="","",AM57)</x:f>
      </x:c>
      <x:c r="CA57" s="10">
        <x:f>IF(AK57&lt;&gt;"",AK57,AW57)</x:f>
      </x:c>
      <x:c r="CB57" s="10">
        <x:f>IF((Weights!$C$13*IF(BP57="",0,1)+Weights!$C$14*IF(BR57="",0,1)+Weights!$C$15*IF(BQ57="",0,1)+Weights!$C$16*IF(BS57="",0,1)+Weights!$C$17*IF(BU57="",0,1)+Weights!$C$18*IF(BT57="",0,1)+Weights!$C$19*IF(BW57="",0,1)+Weights!$C$20*IF(BZ57="",0,1)+Weights!$C$21*IF(BO57="",0,1)+Weights!$C$22)=0,"",(Weights!$C$13*IF(BP57="",0,BP57)+Weights!$C$14*IF(BR57="",0,BR57)+Weights!$C$15*IF(BQ57="",0,BQ57)+Weights!$C$16*IF(BS57="",0,BS57)+Weights!$C$17*IF(BU57="",0,BU57)+Weights!$C$18*IF(BT57="",0,BT57)+Weights!$C$19*IF(BW57="",0,BW57)+Weights!$C$20*IF(BZ57="",0,BZ57)+Weights!$C$21*IF(BO57="",0,BO57)+Weights!$C$22*BV57)/(Weights!$C$13*IF(BP57="",0,1)+Weights!$C$14*IF(BR57="",0,1)+Weights!$C$15*IF(BQ57="",0,1)+Weights!$C$16*IF(BS57="",0,1)+Weights!$C$17*IF(BU57="",0,1)+Weights!$C$18*IF(BT57="",0,1)+Weights!$C$19*IF(BW57="",0,1)+Weights!$C$20*IF(BZ57="",0,1)+Weights!$C$21*IF(BO57="",0,1)+Weights!$C$22))</x:f>
      </x:c>
      <x:c r="CC57" s="10">
        <x:f>IF((Weights!$C$23*IF(BQ57="",0,1)+Weights!$C$24*IF(BN57="",0,1)+Weights!$C$25*IF(BS57="",0,1)+Weights!$C$26*IF(BY57="",0,1)+Weights!$C$27*IF(BX57="",0,1)+Weights!$C$28*IF(BT57="",0,1)+Weights!$C$29*IF(CA57="",0,1)+Weights!$C$30+Weights!$C$31*IF(BU57="",0,1))=0,"",(Weights!$C$23*IF(BQ57="",0,BQ57)+Weights!$C$24*IF(BN57="",0,BN57)+Weights!$C$25*IF(BS57="",0,BS57)+Weights!$C$26*IF(BY57="",0,BY57)+Weights!$C$27*IF(BX57="",0,BX57)+Weights!$C$28*IF(BT57="",0,BT57)+Weights!$C$29*IF(CA57="",0,CA57)+Weights!$C$30*BV57+Weights!$C$31*IF(BU57="",0,BU57))/(Weights!$C$23*IF(BQ57="",0,1)+Weights!$C$24*IF(BN57="",0,1)+Weights!$C$25*IF(BS57="",0,1)+Weights!$C$26*IF(BY57="",0,1)+Weights!$C$27*IF(BX57="",0,1)+Weights!$C$28*IF(BT57="",0,1)+Weights!$C$29*IF(CA57="",0,1)+Weights!$C$30+Weights!$C$31*IF(BU57="",0,1)))</x:f>
      </x:c>
      <x:c r="CD57" s="10">
        <x:f>IF(AND(CB57="",CC57=""),"",IF(CB57="",CC57,IF(CC57="",CB57,AVERAGE(CB57,CC57))))</x:f>
      </x:c>
      <x:c r="CE57" s="7">
        <x:f>ROUND(100*((IF(BP57&lt;&gt;"",1,0)+IF(BQ57&lt;&gt;"",1,0)+IF(BR57&lt;&gt;"",1,0)+IF(BS57&lt;&gt;"",1,0)+IF(BU57&lt;&gt;"",1,0)+IF(BT57&lt;&gt;"",1,0)+IF(BN57&lt;&gt;"",1,0)+IF(AW57&lt;&gt;"",1,0))/8),0)</x:f>
      </x:c>
      <x:c r="CF57">
        <x:f>IF(V57="","",LOG10(V57+1))</x:f>
      </x:c>
      <x:c r="CG57">
        <x:f>IF(CF57="","",IF(MAX($CF$2:$CF$252)-MIN($CF$2:$CF$252)=0,"",(CF57-MIN($CF$2:$CF$252))/(MAX($CF$2:$CF$252)-MIN($CF$2:$CF$252))*100))</x:f>
      </x:c>
    </x:row>
    <x:row r="58">
      <x:c r="A58" t="inlineStr">
        <x:is>
          <x:t xml:space="preserve">GUM</x:t>
        </x:is>
      </x:c>
      <x:c r="B58" t="inlineStr">
        <x:is>
          <x:t xml:space="preserve">Guam</x:t>
        </x:is>
      </x:c>
      <x:c r="C58" t="inlineStr">
        <x:is>
          <x:t xml:space="preserve">East Asia &amp; Pacific</x:t>
        </x:is>
      </x:c>
      <x:c r="D58" t="inlineStr">
        <x:is>
          <x:t xml:space="preserve">High income</x:t>
        </x:is>
      </x:c>
      <x:c r="F58" t="n">
        <x:v>2024</x:v>
      </x:c>
      <x:c r="G58" t="n">
        <x:v>167777</x:v>
      </x:c>
      <x:c r="N58" s="8" t="n"/>
      <x:c r="O58" s="9" t="n"/>
      <x:c r="P58" s="8" t="n"/>
      <x:c r="Q58" t="n">
        <x:v>2022</x:v>
      </x:c>
      <x:c r="R58" s="8" t="n">
        <x:v>6910000000</x:v>
      </x:c>
      <x:c r="S58" t="n">
        <x:v>0</x:v>
      </x:c>
      <x:c r="T58" t="n">
        <x:v>0</x:v>
      </x:c>
      <x:c r="U58" t="inlineStr">
        <x:is>
          <x:t xml:space="preserve">No</x:t>
        </x:is>
      </x:c>
      <x:c r="W58" t="inlineStr">
        <x:is>
          <x:t xml:space="preserve">No</x:t>
        </x:is>
      </x:c>
      <x:c r="AB58" s="8" t="n"/>
      <x:c r="AR58">
        <x:f>IF(G58="","",LOG10(G58+1))</x:f>
      </x:c>
      <x:c r="AS58" s="10">
        <x:f>IF(AR58="","",IF(MAX($AR$2:$AR$252)-MIN($AR$2:$AR$252)=0,"",(AR58-MIN($AR$2:$AR$252))/(MAX($AR$2:$AR$252)-MIN($AR$2:$AR$252))*100))</x:f>
      </x:c>
      <x:c r="AT58">
        <x:f>IF(R58="","",LOG10(R58+1))</x:f>
      </x:c>
      <x:c r="AU58" s="10">
        <x:f>IF(AT58="","",IF(MAX($AT$2:$AT$252)-MIN($AT$2:$AT$252)=0,"",(AT58-MIN($AT$2:$AT$252))/(MAX($AT$2:$AT$252)-MIN($AT$2:$AT$252))*100))</x:f>
      </x:c>
      <x:c r="AV58">
        <x:f>IF(N58="","",LOG10(N58+1))</x:f>
      </x:c>
      <x:c r="AW58" s="10">
        <x:f>IF(AV58="","",IF(MAX($AV$2:$AV$252)-MIN($AV$2:$AV$252)=0,"",(AV58-MIN($AV$2:$AV$252))/(MAX($AV$2:$AV$252)-MIN($AV$2:$AV$252))*100))</x:f>
      </x:c>
      <x:c r="AX58">
        <x:f>IF(I58="","",LOG10(I58+1))</x:f>
      </x:c>
      <x:c r="AY58" s="10">
        <x:f>IF(AX58="","",IF(MAX($AX$2:$AX$252)-MIN($AX$2:$AX$252)=0,"",(AX58-MIN($AX$2:$AX$252))/(MAX($AX$2:$AX$252)-MIN($AX$2:$AX$252))*100))</x:f>
      </x:c>
      <x:c r="AZ58">
        <x:f>IF(J58="","",LOG10(J58+1))</x:f>
      </x:c>
      <x:c r="BA58" s="10">
        <x:f>IF(AZ58="","",IF(MAX($AZ$2:$AZ$252)-MIN($AZ$2:$AZ$252)=0,"",(AZ58-MIN($AZ$2:$AZ$252))/(MAX($AZ$2:$AZ$252)-MIN($AZ$2:$AZ$252))*100))</x:f>
      </x:c>
      <x:c r="BB58">
        <x:f>IF(K58="","",LOG10(K58+1))</x:f>
      </x:c>
      <x:c r="BC58" s="10">
        <x:f>IF(BB58="","",IF(MAX($BB$2:$BB$252)-MIN($BB$2:$BB$252)=0,"",(BB58-MIN($BB$2:$BB$252))/(MAX($BB$2:$BB$252)-MIN($BB$2:$BB$252))*100))</x:f>
      </x:c>
      <x:c r="BD58">
        <x:f>IF(L58="","",LOG10(L58+1))</x:f>
      </x:c>
      <x:c r="BE58" s="10">
        <x:f>IF(BD58="","",IF(MAX($BD$2:$BD$252)-MIN($BD$2:$BD$252)=0,"",(BD58-MIN($BD$2:$BD$252))/(MAX($BD$2:$BD$252)-MIN($BD$2:$BD$252))*100))</x:f>
      </x:c>
      <x:c r="BF58" s="10">
        <x:f>IF(P58="","",IF(MAX($P$2:$P$252)-MIN($P$2:$P$252)=0,"",(P58-MIN($P$2:$P$252))/(MAX($P$2:$P$252)-MIN($P$2:$P$252))*100))</x:f>
      </x:c>
      <x:c r="BG58">
        <x:f>IF(AF58="","",LOG10(AF58+1))</x:f>
      </x:c>
      <x:c r="BH58" s="10">
        <x:f>IF(BG58="","",IF(MAX($BG$2:$BG$252)-MIN($BG$2:$BG$252)=0,"",(BG58-MIN($BG$2:$BG$252))/(MAX($BG$2:$BG$252)-MIN($BG$2:$BG$252))*100))</x:f>
      </x:c>
      <x:c r="BI58">
        <x:f>IF(AC58="","",LOG10(AC58+1))</x:f>
      </x:c>
      <x:c r="BJ58" s="10">
        <x:f>IF(BI58="","",IF(MAX($BI$2:$BI$252)-MIN($BI$2:$BI$252)=0,"",(BI58-MIN($BI$2:$BI$252))/(MAX($BI$2:$BI$252)-MIN($BI$2:$BI$252))*100))</x:f>
      </x:c>
      <x:c r="BK58">
        <x:f>IF(AD58="","",(AD58*2)+(AE58*1))</x:f>
      </x:c>
      <x:c r="BL58" s="10">
        <x:f>IF(BK58="","",IF(MAX($BK$2:$BK$252)-MIN($BK$2:$BK$252)=0,"",(BK58-MIN($BK$2:$BK$252))/(MAX($BK$2:$BK$252)-MIN($BK$2:$BK$252))*100))</x:f>
      </x:c>
      <x:c r="BM58" s="10">
        <x:f>IF(AB58="","",IF(MAX($AB$2:$AB$252)-MIN($AB$2:$AB$252)=0,"",(AB58-MIN($AB$2:$AB$252))/(MAX($AB$2:$AB$252)-MIN($AB$2:$AB$252))*100))</x:f>
      </x:c>
      <x:c r="BN58" s="10">
        <x:f>IF(X58="","",X58)</x:f>
      </x:c>
      <x:c r="BO58" s="10">
        <x:f>IF(X58="","",100-X58)</x:f>
      </x:c>
      <x:c r="BP58" s="10">
        <x:f>IF((Weights!$C$2*IF(BH58="",0,1)+Weights!$C$3*IF(BJ58="",0,1)+Weights!$C$4*IF(BL58="",0,1))=0,"",(Weights!$C$2*IF(BH58="",0,BH58)+Weights!$C$3*IF(BJ58="",0,BJ58)+Weights!$C$4*IF(BL58="",0,BL58))/(Weights!$C$2*IF(BH58="",0,1)+Weights!$C$3*IF(BJ58="",0,1)+Weights!$C$4*IF(BL58="",0,1)))</x:f>
      </x:c>
      <x:c r="BQ58" s="10">
        <x:f>IF((Weights!$C$5*IF(BA58="",0,1)+Weights!$C$6*IF(AW58="",0,1)+Weights!$C$7*IF(AU58="",0,1))=0,"",(Weights!$C$5*IF(BA58="",0,BA58)+Weights!$C$6*IF(AW58="",0,AW58)+Weights!$C$7*IF(AU58="",0,AU58))/(Weights!$C$5*IF(BA58="",0,1)+Weights!$C$6*IF(AW58="",0,1)+Weights!$C$7*IF(AU58="",0,1)))</x:f>
      </x:c>
      <x:c r="BR58" s="10">
        <x:f>IF((Weights!$C$8*IF(AW58="",0,1)+Weights!$C$9*IF(BC58="",0,1)+Weights!$C$10*IF(BF58="",0,1))=0,"",(Weights!$C$8*IF(AW58="",0,AW58)+Weights!$C$9*IF(BC58="",0,BC58)+Weights!$C$10*IF(BF58="",0,BF58))/(Weights!$C$8*IF(AW58="",0,1)+Weights!$C$9*IF(BC58="",0,1)+Weights!$C$10*IF(BF58="",0,1)))</x:f>
      </x:c>
      <x:c r="BS58" s="10">
        <x:f>IF(Y58="","",Y58)</x:f>
      </x:c>
      <x:c r="BT58" s="10">
        <x:f>IF(AS58="","",AS58)</x:f>
      </x:c>
      <x:c r="BU58" s="10">
        <x:f>IF(AJ58&lt;&gt;"",(0.6*AJ58+0.4*AU58),IF((Weights!$C$11*IF(AU58="",0,1)+Weights!$C$12*IF(BM58="",0,1))=0,"",(Weights!$C$11*IF(AU58="",0,AU58)+Weights!$C$12*IF(BM58="",0,BM58))/(Weights!$C$11*IF(AU58="",0,1)+Weights!$C$12*IF(BM58="",0,1))))</x:f>
      </x:c>
      <x:c r="BV58" s="10">
        <x:f>IF(CG58="",0,CG58)</x:f>
      </x:c>
      <x:c r="BW58" s="10">
        <x:f>IF(AP58="","",AP58)</x:f>
      </x:c>
      <x:c r="BX58" s="10">
        <x:f>IF(AO58="","",AO58)</x:f>
      </x:c>
      <x:c r="BY58" s="10">
        <x:f>IF(AL58="","",AL58)</x:f>
      </x:c>
      <x:c r="BZ58" s="10">
        <x:f>IF(AM58="","",AM58)</x:f>
      </x:c>
      <x:c r="CA58" s="10">
        <x:f>IF(AK58&lt;&gt;"",AK58,AW58)</x:f>
      </x:c>
      <x:c r="CB58" s="10">
        <x:f>IF((Weights!$C$13*IF(BP58="",0,1)+Weights!$C$14*IF(BR58="",0,1)+Weights!$C$15*IF(BQ58="",0,1)+Weights!$C$16*IF(BS58="",0,1)+Weights!$C$17*IF(BU58="",0,1)+Weights!$C$18*IF(BT58="",0,1)+Weights!$C$19*IF(BW58="",0,1)+Weights!$C$20*IF(BZ58="",0,1)+Weights!$C$21*IF(BO58="",0,1)+Weights!$C$22)=0,"",(Weights!$C$13*IF(BP58="",0,BP58)+Weights!$C$14*IF(BR58="",0,BR58)+Weights!$C$15*IF(BQ58="",0,BQ58)+Weights!$C$16*IF(BS58="",0,BS58)+Weights!$C$17*IF(BU58="",0,BU58)+Weights!$C$18*IF(BT58="",0,BT58)+Weights!$C$19*IF(BW58="",0,BW58)+Weights!$C$20*IF(BZ58="",0,BZ58)+Weights!$C$21*IF(BO58="",0,BO58)+Weights!$C$22*BV58)/(Weights!$C$13*IF(BP58="",0,1)+Weights!$C$14*IF(BR58="",0,1)+Weights!$C$15*IF(BQ58="",0,1)+Weights!$C$16*IF(BS58="",0,1)+Weights!$C$17*IF(BU58="",0,1)+Weights!$C$18*IF(BT58="",0,1)+Weights!$C$19*IF(BW58="",0,1)+Weights!$C$20*IF(BZ58="",0,1)+Weights!$C$21*IF(BO58="",0,1)+Weights!$C$22))</x:f>
      </x:c>
      <x:c r="CC58" s="10">
        <x:f>IF((Weights!$C$23*IF(BQ58="",0,1)+Weights!$C$24*IF(BN58="",0,1)+Weights!$C$25*IF(BS58="",0,1)+Weights!$C$26*IF(BY58="",0,1)+Weights!$C$27*IF(BX58="",0,1)+Weights!$C$28*IF(BT58="",0,1)+Weights!$C$29*IF(CA58="",0,1)+Weights!$C$30+Weights!$C$31*IF(BU58="",0,1))=0,"",(Weights!$C$23*IF(BQ58="",0,BQ58)+Weights!$C$24*IF(BN58="",0,BN58)+Weights!$C$25*IF(BS58="",0,BS58)+Weights!$C$26*IF(BY58="",0,BY58)+Weights!$C$27*IF(BX58="",0,BX58)+Weights!$C$28*IF(BT58="",0,BT58)+Weights!$C$29*IF(CA58="",0,CA58)+Weights!$C$30*BV58+Weights!$C$31*IF(BU58="",0,BU58))/(Weights!$C$23*IF(BQ58="",0,1)+Weights!$C$24*IF(BN58="",0,1)+Weights!$C$25*IF(BS58="",0,1)+Weights!$C$26*IF(BY58="",0,1)+Weights!$C$27*IF(BX58="",0,1)+Weights!$C$28*IF(BT58="",0,1)+Weights!$C$29*IF(CA58="",0,1)+Weights!$C$30+Weights!$C$31*IF(BU58="",0,1)))</x:f>
      </x:c>
      <x:c r="CD58" s="10">
        <x:f>IF(AND(CB58="",CC58=""),"",IF(CB58="",CC58,IF(CC58="",CB58,AVERAGE(CB58,CC58))))</x:f>
      </x:c>
      <x:c r="CE58" s="7">
        <x:f>ROUND(100*((IF(BP58&lt;&gt;"",1,0)+IF(BQ58&lt;&gt;"",1,0)+IF(BR58&lt;&gt;"",1,0)+IF(BS58&lt;&gt;"",1,0)+IF(BU58&lt;&gt;"",1,0)+IF(BT58&lt;&gt;"",1,0)+IF(BN58&lt;&gt;"",1,0)+IF(AW58&lt;&gt;"",1,0))/8),0)</x:f>
      </x:c>
      <x:c r="CF58">
        <x:f>IF(V58="","",LOG10(V58+1))</x:f>
      </x:c>
      <x:c r="CG58">
        <x:f>IF(CF58="","",IF(MAX($CF$2:$CF$252)-MIN($CF$2:$CF$252)=0,"",(CF58-MIN($CF$2:$CF$252))/(MAX($CF$2:$CF$252)-MIN($CF$2:$CF$252))*100))</x:f>
      </x:c>
    </x:row>
    <x:row r="59">
      <x:c r="A59" t="inlineStr">
        <x:is>
          <x:t xml:space="preserve">GGY</x:t>
        </x:is>
      </x:c>
      <x:c r="B59" t="inlineStr">
        <x:is>
          <x:t xml:space="preserve">Guernsey</x:t>
        </x:is>
      </x:c>
      <x:c r="N59" s="8" t="n"/>
      <x:c r="O59" s="9" t="n"/>
      <x:c r="P59" s="8" t="n"/>
      <x:c r="R59" s="8" t="n"/>
      <x:c r="AB59" s="8" t="n"/>
      <x:c r="AR59">
        <x:f>IF(G59="","",LOG10(G59+1))</x:f>
      </x:c>
      <x:c r="AS59" s="10">
        <x:f>IF(AR59="","",IF(MAX($AR$2:$AR$252)-MIN($AR$2:$AR$252)=0,"",(AR59-MIN($AR$2:$AR$252))/(MAX($AR$2:$AR$252)-MIN($AR$2:$AR$252))*100))</x:f>
      </x:c>
      <x:c r="AT59">
        <x:f>IF(R59="","",LOG10(R59+1))</x:f>
      </x:c>
      <x:c r="AU59" s="10">
        <x:f>IF(AT59="","",IF(MAX($AT$2:$AT$252)-MIN($AT$2:$AT$252)=0,"",(AT59-MIN($AT$2:$AT$252))/(MAX($AT$2:$AT$252)-MIN($AT$2:$AT$252))*100))</x:f>
      </x:c>
      <x:c r="AV59">
        <x:f>IF(N59="","",LOG10(N59+1))</x:f>
      </x:c>
      <x:c r="AW59" s="10">
        <x:f>IF(AV59="","",IF(MAX($AV$2:$AV$252)-MIN($AV$2:$AV$252)=0,"",(AV59-MIN($AV$2:$AV$252))/(MAX($AV$2:$AV$252)-MIN($AV$2:$AV$252))*100))</x:f>
      </x:c>
      <x:c r="AX59">
        <x:f>IF(I59="","",LOG10(I59+1))</x:f>
      </x:c>
      <x:c r="AY59" s="10">
        <x:f>IF(AX59="","",IF(MAX($AX$2:$AX$252)-MIN($AX$2:$AX$252)=0,"",(AX59-MIN($AX$2:$AX$252))/(MAX($AX$2:$AX$252)-MIN($AX$2:$AX$252))*100))</x:f>
      </x:c>
      <x:c r="AZ59">
        <x:f>IF(J59="","",LOG10(J59+1))</x:f>
      </x:c>
      <x:c r="BA59" s="10">
        <x:f>IF(AZ59="","",IF(MAX($AZ$2:$AZ$252)-MIN($AZ$2:$AZ$252)=0,"",(AZ59-MIN($AZ$2:$AZ$252))/(MAX($AZ$2:$AZ$252)-MIN($AZ$2:$AZ$252))*100))</x:f>
      </x:c>
      <x:c r="BB59">
        <x:f>IF(K59="","",LOG10(K59+1))</x:f>
      </x:c>
      <x:c r="BC59" s="10">
        <x:f>IF(BB59="","",IF(MAX($BB$2:$BB$252)-MIN($BB$2:$BB$252)=0,"",(BB59-MIN($BB$2:$BB$252))/(MAX($BB$2:$BB$252)-MIN($BB$2:$BB$252))*100))</x:f>
      </x:c>
      <x:c r="BD59">
        <x:f>IF(L59="","",LOG10(L59+1))</x:f>
      </x:c>
      <x:c r="BE59" s="10">
        <x:f>IF(BD59="","",IF(MAX($BD$2:$BD$252)-MIN($BD$2:$BD$252)=0,"",(BD59-MIN($BD$2:$BD$252))/(MAX($BD$2:$BD$252)-MIN($BD$2:$BD$252))*100))</x:f>
      </x:c>
      <x:c r="BF59" s="10">
        <x:f>IF(P59="","",IF(MAX($P$2:$P$252)-MIN($P$2:$P$252)=0,"",(P59-MIN($P$2:$P$252))/(MAX($P$2:$P$252)-MIN($P$2:$P$252))*100))</x:f>
      </x:c>
      <x:c r="BG59">
        <x:f>IF(AF59="","",LOG10(AF59+1))</x:f>
      </x:c>
      <x:c r="BH59" s="10">
        <x:f>IF(BG59="","",IF(MAX($BG$2:$BG$252)-MIN($BG$2:$BG$252)=0,"",(BG59-MIN($BG$2:$BG$252))/(MAX($BG$2:$BG$252)-MIN($BG$2:$BG$252))*100))</x:f>
      </x:c>
      <x:c r="BI59">
        <x:f>IF(AC59="","",LOG10(AC59+1))</x:f>
      </x:c>
      <x:c r="BJ59" s="10">
        <x:f>IF(BI59="","",IF(MAX($BI$2:$BI$252)-MIN($BI$2:$BI$252)=0,"",(BI59-MIN($BI$2:$BI$252))/(MAX($BI$2:$BI$252)-MIN($BI$2:$BI$252))*100))</x:f>
      </x:c>
      <x:c r="BK59">
        <x:f>IF(AD59="","",(AD59*2)+(AE59*1))</x:f>
      </x:c>
      <x:c r="BL59" s="10">
        <x:f>IF(BK59="","",IF(MAX($BK$2:$BK$252)-MIN($BK$2:$BK$252)=0,"",(BK59-MIN($BK$2:$BK$252))/(MAX($BK$2:$BK$252)-MIN($BK$2:$BK$252))*100))</x:f>
      </x:c>
      <x:c r="BM59" s="10">
        <x:f>IF(AB59="","",IF(MAX($AB$2:$AB$252)-MIN($AB$2:$AB$252)=0,"",(AB59-MIN($AB$2:$AB$252))/(MAX($AB$2:$AB$252)-MIN($AB$2:$AB$252))*100))</x:f>
      </x:c>
      <x:c r="BN59" s="10">
        <x:f>IF(X59="","",X59)</x:f>
      </x:c>
      <x:c r="BO59" s="10">
        <x:f>IF(X59="","",100-X59)</x:f>
      </x:c>
      <x:c r="BP59" s="10">
        <x:f>IF((Weights!$C$2*IF(BH59="",0,1)+Weights!$C$3*IF(BJ59="",0,1)+Weights!$C$4*IF(BL59="",0,1))=0,"",(Weights!$C$2*IF(BH59="",0,BH59)+Weights!$C$3*IF(BJ59="",0,BJ59)+Weights!$C$4*IF(BL59="",0,BL59))/(Weights!$C$2*IF(BH59="",0,1)+Weights!$C$3*IF(BJ59="",0,1)+Weights!$C$4*IF(BL59="",0,1)))</x:f>
      </x:c>
      <x:c r="BQ59" s="10">
        <x:f>IF((Weights!$C$5*IF(BA59="",0,1)+Weights!$C$6*IF(AW59="",0,1)+Weights!$C$7*IF(AU59="",0,1))=0,"",(Weights!$C$5*IF(BA59="",0,BA59)+Weights!$C$6*IF(AW59="",0,AW59)+Weights!$C$7*IF(AU59="",0,AU59))/(Weights!$C$5*IF(BA59="",0,1)+Weights!$C$6*IF(AW59="",0,1)+Weights!$C$7*IF(AU59="",0,1)))</x:f>
      </x:c>
      <x:c r="BR59" s="10">
        <x:f>IF((Weights!$C$8*IF(AW59="",0,1)+Weights!$C$9*IF(BC59="",0,1)+Weights!$C$10*IF(BF59="",0,1))=0,"",(Weights!$C$8*IF(AW59="",0,AW59)+Weights!$C$9*IF(BC59="",0,BC59)+Weights!$C$10*IF(BF59="",0,BF59))/(Weights!$C$8*IF(AW59="",0,1)+Weights!$C$9*IF(BC59="",0,1)+Weights!$C$10*IF(BF59="",0,1)))</x:f>
      </x:c>
      <x:c r="BS59" s="10">
        <x:f>IF(Y59="","",Y59)</x:f>
      </x:c>
      <x:c r="BT59" s="10">
        <x:f>IF(AS59="","",AS59)</x:f>
      </x:c>
      <x:c r="BU59" s="10">
        <x:f>IF(AJ59&lt;&gt;"",(0.6*AJ59+0.4*AU59),IF((Weights!$C$11*IF(AU59="",0,1)+Weights!$C$12*IF(BM59="",0,1))=0,"",(Weights!$C$11*IF(AU59="",0,AU59)+Weights!$C$12*IF(BM59="",0,BM59))/(Weights!$C$11*IF(AU59="",0,1)+Weights!$C$12*IF(BM59="",0,1))))</x:f>
      </x:c>
      <x:c r="BV59" s="10">
        <x:f>IF(CG59="",0,CG59)</x:f>
      </x:c>
      <x:c r="BW59" s="10">
        <x:f>IF(AP59="","",AP59)</x:f>
      </x:c>
      <x:c r="BX59" s="10">
        <x:f>IF(AO59="","",AO59)</x:f>
      </x:c>
      <x:c r="BY59" s="10">
        <x:f>IF(AL59="","",AL59)</x:f>
      </x:c>
      <x:c r="BZ59" s="10">
        <x:f>IF(AM59="","",AM59)</x:f>
      </x:c>
      <x:c r="CA59" s="10">
        <x:f>IF(AK59&lt;&gt;"",AK59,AW59)</x:f>
      </x:c>
      <x:c r="CB59" s="10">
        <x:f>IF((Weights!$C$13*IF(BP59="",0,1)+Weights!$C$14*IF(BR59="",0,1)+Weights!$C$15*IF(BQ59="",0,1)+Weights!$C$16*IF(BS59="",0,1)+Weights!$C$17*IF(BU59="",0,1)+Weights!$C$18*IF(BT59="",0,1)+Weights!$C$19*IF(BW59="",0,1)+Weights!$C$20*IF(BZ59="",0,1)+Weights!$C$21*IF(BO59="",0,1)+Weights!$C$22)=0,"",(Weights!$C$13*IF(BP59="",0,BP59)+Weights!$C$14*IF(BR59="",0,BR59)+Weights!$C$15*IF(BQ59="",0,BQ59)+Weights!$C$16*IF(BS59="",0,BS59)+Weights!$C$17*IF(BU59="",0,BU59)+Weights!$C$18*IF(BT59="",0,BT59)+Weights!$C$19*IF(BW59="",0,BW59)+Weights!$C$20*IF(BZ59="",0,BZ59)+Weights!$C$21*IF(BO59="",0,BO59)+Weights!$C$22*BV59)/(Weights!$C$13*IF(BP59="",0,1)+Weights!$C$14*IF(BR59="",0,1)+Weights!$C$15*IF(BQ59="",0,1)+Weights!$C$16*IF(BS59="",0,1)+Weights!$C$17*IF(BU59="",0,1)+Weights!$C$18*IF(BT59="",0,1)+Weights!$C$19*IF(BW59="",0,1)+Weights!$C$20*IF(BZ59="",0,1)+Weights!$C$21*IF(BO59="",0,1)+Weights!$C$22))</x:f>
      </x:c>
      <x:c r="CC59" s="10">
        <x:f>IF((Weights!$C$23*IF(BQ59="",0,1)+Weights!$C$24*IF(BN59="",0,1)+Weights!$C$25*IF(BS59="",0,1)+Weights!$C$26*IF(BY59="",0,1)+Weights!$C$27*IF(BX59="",0,1)+Weights!$C$28*IF(BT59="",0,1)+Weights!$C$29*IF(CA59="",0,1)+Weights!$C$30+Weights!$C$31*IF(BU59="",0,1))=0,"",(Weights!$C$23*IF(BQ59="",0,BQ59)+Weights!$C$24*IF(BN59="",0,BN59)+Weights!$C$25*IF(BS59="",0,BS59)+Weights!$C$26*IF(BY59="",0,BY59)+Weights!$C$27*IF(BX59="",0,BX59)+Weights!$C$28*IF(BT59="",0,BT59)+Weights!$C$29*IF(CA59="",0,CA59)+Weights!$C$30*BV59+Weights!$C$31*IF(BU59="",0,BU59))/(Weights!$C$23*IF(BQ59="",0,1)+Weights!$C$24*IF(BN59="",0,1)+Weights!$C$25*IF(BS59="",0,1)+Weights!$C$26*IF(BY59="",0,1)+Weights!$C$27*IF(BX59="",0,1)+Weights!$C$28*IF(BT59="",0,1)+Weights!$C$29*IF(CA59="",0,1)+Weights!$C$30+Weights!$C$31*IF(BU59="",0,1)))</x:f>
      </x:c>
      <x:c r="CD59" s="10">
        <x:f>IF(AND(CB59="",CC59=""),"",IF(CB59="",CC59,IF(CC59="",CB59,AVERAGE(CB59,CC59))))</x:f>
      </x:c>
      <x:c r="CE59" s="7">
        <x:f>ROUND(100*((IF(BP59&lt;&gt;"",1,0)+IF(BQ59&lt;&gt;"",1,0)+IF(BR59&lt;&gt;"",1,0)+IF(BS59&lt;&gt;"",1,0)+IF(BU59&lt;&gt;"",1,0)+IF(BT59&lt;&gt;"",1,0)+IF(BN59&lt;&gt;"",1,0)+IF(AW59&lt;&gt;"",1,0))/8),0)</x:f>
      </x:c>
      <x:c r="CF59">
        <x:f>IF(V59="","",LOG10(V59+1))</x:f>
      </x:c>
      <x:c r="CG59">
        <x:f>IF(CF59="","",IF(MAX($CF$2:$CF$252)-MIN($CF$2:$CF$252)=0,"",(CF59-MIN($CF$2:$CF$252))/(MAX($CF$2:$CF$252)-MIN($CF$2:$CF$252))*100))</x:f>
      </x:c>
    </x:row>
    <x:row r="60">
      <x:c r="A60" t="inlineStr">
        <x:is>
          <x:t xml:space="preserve">JOR</x:t>
        </x:is>
      </x:c>
      <x:c r="B60" t="inlineStr">
        <x:is>
          <x:t xml:space="preserve">Jordan</x:t>
        </x:is>
      </x:c>
      <x:c r="C60" t="inlineStr">
        <x:is>
          <x:t xml:space="preserve">Middle East &amp; North Africa</x:t>
        </x:is>
      </x:c>
      <x:c r="D60" t="inlineStr">
        <x:is>
          <x:t xml:space="preserve">Lower middle income</x:t>
        </x:is>
      </x:c>
      <x:c r="E60" t="inlineStr">
        <x:is>
          <x:t xml:space="preserve">Asia</x:t>
        </x:is>
      </x:c>
      <x:c r="F60" t="n">
        <x:v>2024</x:v>
      </x:c>
      <x:c r="G60" t="n">
        <x:v>11552876</x:v>
      </x:c>
      <x:c r="H60" t="n">
        <x:v>2020</x:v>
      </x:c>
      <x:c r="I60" t="n">
        <x:v>116000</x:v>
      </x:c>
      <x:c r="J60" t="n">
        <x:v>75400</x:v>
      </x:c>
      <x:c r="K60" t="n">
        <x:v>23200</x:v>
      </x:c>
      <x:c r="L60" t="n">
        <x:v>13920</x:v>
      </x:c>
      <x:c r="M60" t="n">
        <x:v>2024</x:v>
      </x:c>
      <x:c r="N60" s="8" t="n">
        <x:v>2560281690.14085</x:v>
      </x:c>
      <x:c r="O60" s="9" t="n">
        <x:v>4.80018703722722</x:v>
      </x:c>
      <x:c r="P60" s="8" t="n">
        <x:v>22071.39388052457</x:v>
      </x:c>
      <x:c r="Q60" t="n">
        <x:v>2024</x:v>
      </x:c>
      <x:c r="R60" s="8" t="n">
        <x:v>53352289577.4648</x:v>
      </x:c>
      <x:c r="S60" t="n">
        <x:v>1</x:v>
      </x:c>
      <x:c r="T60" t="n">
        <x:v>0</x:v>
      </x:c>
      <x:c r="U60" t="inlineStr">
        <x:is>
          <x:t xml:space="preserve">No</x:t>
        </x:is>
      </x:c>
      <x:c r="W60" t="inlineStr">
        <x:is>
          <x:t xml:space="preserve">No</x:t>
        </x:is>
      </x:c>
      <x:c r="X60" t="n">
        <x:v>17.3773728631099</x:v>
      </x:c>
      <x:c r="Y60" t="n">
        <x:v>54.76315156648096</x:v>
      </x:c>
      <x:c r="Z60" t="n">
        <x:v>89207.13690631666</x:v>
      </x:c>
      <x:c r="AA60" t="n">
        <x:v>114.879474394098</x:v>
      </x:c>
      <x:c r="AB60" s="8" t="n">
        <x:v>8410.364918503183</x:v>
      </x:c>
      <x:c r="AC60" t="n">
        <x:v>27</x:v>
      </x:c>
      <x:c r="AD60" t="n">
        <x:v>0</x:v>
      </x:c>
      <x:c r="AE60" t="n">
        <x:v>0</x:v>
      </x:c>
      <x:c r="AR60">
        <x:f>IF(G60="","",LOG10(G60+1))</x:f>
      </x:c>
      <x:c r="AS60" s="10">
        <x:f>IF(AR60="","",IF(MAX($AR$2:$AR$252)-MIN($AR$2:$AR$252)=0,"",(AR60-MIN($AR$2:$AR$252))/(MAX($AR$2:$AR$252)-MIN($AR$2:$AR$252))*100))</x:f>
      </x:c>
      <x:c r="AT60">
        <x:f>IF(R60="","",LOG10(R60+1))</x:f>
      </x:c>
      <x:c r="AU60" s="10">
        <x:f>IF(AT60="","",IF(MAX($AT$2:$AT$252)-MIN($AT$2:$AT$252)=0,"",(AT60-MIN($AT$2:$AT$252))/(MAX($AT$2:$AT$252)-MIN($AT$2:$AT$252))*100))</x:f>
      </x:c>
      <x:c r="AV60">
        <x:f>IF(N60="","",LOG10(N60+1))</x:f>
      </x:c>
      <x:c r="AW60" s="10">
        <x:f>IF(AV60="","",IF(MAX($AV$2:$AV$252)-MIN($AV$2:$AV$252)=0,"",(AV60-MIN($AV$2:$AV$252))/(MAX($AV$2:$AV$252)-MIN($AV$2:$AV$252))*100))</x:f>
      </x:c>
      <x:c r="AX60">
        <x:f>IF(I60="","",LOG10(I60+1))</x:f>
      </x:c>
      <x:c r="AY60" s="10">
        <x:f>IF(AX60="","",IF(MAX($AX$2:$AX$252)-MIN($AX$2:$AX$252)=0,"",(AX60-MIN($AX$2:$AX$252))/(MAX($AX$2:$AX$252)-MIN($AX$2:$AX$252))*100))</x:f>
      </x:c>
      <x:c r="AZ60">
        <x:f>IF(J60="","",LOG10(J60+1))</x:f>
      </x:c>
      <x:c r="BA60" s="10">
        <x:f>IF(AZ60="","",IF(MAX($AZ$2:$AZ$252)-MIN($AZ$2:$AZ$252)=0,"",(AZ60-MIN($AZ$2:$AZ$252))/(MAX($AZ$2:$AZ$252)-MIN($AZ$2:$AZ$252))*100))</x:f>
      </x:c>
      <x:c r="BB60">
        <x:f>IF(K60="","",LOG10(K60+1))</x:f>
      </x:c>
      <x:c r="BC60" s="10">
        <x:f>IF(BB60="","",IF(MAX($BB$2:$BB$252)-MIN($BB$2:$BB$252)=0,"",(BB60-MIN($BB$2:$BB$252))/(MAX($BB$2:$BB$252)-MIN($BB$2:$BB$252))*100))</x:f>
      </x:c>
      <x:c r="BD60">
        <x:f>IF(L60="","",LOG10(L60+1))</x:f>
      </x:c>
      <x:c r="BE60" s="10">
        <x:f>IF(BD60="","",IF(MAX($BD$2:$BD$252)-MIN($BD$2:$BD$252)=0,"",(BD60-MIN($BD$2:$BD$252))/(MAX($BD$2:$BD$252)-MIN($BD$2:$BD$252))*100))</x:f>
      </x:c>
      <x:c r="BF60" s="10">
        <x:f>IF(P60="","",IF(MAX($P$2:$P$252)-MIN($P$2:$P$252)=0,"",(P60-MIN($P$2:$P$252))/(MAX($P$2:$P$252)-MIN($P$2:$P$252))*100))</x:f>
      </x:c>
      <x:c r="BG60">
        <x:f>IF(AF60="","",LOG10(AF60+1))</x:f>
      </x:c>
      <x:c r="BH60" s="10">
        <x:f>IF(BG60="","",IF(MAX($BG$2:$BG$252)-MIN($BG$2:$BG$252)=0,"",(BG60-MIN($BG$2:$BG$252))/(MAX($BG$2:$BG$252)-MIN($BG$2:$BG$252))*100))</x:f>
      </x:c>
      <x:c r="BI60">
        <x:f>IF(AC60="","",LOG10(AC60+1))</x:f>
      </x:c>
      <x:c r="BJ60" s="10">
        <x:f>IF(BI60="","",IF(MAX($BI$2:$BI$252)-MIN($BI$2:$BI$252)=0,"",(BI60-MIN($BI$2:$BI$252))/(MAX($BI$2:$BI$252)-MIN($BI$2:$BI$252))*100))</x:f>
      </x:c>
      <x:c r="BK60">
        <x:f>IF(AD60="","",(AD60*2)+(AE60*1))</x:f>
      </x:c>
      <x:c r="BL60" s="10">
        <x:f>IF(BK60="","",IF(MAX($BK$2:$BK$252)-MIN($BK$2:$BK$252)=0,"",(BK60-MIN($BK$2:$BK$252))/(MAX($BK$2:$BK$252)-MIN($BK$2:$BK$252))*100))</x:f>
      </x:c>
      <x:c r="BM60" s="10">
        <x:f>IF(AB60="","",IF(MAX($AB$2:$AB$252)-MIN($AB$2:$AB$252)=0,"",(AB60-MIN($AB$2:$AB$252))/(MAX($AB$2:$AB$252)-MIN($AB$2:$AB$252))*100))</x:f>
      </x:c>
      <x:c r="BN60" s="10">
        <x:f>IF(X60="","",X60)</x:f>
      </x:c>
      <x:c r="BO60" s="10">
        <x:f>IF(X60="","",100-X60)</x:f>
      </x:c>
      <x:c r="BP60" s="10">
        <x:f>IF((Weights!$C$2*IF(BH60="",0,1)+Weights!$C$3*IF(BJ60="",0,1)+Weights!$C$4*IF(BL60="",0,1))=0,"",(Weights!$C$2*IF(BH60="",0,BH60)+Weights!$C$3*IF(BJ60="",0,BJ60)+Weights!$C$4*IF(BL60="",0,BL60))/(Weights!$C$2*IF(BH60="",0,1)+Weights!$C$3*IF(BJ60="",0,1)+Weights!$C$4*IF(BL60="",0,1)))</x:f>
      </x:c>
      <x:c r="BQ60" s="10">
        <x:f>IF((Weights!$C$5*IF(BA60="",0,1)+Weights!$C$6*IF(AW60="",0,1)+Weights!$C$7*IF(AU60="",0,1))=0,"",(Weights!$C$5*IF(BA60="",0,BA60)+Weights!$C$6*IF(AW60="",0,AW60)+Weights!$C$7*IF(AU60="",0,AU60))/(Weights!$C$5*IF(BA60="",0,1)+Weights!$C$6*IF(AW60="",0,1)+Weights!$C$7*IF(AU60="",0,1)))</x:f>
      </x:c>
      <x:c r="BR60" s="10">
        <x:f>IF((Weights!$C$8*IF(AW60="",0,1)+Weights!$C$9*IF(BC60="",0,1)+Weights!$C$10*IF(BF60="",0,1))=0,"",(Weights!$C$8*IF(AW60="",0,AW60)+Weights!$C$9*IF(BC60="",0,BC60)+Weights!$C$10*IF(BF60="",0,BF60))/(Weights!$C$8*IF(AW60="",0,1)+Weights!$C$9*IF(BC60="",0,1)+Weights!$C$10*IF(BF60="",0,1)))</x:f>
      </x:c>
      <x:c r="BS60" s="10">
        <x:f>IF(Y60="","",Y60)</x:f>
      </x:c>
      <x:c r="BT60" s="10">
        <x:f>IF(AS60="","",AS60)</x:f>
      </x:c>
      <x:c r="BU60" s="10">
        <x:f>IF(AJ60&lt;&gt;"",(0.6*AJ60+0.4*AU60),IF((Weights!$C$11*IF(AU60="",0,1)+Weights!$C$12*IF(BM60="",0,1))=0,"",(Weights!$C$11*IF(AU60="",0,AU60)+Weights!$C$12*IF(BM60="",0,BM60))/(Weights!$C$11*IF(AU60="",0,1)+Weights!$C$12*IF(BM60="",0,1))))</x:f>
      </x:c>
      <x:c r="BV60" s="10">
        <x:f>IF(CG60="",0,CG60)</x:f>
      </x:c>
      <x:c r="BW60" s="10">
        <x:f>IF(AP60="","",AP60)</x:f>
      </x:c>
      <x:c r="BX60" s="10">
        <x:f>IF(AO60="","",AO60)</x:f>
      </x:c>
      <x:c r="BY60" s="10">
        <x:f>IF(AL60="","",AL60)</x:f>
      </x:c>
      <x:c r="BZ60" s="10">
        <x:f>IF(AM60="","",AM60)</x:f>
      </x:c>
      <x:c r="CA60" s="10">
        <x:f>IF(AK60&lt;&gt;"",AK60,AW60)</x:f>
      </x:c>
      <x:c r="CB60" s="10">
        <x:f>IF((Weights!$C$13*IF(BP60="",0,1)+Weights!$C$14*IF(BR60="",0,1)+Weights!$C$15*IF(BQ60="",0,1)+Weights!$C$16*IF(BS60="",0,1)+Weights!$C$17*IF(BU60="",0,1)+Weights!$C$18*IF(BT60="",0,1)+Weights!$C$19*IF(BW60="",0,1)+Weights!$C$20*IF(BZ60="",0,1)+Weights!$C$21*IF(BO60="",0,1)+Weights!$C$22)=0,"",(Weights!$C$13*IF(BP60="",0,BP60)+Weights!$C$14*IF(BR60="",0,BR60)+Weights!$C$15*IF(BQ60="",0,BQ60)+Weights!$C$16*IF(BS60="",0,BS60)+Weights!$C$17*IF(BU60="",0,BU60)+Weights!$C$18*IF(BT60="",0,BT60)+Weights!$C$19*IF(BW60="",0,BW60)+Weights!$C$20*IF(BZ60="",0,BZ60)+Weights!$C$21*IF(BO60="",0,BO60)+Weights!$C$22*BV60)/(Weights!$C$13*IF(BP60="",0,1)+Weights!$C$14*IF(BR60="",0,1)+Weights!$C$15*IF(BQ60="",0,1)+Weights!$C$16*IF(BS60="",0,1)+Weights!$C$17*IF(BU60="",0,1)+Weights!$C$18*IF(BT60="",0,1)+Weights!$C$19*IF(BW60="",0,1)+Weights!$C$20*IF(BZ60="",0,1)+Weights!$C$21*IF(BO60="",0,1)+Weights!$C$22))</x:f>
      </x:c>
      <x:c r="CC60" s="10">
        <x:f>IF((Weights!$C$23*IF(BQ60="",0,1)+Weights!$C$24*IF(BN60="",0,1)+Weights!$C$25*IF(BS60="",0,1)+Weights!$C$26*IF(BY60="",0,1)+Weights!$C$27*IF(BX60="",0,1)+Weights!$C$28*IF(BT60="",0,1)+Weights!$C$29*IF(CA60="",0,1)+Weights!$C$30+Weights!$C$31*IF(BU60="",0,1))=0,"",(Weights!$C$23*IF(BQ60="",0,BQ60)+Weights!$C$24*IF(BN60="",0,BN60)+Weights!$C$25*IF(BS60="",0,BS60)+Weights!$C$26*IF(BY60="",0,BY60)+Weights!$C$27*IF(BX60="",0,BX60)+Weights!$C$28*IF(BT60="",0,BT60)+Weights!$C$29*IF(CA60="",0,CA60)+Weights!$C$30*BV60+Weights!$C$31*IF(BU60="",0,BU60))/(Weights!$C$23*IF(BQ60="",0,1)+Weights!$C$24*IF(BN60="",0,1)+Weights!$C$25*IF(BS60="",0,1)+Weights!$C$26*IF(BY60="",0,1)+Weights!$C$27*IF(BX60="",0,1)+Weights!$C$28*IF(BT60="",0,1)+Weights!$C$29*IF(CA60="",0,1)+Weights!$C$30+Weights!$C$31*IF(BU60="",0,1)))</x:f>
      </x:c>
      <x:c r="CD60" s="10">
        <x:f>IF(AND(CB60="",CC60=""),"",IF(CB60="",CC60,IF(CC60="",CB60,AVERAGE(CB60,CC60))))</x:f>
      </x:c>
      <x:c r="CE60" s="7">
        <x:f>ROUND(100*((IF(BP60&lt;&gt;"",1,0)+IF(BQ60&lt;&gt;"",1,0)+IF(BR60&lt;&gt;"",1,0)+IF(BS60&lt;&gt;"",1,0)+IF(BU60&lt;&gt;"",1,0)+IF(BT60&lt;&gt;"",1,0)+IF(BN60&lt;&gt;"",1,0)+IF(AW60&lt;&gt;"",1,0))/8),0)</x:f>
      </x:c>
      <x:c r="CF60">
        <x:f>IF(V60="","",LOG10(V60+1))</x:f>
      </x:c>
      <x:c r="CG60">
        <x:f>IF(CF60="","",IF(MAX($CF$2:$CF$252)-MIN($CF$2:$CF$252)=0,"",(CF60-MIN($CF$2:$CF$252))/(MAX($CF$2:$CF$252)-MIN($CF$2:$CF$252))*100))</x:f>
      </x:c>
    </x:row>
    <x:row r="61">
      <x:c r="A61" t="inlineStr">
        <x:is>
          <x:t xml:space="preserve">HMD</x:t>
        </x:is>
      </x:c>
      <x:c r="B61" t="inlineStr">
        <x:is>
          <x:t xml:space="preserve">Heard Island and McDonald Islands</x:t>
        </x:is>
      </x:c>
      <x:c r="N61" s="8" t="n"/>
      <x:c r="O61" s="9" t="n"/>
      <x:c r="P61" s="8" t="n"/>
      <x:c r="R61" s="8" t="n"/>
      <x:c r="AB61" s="8" t="n"/>
      <x:c r="AR61">
        <x:f>IF(G61="","",LOG10(G61+1))</x:f>
      </x:c>
      <x:c r="AS61" s="10">
        <x:f>IF(AR61="","",IF(MAX($AR$2:$AR$252)-MIN($AR$2:$AR$252)=0,"",(AR61-MIN($AR$2:$AR$252))/(MAX($AR$2:$AR$252)-MIN($AR$2:$AR$252))*100))</x:f>
      </x:c>
      <x:c r="AT61">
        <x:f>IF(R61="","",LOG10(R61+1))</x:f>
      </x:c>
      <x:c r="AU61" s="10">
        <x:f>IF(AT61="","",IF(MAX($AT$2:$AT$252)-MIN($AT$2:$AT$252)=0,"",(AT61-MIN($AT$2:$AT$252))/(MAX($AT$2:$AT$252)-MIN($AT$2:$AT$252))*100))</x:f>
      </x:c>
      <x:c r="AV61">
        <x:f>IF(N61="","",LOG10(N61+1))</x:f>
      </x:c>
      <x:c r="AW61" s="10">
        <x:f>IF(AV61="","",IF(MAX($AV$2:$AV$252)-MIN($AV$2:$AV$252)=0,"",(AV61-MIN($AV$2:$AV$252))/(MAX($AV$2:$AV$252)-MIN($AV$2:$AV$252))*100))</x:f>
      </x:c>
      <x:c r="AX61">
        <x:f>IF(I61="","",LOG10(I61+1))</x:f>
      </x:c>
      <x:c r="AY61" s="10">
        <x:f>IF(AX61="","",IF(MAX($AX$2:$AX$252)-MIN($AX$2:$AX$252)=0,"",(AX61-MIN($AX$2:$AX$252))/(MAX($AX$2:$AX$252)-MIN($AX$2:$AX$252))*100))</x:f>
      </x:c>
      <x:c r="AZ61">
        <x:f>IF(J61="","",LOG10(J61+1))</x:f>
      </x:c>
      <x:c r="BA61" s="10">
        <x:f>IF(AZ61="","",IF(MAX($AZ$2:$AZ$252)-MIN($AZ$2:$AZ$252)=0,"",(AZ61-MIN($AZ$2:$AZ$252))/(MAX($AZ$2:$AZ$252)-MIN($AZ$2:$AZ$252))*100))</x:f>
      </x:c>
      <x:c r="BB61">
        <x:f>IF(K61="","",LOG10(K61+1))</x:f>
      </x:c>
      <x:c r="BC61" s="10">
        <x:f>IF(BB61="","",IF(MAX($BB$2:$BB$252)-MIN($BB$2:$BB$252)=0,"",(BB61-MIN($BB$2:$BB$252))/(MAX($BB$2:$BB$252)-MIN($BB$2:$BB$252))*100))</x:f>
      </x:c>
      <x:c r="BD61">
        <x:f>IF(L61="","",LOG10(L61+1))</x:f>
      </x:c>
      <x:c r="BE61" s="10">
        <x:f>IF(BD61="","",IF(MAX($BD$2:$BD$252)-MIN($BD$2:$BD$252)=0,"",(BD61-MIN($BD$2:$BD$252))/(MAX($BD$2:$BD$252)-MIN($BD$2:$BD$252))*100))</x:f>
      </x:c>
      <x:c r="BF61" s="10">
        <x:f>IF(P61="","",IF(MAX($P$2:$P$252)-MIN($P$2:$P$252)=0,"",(P61-MIN($P$2:$P$252))/(MAX($P$2:$P$252)-MIN($P$2:$P$252))*100))</x:f>
      </x:c>
      <x:c r="BG61">
        <x:f>IF(AF61="","",LOG10(AF61+1))</x:f>
      </x:c>
      <x:c r="BH61" s="10">
        <x:f>IF(BG61="","",IF(MAX($BG$2:$BG$252)-MIN($BG$2:$BG$252)=0,"",(BG61-MIN($BG$2:$BG$252))/(MAX($BG$2:$BG$252)-MIN($BG$2:$BG$252))*100))</x:f>
      </x:c>
      <x:c r="BI61">
        <x:f>IF(AC61="","",LOG10(AC61+1))</x:f>
      </x:c>
      <x:c r="BJ61" s="10">
        <x:f>IF(BI61="","",IF(MAX($BI$2:$BI$252)-MIN($BI$2:$BI$252)=0,"",(BI61-MIN($BI$2:$BI$252))/(MAX($BI$2:$BI$252)-MIN($BI$2:$BI$252))*100))</x:f>
      </x:c>
      <x:c r="BK61">
        <x:f>IF(AD61="","",(AD61*2)+(AE61*1))</x:f>
      </x:c>
      <x:c r="BL61" s="10">
        <x:f>IF(BK61="","",IF(MAX($BK$2:$BK$252)-MIN($BK$2:$BK$252)=0,"",(BK61-MIN($BK$2:$BK$252))/(MAX($BK$2:$BK$252)-MIN($BK$2:$BK$252))*100))</x:f>
      </x:c>
      <x:c r="BM61" s="10">
        <x:f>IF(AB61="","",IF(MAX($AB$2:$AB$252)-MIN($AB$2:$AB$252)=0,"",(AB61-MIN($AB$2:$AB$252))/(MAX($AB$2:$AB$252)-MIN($AB$2:$AB$252))*100))</x:f>
      </x:c>
      <x:c r="BN61" s="10">
        <x:f>IF(X61="","",X61)</x:f>
      </x:c>
      <x:c r="BO61" s="10">
        <x:f>IF(X61="","",100-X61)</x:f>
      </x:c>
      <x:c r="BP61" s="10">
        <x:f>IF((Weights!$C$2*IF(BH61="",0,1)+Weights!$C$3*IF(BJ61="",0,1)+Weights!$C$4*IF(BL61="",0,1))=0,"",(Weights!$C$2*IF(BH61="",0,BH61)+Weights!$C$3*IF(BJ61="",0,BJ61)+Weights!$C$4*IF(BL61="",0,BL61))/(Weights!$C$2*IF(BH61="",0,1)+Weights!$C$3*IF(BJ61="",0,1)+Weights!$C$4*IF(BL61="",0,1)))</x:f>
      </x:c>
      <x:c r="BQ61" s="10">
        <x:f>IF((Weights!$C$5*IF(BA61="",0,1)+Weights!$C$6*IF(AW61="",0,1)+Weights!$C$7*IF(AU61="",0,1))=0,"",(Weights!$C$5*IF(BA61="",0,BA61)+Weights!$C$6*IF(AW61="",0,AW61)+Weights!$C$7*IF(AU61="",0,AU61))/(Weights!$C$5*IF(BA61="",0,1)+Weights!$C$6*IF(AW61="",0,1)+Weights!$C$7*IF(AU61="",0,1)))</x:f>
      </x:c>
      <x:c r="BR61" s="10">
        <x:f>IF((Weights!$C$8*IF(AW61="",0,1)+Weights!$C$9*IF(BC61="",0,1)+Weights!$C$10*IF(BF61="",0,1))=0,"",(Weights!$C$8*IF(AW61="",0,AW61)+Weights!$C$9*IF(BC61="",0,BC61)+Weights!$C$10*IF(BF61="",0,BF61))/(Weights!$C$8*IF(AW61="",0,1)+Weights!$C$9*IF(BC61="",0,1)+Weights!$C$10*IF(BF61="",0,1)))</x:f>
      </x:c>
      <x:c r="BS61" s="10">
        <x:f>IF(Y61="","",Y61)</x:f>
      </x:c>
      <x:c r="BT61" s="10">
        <x:f>IF(AS61="","",AS61)</x:f>
      </x:c>
      <x:c r="BU61" s="10">
        <x:f>IF(AJ61&lt;&gt;"",(0.6*AJ61+0.4*AU61),IF((Weights!$C$11*IF(AU61="",0,1)+Weights!$C$12*IF(BM61="",0,1))=0,"",(Weights!$C$11*IF(AU61="",0,AU61)+Weights!$C$12*IF(BM61="",0,BM61))/(Weights!$C$11*IF(AU61="",0,1)+Weights!$C$12*IF(BM61="",0,1))))</x:f>
      </x:c>
      <x:c r="BV61" s="10">
        <x:f>IF(CG61="",0,CG61)</x:f>
      </x:c>
      <x:c r="BW61" s="10">
        <x:f>IF(AP61="","",AP61)</x:f>
      </x:c>
      <x:c r="BX61" s="10">
        <x:f>IF(AO61="","",AO61)</x:f>
      </x:c>
      <x:c r="BY61" s="10">
        <x:f>IF(AL61="","",AL61)</x:f>
      </x:c>
      <x:c r="BZ61" s="10">
        <x:f>IF(AM61="","",AM61)</x:f>
      </x:c>
      <x:c r="CA61" s="10">
        <x:f>IF(AK61&lt;&gt;"",AK61,AW61)</x:f>
      </x:c>
      <x:c r="CB61" s="10">
        <x:f>IF((Weights!$C$13*IF(BP61="",0,1)+Weights!$C$14*IF(BR61="",0,1)+Weights!$C$15*IF(BQ61="",0,1)+Weights!$C$16*IF(BS61="",0,1)+Weights!$C$17*IF(BU61="",0,1)+Weights!$C$18*IF(BT61="",0,1)+Weights!$C$19*IF(BW61="",0,1)+Weights!$C$20*IF(BZ61="",0,1)+Weights!$C$21*IF(BO61="",0,1)+Weights!$C$22)=0,"",(Weights!$C$13*IF(BP61="",0,BP61)+Weights!$C$14*IF(BR61="",0,BR61)+Weights!$C$15*IF(BQ61="",0,BQ61)+Weights!$C$16*IF(BS61="",0,BS61)+Weights!$C$17*IF(BU61="",0,BU61)+Weights!$C$18*IF(BT61="",0,BT61)+Weights!$C$19*IF(BW61="",0,BW61)+Weights!$C$20*IF(BZ61="",0,BZ61)+Weights!$C$21*IF(BO61="",0,BO61)+Weights!$C$22*BV61)/(Weights!$C$13*IF(BP61="",0,1)+Weights!$C$14*IF(BR61="",0,1)+Weights!$C$15*IF(BQ61="",0,1)+Weights!$C$16*IF(BS61="",0,1)+Weights!$C$17*IF(BU61="",0,1)+Weights!$C$18*IF(BT61="",0,1)+Weights!$C$19*IF(BW61="",0,1)+Weights!$C$20*IF(BZ61="",0,1)+Weights!$C$21*IF(BO61="",0,1)+Weights!$C$22))</x:f>
      </x:c>
      <x:c r="CC61" s="10">
        <x:f>IF((Weights!$C$23*IF(BQ61="",0,1)+Weights!$C$24*IF(BN61="",0,1)+Weights!$C$25*IF(BS61="",0,1)+Weights!$C$26*IF(BY61="",0,1)+Weights!$C$27*IF(BX61="",0,1)+Weights!$C$28*IF(BT61="",0,1)+Weights!$C$29*IF(CA61="",0,1)+Weights!$C$30+Weights!$C$31*IF(BU61="",0,1))=0,"",(Weights!$C$23*IF(BQ61="",0,BQ61)+Weights!$C$24*IF(BN61="",0,BN61)+Weights!$C$25*IF(BS61="",0,BS61)+Weights!$C$26*IF(BY61="",0,BY61)+Weights!$C$27*IF(BX61="",0,BX61)+Weights!$C$28*IF(BT61="",0,BT61)+Weights!$C$29*IF(CA61="",0,CA61)+Weights!$C$30*BV61+Weights!$C$31*IF(BU61="",0,BU61))/(Weights!$C$23*IF(BQ61="",0,1)+Weights!$C$24*IF(BN61="",0,1)+Weights!$C$25*IF(BS61="",0,1)+Weights!$C$26*IF(BY61="",0,1)+Weights!$C$27*IF(BX61="",0,1)+Weights!$C$28*IF(BT61="",0,1)+Weights!$C$29*IF(CA61="",0,1)+Weights!$C$30+Weights!$C$31*IF(BU61="",0,1)))</x:f>
      </x:c>
      <x:c r="CD61" s="10">
        <x:f>IF(AND(CB61="",CC61=""),"",IF(CB61="",CC61,IF(CC61="",CB61,AVERAGE(CB61,CC61))))</x:f>
      </x:c>
      <x:c r="CE61" s="7">
        <x:f>ROUND(100*((IF(BP61&lt;&gt;"",1,0)+IF(BQ61&lt;&gt;"",1,0)+IF(BR61&lt;&gt;"",1,0)+IF(BS61&lt;&gt;"",1,0)+IF(BU61&lt;&gt;"",1,0)+IF(BT61&lt;&gt;"",1,0)+IF(BN61&lt;&gt;"",1,0)+IF(AW61&lt;&gt;"",1,0))/8),0)</x:f>
      </x:c>
      <x:c r="CF61">
        <x:f>IF(V61="","",LOG10(V61+1))</x:f>
      </x:c>
      <x:c r="CG61">
        <x:f>IF(CF61="","",IF(MAX($CF$2:$CF$252)-MIN($CF$2:$CF$252)=0,"",(CF61-MIN($CF$2:$CF$252))/(MAX($CF$2:$CF$252)-MIN($CF$2:$CF$252))*100))</x:f>
      </x:c>
    </x:row>
    <x:row r="62">
      <x:c r="A62" t="inlineStr">
        <x:is>
          <x:t xml:space="preserve">GRC</x:t>
        </x:is>
      </x:c>
      <x:c r="B62" t="inlineStr">
        <x:is>
          <x:t xml:space="preserve">Greece</x:t>
        </x:is>
      </x:c>
      <x:c r="C62" t="inlineStr">
        <x:is>
          <x:t xml:space="preserve">Europe &amp; Central Asia</x:t>
        </x:is>
      </x:c>
      <x:c r="D62" t="inlineStr">
        <x:is>
          <x:t xml:space="preserve">High income</x:t>
        </x:is>
      </x:c>
      <x:c r="E62" t="inlineStr">
        <x:is>
          <x:t xml:space="preserve">Europe</x:t>
        </x:is>
      </x:c>
      <x:c r="F62" t="n">
        <x:v>2024</x:v>
      </x:c>
      <x:c r="G62" t="n">
        <x:v>10405134</x:v>
      </x:c>
      <x:c r="H62" t="n">
        <x:v>2020</x:v>
      </x:c>
      <x:c r="I62" t="n">
        <x:v>147000</x:v>
      </x:c>
      <x:c r="J62" t="n">
        <x:v>95550</x:v>
      </x:c>
      <x:c r="K62" t="n">
        <x:v>29400</x:v>
      </x:c>
      <x:c r="L62" t="n">
        <x:v>17640</x:v>
      </x:c>
      <x:c r="M62" t="n">
        <x:v>2024</x:v>
      </x:c>
      <x:c r="N62" s="8" t="n">
        <x:v>8021963044.4518</x:v>
      </x:c>
      <x:c r="O62" s="9" t="n">
        <x:v>3.12797536550149</x:v>
      </x:c>
      <x:c r="P62" s="8" t="n">
        <x:v>54571.1771731415</x:v>
      </x:c>
      <x:c r="Q62" t="n">
        <x:v>2024</x:v>
      </x:c>
      <x:c r="R62" s="8" t="n">
        <x:v>256238371778.118</x:v>
      </x:c>
      <x:c r="S62" t="n">
        <x:v>5</x:v>
      </x:c>
      <x:c r="T62" t="n">
        <x:v>2</x:v>
      </x:c>
      <x:c r="U62" t="inlineStr">
        <x:is>
          <x:t xml:space="preserve">No</x:t>
        </x:is>
      </x:c>
      <x:c r="W62" t="inlineStr">
        <x:is>
          <x:t xml:space="preserve">No</x:t>
        </x:is>
      </x:c>
      <x:c r="X62" t="n">
        <x:v>46.11610469468762</x:v>
      </x:c>
      <x:c r="Y62" t="n">
        <x:v>69.70602826233556</x:v>
      </x:c>
      <x:c r="Z62" t="n">
        <x:v>131964.6466639772</x:v>
      </x:c>
      <x:c r="AA62" t="n">
        <x:v>81.60122633010846</x:v>
      </x:c>
      <x:c r="AB62" s="8" t="n">
        <x:v>26976.8881894812</x:v>
      </x:c>
      <x:c r="AC62" t="n">
        <x:v>187</x:v>
      </x:c>
      <x:c r="AD62" t="n">
        <x:v>0</x:v>
      </x:c>
      <x:c r="AE62" t="n">
        <x:v>0</x:v>
      </x:c>
      <x:c r="AF62" t="n">
        <x:v>47.2</x:v>
      </x:c>
      <x:c r="AG62" t="n">
        <x:v>65</x:v>
      </x:c>
      <x:c r="AH62" t="n">
        <x:v>22</x:v>
      </x:c>
      <x:c r="AR62">
        <x:f>IF(G62="","",LOG10(G62+1))</x:f>
      </x:c>
      <x:c r="AS62" s="10">
        <x:f>IF(AR62="","",IF(MAX($AR$2:$AR$252)-MIN($AR$2:$AR$252)=0,"",(AR62-MIN($AR$2:$AR$252))/(MAX($AR$2:$AR$252)-MIN($AR$2:$AR$252))*100))</x:f>
      </x:c>
      <x:c r="AT62">
        <x:f>IF(R62="","",LOG10(R62+1))</x:f>
      </x:c>
      <x:c r="AU62" s="10">
        <x:f>IF(AT62="","",IF(MAX($AT$2:$AT$252)-MIN($AT$2:$AT$252)=0,"",(AT62-MIN($AT$2:$AT$252))/(MAX($AT$2:$AT$252)-MIN($AT$2:$AT$252))*100))</x:f>
      </x:c>
      <x:c r="AV62">
        <x:f>IF(N62="","",LOG10(N62+1))</x:f>
      </x:c>
      <x:c r="AW62" s="10">
        <x:f>IF(AV62="","",IF(MAX($AV$2:$AV$252)-MIN($AV$2:$AV$252)=0,"",(AV62-MIN($AV$2:$AV$252))/(MAX($AV$2:$AV$252)-MIN($AV$2:$AV$252))*100))</x:f>
      </x:c>
      <x:c r="AX62">
        <x:f>IF(I62="","",LOG10(I62+1))</x:f>
      </x:c>
      <x:c r="AY62" s="10">
        <x:f>IF(AX62="","",IF(MAX($AX$2:$AX$252)-MIN($AX$2:$AX$252)=0,"",(AX62-MIN($AX$2:$AX$252))/(MAX($AX$2:$AX$252)-MIN($AX$2:$AX$252))*100))</x:f>
      </x:c>
      <x:c r="AZ62">
        <x:f>IF(J62="","",LOG10(J62+1))</x:f>
      </x:c>
      <x:c r="BA62" s="10">
        <x:f>IF(AZ62="","",IF(MAX($AZ$2:$AZ$252)-MIN($AZ$2:$AZ$252)=0,"",(AZ62-MIN($AZ$2:$AZ$252))/(MAX($AZ$2:$AZ$252)-MIN($AZ$2:$AZ$252))*100))</x:f>
      </x:c>
      <x:c r="BB62">
        <x:f>IF(K62="","",LOG10(K62+1))</x:f>
      </x:c>
      <x:c r="BC62" s="10">
        <x:f>IF(BB62="","",IF(MAX($BB$2:$BB$252)-MIN($BB$2:$BB$252)=0,"",(BB62-MIN($BB$2:$BB$252))/(MAX($BB$2:$BB$252)-MIN($BB$2:$BB$252))*100))</x:f>
      </x:c>
      <x:c r="BD62">
        <x:f>IF(L62="","",LOG10(L62+1))</x:f>
      </x:c>
      <x:c r="BE62" s="10">
        <x:f>IF(BD62="","",IF(MAX($BD$2:$BD$252)-MIN($BD$2:$BD$252)=0,"",(BD62-MIN($BD$2:$BD$252))/(MAX($BD$2:$BD$252)-MIN($BD$2:$BD$252))*100))</x:f>
      </x:c>
      <x:c r="BF62" s="10">
        <x:f>IF(P62="","",IF(MAX($P$2:$P$252)-MIN($P$2:$P$252)=0,"",(P62-MIN($P$2:$P$252))/(MAX($P$2:$P$252)-MIN($P$2:$P$252))*100))</x:f>
      </x:c>
      <x:c r="BG62">
        <x:f>IF(AF62="","",LOG10(AF62+1))</x:f>
      </x:c>
      <x:c r="BH62" s="10">
        <x:f>IF(BG62="","",IF(MAX($BG$2:$BG$252)-MIN($BG$2:$BG$252)=0,"",(BG62-MIN($BG$2:$BG$252))/(MAX($BG$2:$BG$252)-MIN($BG$2:$BG$252))*100))</x:f>
      </x:c>
      <x:c r="BI62">
        <x:f>IF(AC62="","",LOG10(AC62+1))</x:f>
      </x:c>
      <x:c r="BJ62" s="10">
        <x:f>IF(BI62="","",IF(MAX($BI$2:$BI$252)-MIN($BI$2:$BI$252)=0,"",(BI62-MIN($BI$2:$BI$252))/(MAX($BI$2:$BI$252)-MIN($BI$2:$BI$252))*100))</x:f>
      </x:c>
      <x:c r="BK62">
        <x:f>IF(AD62="","",(AD62*2)+(AE62*1))</x:f>
      </x:c>
      <x:c r="BL62" s="10">
        <x:f>IF(BK62="","",IF(MAX($BK$2:$BK$252)-MIN($BK$2:$BK$252)=0,"",(BK62-MIN($BK$2:$BK$252))/(MAX($BK$2:$BK$252)-MIN($BK$2:$BK$252))*100))</x:f>
      </x:c>
      <x:c r="BM62" s="10">
        <x:f>IF(AB62="","",IF(MAX($AB$2:$AB$252)-MIN($AB$2:$AB$252)=0,"",(AB62-MIN($AB$2:$AB$252))/(MAX($AB$2:$AB$252)-MIN($AB$2:$AB$252))*100))</x:f>
      </x:c>
      <x:c r="BN62" s="10">
        <x:f>IF(X62="","",X62)</x:f>
      </x:c>
      <x:c r="BO62" s="10">
        <x:f>IF(X62="","",100-X62)</x:f>
      </x:c>
      <x:c r="BP62" s="10">
        <x:f>IF((Weights!$C$2*IF(BH62="",0,1)+Weights!$C$3*IF(BJ62="",0,1)+Weights!$C$4*IF(BL62="",0,1))=0,"",(Weights!$C$2*IF(BH62="",0,BH62)+Weights!$C$3*IF(BJ62="",0,BJ62)+Weights!$C$4*IF(BL62="",0,BL62))/(Weights!$C$2*IF(BH62="",0,1)+Weights!$C$3*IF(BJ62="",0,1)+Weights!$C$4*IF(BL62="",0,1)))</x:f>
      </x:c>
      <x:c r="BQ62" s="10">
        <x:f>IF((Weights!$C$5*IF(BA62="",0,1)+Weights!$C$6*IF(AW62="",0,1)+Weights!$C$7*IF(AU62="",0,1))=0,"",(Weights!$C$5*IF(BA62="",0,BA62)+Weights!$C$6*IF(AW62="",0,AW62)+Weights!$C$7*IF(AU62="",0,AU62))/(Weights!$C$5*IF(BA62="",0,1)+Weights!$C$6*IF(AW62="",0,1)+Weights!$C$7*IF(AU62="",0,1)))</x:f>
      </x:c>
      <x:c r="BR62" s="10">
        <x:f>IF((Weights!$C$8*IF(AW62="",0,1)+Weights!$C$9*IF(BC62="",0,1)+Weights!$C$10*IF(BF62="",0,1))=0,"",(Weights!$C$8*IF(AW62="",0,AW62)+Weights!$C$9*IF(BC62="",0,BC62)+Weights!$C$10*IF(BF62="",0,BF62))/(Weights!$C$8*IF(AW62="",0,1)+Weights!$C$9*IF(BC62="",0,1)+Weights!$C$10*IF(BF62="",0,1)))</x:f>
      </x:c>
      <x:c r="BS62" s="10">
        <x:f>IF(Y62="","",Y62)</x:f>
      </x:c>
      <x:c r="BT62" s="10">
        <x:f>IF(AS62="","",AS62)</x:f>
      </x:c>
      <x:c r="BU62" s="10">
        <x:f>IF(AJ62&lt;&gt;"",(0.6*AJ62+0.4*AU62),IF((Weights!$C$11*IF(AU62="",0,1)+Weights!$C$12*IF(BM62="",0,1))=0,"",(Weights!$C$11*IF(AU62="",0,AU62)+Weights!$C$12*IF(BM62="",0,BM62))/(Weights!$C$11*IF(AU62="",0,1)+Weights!$C$12*IF(BM62="",0,1))))</x:f>
      </x:c>
      <x:c r="BV62" s="10">
        <x:f>IF(CG62="",0,CG62)</x:f>
      </x:c>
      <x:c r="BW62" s="10">
        <x:f>IF(AP62="","",AP62)</x:f>
      </x:c>
      <x:c r="BX62" s="10">
        <x:f>IF(AO62="","",AO62)</x:f>
      </x:c>
      <x:c r="BY62" s="10">
        <x:f>IF(AL62="","",AL62)</x:f>
      </x:c>
      <x:c r="BZ62" s="10">
        <x:f>IF(AM62="","",AM62)</x:f>
      </x:c>
      <x:c r="CA62" s="10">
        <x:f>IF(AK62&lt;&gt;"",AK62,AW62)</x:f>
      </x:c>
      <x:c r="CB62" s="10">
        <x:f>IF((Weights!$C$13*IF(BP62="",0,1)+Weights!$C$14*IF(BR62="",0,1)+Weights!$C$15*IF(BQ62="",0,1)+Weights!$C$16*IF(BS62="",0,1)+Weights!$C$17*IF(BU62="",0,1)+Weights!$C$18*IF(BT62="",0,1)+Weights!$C$19*IF(BW62="",0,1)+Weights!$C$20*IF(BZ62="",0,1)+Weights!$C$21*IF(BO62="",0,1)+Weights!$C$22)=0,"",(Weights!$C$13*IF(BP62="",0,BP62)+Weights!$C$14*IF(BR62="",0,BR62)+Weights!$C$15*IF(BQ62="",0,BQ62)+Weights!$C$16*IF(BS62="",0,BS62)+Weights!$C$17*IF(BU62="",0,BU62)+Weights!$C$18*IF(BT62="",0,BT62)+Weights!$C$19*IF(BW62="",0,BW62)+Weights!$C$20*IF(BZ62="",0,BZ62)+Weights!$C$21*IF(BO62="",0,BO62)+Weights!$C$22*BV62)/(Weights!$C$13*IF(BP62="",0,1)+Weights!$C$14*IF(BR62="",0,1)+Weights!$C$15*IF(BQ62="",0,1)+Weights!$C$16*IF(BS62="",0,1)+Weights!$C$17*IF(BU62="",0,1)+Weights!$C$18*IF(BT62="",0,1)+Weights!$C$19*IF(BW62="",0,1)+Weights!$C$20*IF(BZ62="",0,1)+Weights!$C$21*IF(BO62="",0,1)+Weights!$C$22))</x:f>
      </x:c>
      <x:c r="CC62" s="10">
        <x:f>IF((Weights!$C$23*IF(BQ62="",0,1)+Weights!$C$24*IF(BN62="",0,1)+Weights!$C$25*IF(BS62="",0,1)+Weights!$C$26*IF(BY62="",0,1)+Weights!$C$27*IF(BX62="",0,1)+Weights!$C$28*IF(BT62="",0,1)+Weights!$C$29*IF(CA62="",0,1)+Weights!$C$30+Weights!$C$31*IF(BU62="",0,1))=0,"",(Weights!$C$23*IF(BQ62="",0,BQ62)+Weights!$C$24*IF(BN62="",0,BN62)+Weights!$C$25*IF(BS62="",0,BS62)+Weights!$C$26*IF(BY62="",0,BY62)+Weights!$C$27*IF(BX62="",0,BX62)+Weights!$C$28*IF(BT62="",0,BT62)+Weights!$C$29*IF(CA62="",0,CA62)+Weights!$C$30*BV62+Weights!$C$31*IF(BU62="",0,BU62))/(Weights!$C$23*IF(BQ62="",0,1)+Weights!$C$24*IF(BN62="",0,1)+Weights!$C$25*IF(BS62="",0,1)+Weights!$C$26*IF(BY62="",0,1)+Weights!$C$27*IF(BX62="",0,1)+Weights!$C$28*IF(BT62="",0,1)+Weights!$C$29*IF(CA62="",0,1)+Weights!$C$30+Weights!$C$31*IF(BU62="",0,1)))</x:f>
      </x:c>
      <x:c r="CD62" s="10">
        <x:f>IF(AND(CB62="",CC62=""),"",IF(CB62="",CC62,IF(CC62="",CB62,AVERAGE(CB62,CC62))))</x:f>
      </x:c>
      <x:c r="CE62" s="7">
        <x:f>ROUND(100*((IF(BP62&lt;&gt;"",1,0)+IF(BQ62&lt;&gt;"",1,0)+IF(BR62&lt;&gt;"",1,0)+IF(BS62&lt;&gt;"",1,0)+IF(BU62&lt;&gt;"",1,0)+IF(BT62&lt;&gt;"",1,0)+IF(BN62&lt;&gt;"",1,0)+IF(AW62&lt;&gt;"",1,0))/8),0)</x:f>
      </x:c>
      <x:c r="CF62">
        <x:f>IF(V62="","",LOG10(V62+1))</x:f>
      </x:c>
      <x:c r="CG62">
        <x:f>IF(CF62="","",IF(MAX($CF$2:$CF$252)-MIN($CF$2:$CF$252)=0,"",(CF62-MIN($CF$2:$CF$252))/(MAX($CF$2:$CF$252)-MIN($CF$2:$CF$252))*100))</x:f>
      </x:c>
    </x:row>
    <x:row r="63">
      <x:c r="A63" t="inlineStr">
        <x:is>
          <x:t xml:space="preserve">VAT</x:t>
        </x:is>
      </x:c>
      <x:c r="B63" t="inlineStr">
        <x:is>
          <x:t xml:space="preserve">Holy See (Vatican City State)</x:t>
        </x:is>
      </x:c>
      <x:c r="N63" s="8" t="n"/>
      <x:c r="O63" s="9" t="n"/>
      <x:c r="P63" s="8" t="n"/>
      <x:c r="R63" s="8" t="n"/>
      <x:c r="AB63" s="8" t="n"/>
      <x:c r="AR63">
        <x:f>IF(G63="","",LOG10(G63+1))</x:f>
      </x:c>
      <x:c r="AS63" s="10">
        <x:f>IF(AR63="","",IF(MAX($AR$2:$AR$252)-MIN($AR$2:$AR$252)=0,"",(AR63-MIN($AR$2:$AR$252))/(MAX($AR$2:$AR$252)-MIN($AR$2:$AR$252))*100))</x:f>
      </x:c>
      <x:c r="AT63">
        <x:f>IF(R63="","",LOG10(R63+1))</x:f>
      </x:c>
      <x:c r="AU63" s="10">
        <x:f>IF(AT63="","",IF(MAX($AT$2:$AT$252)-MIN($AT$2:$AT$252)=0,"",(AT63-MIN($AT$2:$AT$252))/(MAX($AT$2:$AT$252)-MIN($AT$2:$AT$252))*100))</x:f>
      </x:c>
      <x:c r="AV63">
        <x:f>IF(N63="","",LOG10(N63+1))</x:f>
      </x:c>
      <x:c r="AW63" s="10">
        <x:f>IF(AV63="","",IF(MAX($AV$2:$AV$252)-MIN($AV$2:$AV$252)=0,"",(AV63-MIN($AV$2:$AV$252))/(MAX($AV$2:$AV$252)-MIN($AV$2:$AV$252))*100))</x:f>
      </x:c>
      <x:c r="AX63">
        <x:f>IF(I63="","",LOG10(I63+1))</x:f>
      </x:c>
      <x:c r="AY63" s="10">
        <x:f>IF(AX63="","",IF(MAX($AX$2:$AX$252)-MIN($AX$2:$AX$252)=0,"",(AX63-MIN($AX$2:$AX$252))/(MAX($AX$2:$AX$252)-MIN($AX$2:$AX$252))*100))</x:f>
      </x:c>
      <x:c r="AZ63">
        <x:f>IF(J63="","",LOG10(J63+1))</x:f>
      </x:c>
      <x:c r="BA63" s="10">
        <x:f>IF(AZ63="","",IF(MAX($AZ$2:$AZ$252)-MIN($AZ$2:$AZ$252)=0,"",(AZ63-MIN($AZ$2:$AZ$252))/(MAX($AZ$2:$AZ$252)-MIN($AZ$2:$AZ$252))*100))</x:f>
      </x:c>
      <x:c r="BB63">
        <x:f>IF(K63="","",LOG10(K63+1))</x:f>
      </x:c>
      <x:c r="BC63" s="10">
        <x:f>IF(BB63="","",IF(MAX($BB$2:$BB$252)-MIN($BB$2:$BB$252)=0,"",(BB63-MIN($BB$2:$BB$252))/(MAX($BB$2:$BB$252)-MIN($BB$2:$BB$252))*100))</x:f>
      </x:c>
      <x:c r="BD63">
        <x:f>IF(L63="","",LOG10(L63+1))</x:f>
      </x:c>
      <x:c r="BE63" s="10">
        <x:f>IF(BD63="","",IF(MAX($BD$2:$BD$252)-MIN($BD$2:$BD$252)=0,"",(BD63-MIN($BD$2:$BD$252))/(MAX($BD$2:$BD$252)-MIN($BD$2:$BD$252))*100))</x:f>
      </x:c>
      <x:c r="BF63" s="10">
        <x:f>IF(P63="","",IF(MAX($P$2:$P$252)-MIN($P$2:$P$252)=0,"",(P63-MIN($P$2:$P$252))/(MAX($P$2:$P$252)-MIN($P$2:$P$252))*100))</x:f>
      </x:c>
      <x:c r="BG63">
        <x:f>IF(AF63="","",LOG10(AF63+1))</x:f>
      </x:c>
      <x:c r="BH63" s="10">
        <x:f>IF(BG63="","",IF(MAX($BG$2:$BG$252)-MIN($BG$2:$BG$252)=0,"",(BG63-MIN($BG$2:$BG$252))/(MAX($BG$2:$BG$252)-MIN($BG$2:$BG$252))*100))</x:f>
      </x:c>
      <x:c r="BI63">
        <x:f>IF(AC63="","",LOG10(AC63+1))</x:f>
      </x:c>
      <x:c r="BJ63" s="10">
        <x:f>IF(BI63="","",IF(MAX($BI$2:$BI$252)-MIN($BI$2:$BI$252)=0,"",(BI63-MIN($BI$2:$BI$252))/(MAX($BI$2:$BI$252)-MIN($BI$2:$BI$252))*100))</x:f>
      </x:c>
      <x:c r="BK63">
        <x:f>IF(AD63="","",(AD63*2)+(AE63*1))</x:f>
      </x:c>
      <x:c r="BL63" s="10">
        <x:f>IF(BK63="","",IF(MAX($BK$2:$BK$252)-MIN($BK$2:$BK$252)=0,"",(BK63-MIN($BK$2:$BK$252))/(MAX($BK$2:$BK$252)-MIN($BK$2:$BK$252))*100))</x:f>
      </x:c>
      <x:c r="BM63" s="10">
        <x:f>IF(AB63="","",IF(MAX($AB$2:$AB$252)-MIN($AB$2:$AB$252)=0,"",(AB63-MIN($AB$2:$AB$252))/(MAX($AB$2:$AB$252)-MIN($AB$2:$AB$252))*100))</x:f>
      </x:c>
      <x:c r="BN63" s="10">
        <x:f>IF(X63="","",X63)</x:f>
      </x:c>
      <x:c r="BO63" s="10">
        <x:f>IF(X63="","",100-X63)</x:f>
      </x:c>
      <x:c r="BP63" s="10">
        <x:f>IF((Weights!$C$2*IF(BH63="",0,1)+Weights!$C$3*IF(BJ63="",0,1)+Weights!$C$4*IF(BL63="",0,1))=0,"",(Weights!$C$2*IF(BH63="",0,BH63)+Weights!$C$3*IF(BJ63="",0,BJ63)+Weights!$C$4*IF(BL63="",0,BL63))/(Weights!$C$2*IF(BH63="",0,1)+Weights!$C$3*IF(BJ63="",0,1)+Weights!$C$4*IF(BL63="",0,1)))</x:f>
      </x:c>
      <x:c r="BQ63" s="10">
        <x:f>IF((Weights!$C$5*IF(BA63="",0,1)+Weights!$C$6*IF(AW63="",0,1)+Weights!$C$7*IF(AU63="",0,1))=0,"",(Weights!$C$5*IF(BA63="",0,BA63)+Weights!$C$6*IF(AW63="",0,AW63)+Weights!$C$7*IF(AU63="",0,AU63))/(Weights!$C$5*IF(BA63="",0,1)+Weights!$C$6*IF(AW63="",0,1)+Weights!$C$7*IF(AU63="",0,1)))</x:f>
      </x:c>
      <x:c r="BR63" s="10">
        <x:f>IF((Weights!$C$8*IF(AW63="",0,1)+Weights!$C$9*IF(BC63="",0,1)+Weights!$C$10*IF(BF63="",0,1))=0,"",(Weights!$C$8*IF(AW63="",0,AW63)+Weights!$C$9*IF(BC63="",0,BC63)+Weights!$C$10*IF(BF63="",0,BF63))/(Weights!$C$8*IF(AW63="",0,1)+Weights!$C$9*IF(BC63="",0,1)+Weights!$C$10*IF(BF63="",0,1)))</x:f>
      </x:c>
      <x:c r="BS63" s="10">
        <x:f>IF(Y63="","",Y63)</x:f>
      </x:c>
      <x:c r="BT63" s="10">
        <x:f>IF(AS63="","",AS63)</x:f>
      </x:c>
      <x:c r="BU63" s="10">
        <x:f>IF(AJ63&lt;&gt;"",(0.6*AJ63+0.4*AU63),IF((Weights!$C$11*IF(AU63="",0,1)+Weights!$C$12*IF(BM63="",0,1))=0,"",(Weights!$C$11*IF(AU63="",0,AU63)+Weights!$C$12*IF(BM63="",0,BM63))/(Weights!$C$11*IF(AU63="",0,1)+Weights!$C$12*IF(BM63="",0,1))))</x:f>
      </x:c>
      <x:c r="BV63" s="10">
        <x:f>IF(CG63="",0,CG63)</x:f>
      </x:c>
      <x:c r="BW63" s="10">
        <x:f>IF(AP63="","",AP63)</x:f>
      </x:c>
      <x:c r="BX63" s="10">
        <x:f>IF(AO63="","",AO63)</x:f>
      </x:c>
      <x:c r="BY63" s="10">
        <x:f>IF(AL63="","",AL63)</x:f>
      </x:c>
      <x:c r="BZ63" s="10">
        <x:f>IF(AM63="","",AM63)</x:f>
      </x:c>
      <x:c r="CA63" s="10">
        <x:f>IF(AK63&lt;&gt;"",AK63,AW63)</x:f>
      </x:c>
      <x:c r="CB63" s="10">
        <x:f>IF((Weights!$C$13*IF(BP63="",0,1)+Weights!$C$14*IF(BR63="",0,1)+Weights!$C$15*IF(BQ63="",0,1)+Weights!$C$16*IF(BS63="",0,1)+Weights!$C$17*IF(BU63="",0,1)+Weights!$C$18*IF(BT63="",0,1)+Weights!$C$19*IF(BW63="",0,1)+Weights!$C$20*IF(BZ63="",0,1)+Weights!$C$21*IF(BO63="",0,1)+Weights!$C$22)=0,"",(Weights!$C$13*IF(BP63="",0,BP63)+Weights!$C$14*IF(BR63="",0,BR63)+Weights!$C$15*IF(BQ63="",0,BQ63)+Weights!$C$16*IF(BS63="",0,BS63)+Weights!$C$17*IF(BU63="",0,BU63)+Weights!$C$18*IF(BT63="",0,BT63)+Weights!$C$19*IF(BW63="",0,BW63)+Weights!$C$20*IF(BZ63="",0,BZ63)+Weights!$C$21*IF(BO63="",0,BO63)+Weights!$C$22*BV63)/(Weights!$C$13*IF(BP63="",0,1)+Weights!$C$14*IF(BR63="",0,1)+Weights!$C$15*IF(BQ63="",0,1)+Weights!$C$16*IF(BS63="",0,1)+Weights!$C$17*IF(BU63="",0,1)+Weights!$C$18*IF(BT63="",0,1)+Weights!$C$19*IF(BW63="",0,1)+Weights!$C$20*IF(BZ63="",0,1)+Weights!$C$21*IF(BO63="",0,1)+Weights!$C$22))</x:f>
      </x:c>
      <x:c r="CC63" s="10">
        <x:f>IF((Weights!$C$23*IF(BQ63="",0,1)+Weights!$C$24*IF(BN63="",0,1)+Weights!$C$25*IF(BS63="",0,1)+Weights!$C$26*IF(BY63="",0,1)+Weights!$C$27*IF(BX63="",0,1)+Weights!$C$28*IF(BT63="",0,1)+Weights!$C$29*IF(CA63="",0,1)+Weights!$C$30+Weights!$C$31*IF(BU63="",0,1))=0,"",(Weights!$C$23*IF(BQ63="",0,BQ63)+Weights!$C$24*IF(BN63="",0,BN63)+Weights!$C$25*IF(BS63="",0,BS63)+Weights!$C$26*IF(BY63="",0,BY63)+Weights!$C$27*IF(BX63="",0,BX63)+Weights!$C$28*IF(BT63="",0,BT63)+Weights!$C$29*IF(CA63="",0,CA63)+Weights!$C$30*BV63+Weights!$C$31*IF(BU63="",0,BU63))/(Weights!$C$23*IF(BQ63="",0,1)+Weights!$C$24*IF(BN63="",0,1)+Weights!$C$25*IF(BS63="",0,1)+Weights!$C$26*IF(BY63="",0,1)+Weights!$C$27*IF(BX63="",0,1)+Weights!$C$28*IF(BT63="",0,1)+Weights!$C$29*IF(CA63="",0,1)+Weights!$C$30+Weights!$C$31*IF(BU63="",0,1)))</x:f>
      </x:c>
      <x:c r="CD63" s="10">
        <x:f>IF(AND(CB63="",CC63=""),"",IF(CB63="",CC63,IF(CC63="",CB63,AVERAGE(CB63,CC63))))</x:f>
      </x:c>
      <x:c r="CE63" s="7">
        <x:f>ROUND(100*((IF(BP63&lt;&gt;"",1,0)+IF(BQ63&lt;&gt;"",1,0)+IF(BR63&lt;&gt;"",1,0)+IF(BS63&lt;&gt;"",1,0)+IF(BU63&lt;&gt;"",1,0)+IF(BT63&lt;&gt;"",1,0)+IF(BN63&lt;&gt;"",1,0)+IF(AW63&lt;&gt;"",1,0))/8),0)</x:f>
      </x:c>
      <x:c r="CF63">
        <x:f>IF(V63="","",LOG10(V63+1))</x:f>
      </x:c>
      <x:c r="CG63">
        <x:f>IF(CF63="","",IF(MAX($CF$2:$CF$252)-MIN($CF$2:$CF$252)=0,"",(CF63-MIN($CF$2:$CF$252))/(MAX($CF$2:$CF$252)-MIN($CF$2:$CF$252))*100))</x:f>
      </x:c>
    </x:row>
    <x:row r="64">
      <x:c r="A64" t="inlineStr">
        <x:is>
          <x:t xml:space="preserve">HKG</x:t>
        </x:is>
      </x:c>
      <x:c r="B64" t="inlineStr">
        <x:is>
          <x:t xml:space="preserve">Hong Kong SAR, China</x:t>
        </x:is>
      </x:c>
      <x:c r="C64" t="inlineStr">
        <x:is>
          <x:t xml:space="preserve">East Asia &amp; Pacific</x:t>
        </x:is>
      </x:c>
      <x:c r="D64" t="inlineStr">
        <x:is>
          <x:t xml:space="preserve">High income</x:t>
        </x:is>
      </x:c>
      <x:c r="F64" t="n">
        <x:v>2024</x:v>
      </x:c>
      <x:c r="G64" t="n">
        <x:v>7524100</x:v>
      </x:c>
      <x:c r="N64" s="8" t="n"/>
      <x:c r="O64" s="9" t="n"/>
      <x:c r="P64" s="8" t="n"/>
      <x:c r="Q64" t="n">
        <x:v>2024</x:v>
      </x:c>
      <x:c r="R64" s="8" t="n">
        <x:v>406863396487.342</x:v>
      </x:c>
      <x:c r="S64" t="n">
        <x:v>0</x:v>
      </x:c>
      <x:c r="T64" t="n">
        <x:v>0</x:v>
      </x:c>
      <x:c r="U64" t="inlineStr">
        <x:is>
          <x:t xml:space="preserve">No</x:t>
        </x:is>
      </x:c>
      <x:c r="W64" t="inlineStr">
        <x:is>
          <x:t xml:space="preserve">No</x:t>
        </x:is>
      </x:c>
      <x:c r="AB64" s="8" t="n"/>
      <x:c r="AR64">
        <x:f>IF(G64="","",LOG10(G64+1))</x:f>
      </x:c>
      <x:c r="AS64" s="10">
        <x:f>IF(AR64="","",IF(MAX($AR$2:$AR$252)-MIN($AR$2:$AR$252)=0,"",(AR64-MIN($AR$2:$AR$252))/(MAX($AR$2:$AR$252)-MIN($AR$2:$AR$252))*100))</x:f>
      </x:c>
      <x:c r="AT64">
        <x:f>IF(R64="","",LOG10(R64+1))</x:f>
      </x:c>
      <x:c r="AU64" s="10">
        <x:f>IF(AT64="","",IF(MAX($AT$2:$AT$252)-MIN($AT$2:$AT$252)=0,"",(AT64-MIN($AT$2:$AT$252))/(MAX($AT$2:$AT$252)-MIN($AT$2:$AT$252))*100))</x:f>
      </x:c>
      <x:c r="AV64">
        <x:f>IF(N64="","",LOG10(N64+1))</x:f>
      </x:c>
      <x:c r="AW64" s="10">
        <x:f>IF(AV64="","",IF(MAX($AV$2:$AV$252)-MIN($AV$2:$AV$252)=0,"",(AV64-MIN($AV$2:$AV$252))/(MAX($AV$2:$AV$252)-MIN($AV$2:$AV$252))*100))</x:f>
      </x:c>
      <x:c r="AX64">
        <x:f>IF(I64="","",LOG10(I64+1))</x:f>
      </x:c>
      <x:c r="AY64" s="10">
        <x:f>IF(AX64="","",IF(MAX($AX$2:$AX$252)-MIN($AX$2:$AX$252)=0,"",(AX64-MIN($AX$2:$AX$252))/(MAX($AX$2:$AX$252)-MIN($AX$2:$AX$252))*100))</x:f>
      </x:c>
      <x:c r="AZ64">
        <x:f>IF(J64="","",LOG10(J64+1))</x:f>
      </x:c>
      <x:c r="BA64" s="10">
        <x:f>IF(AZ64="","",IF(MAX($AZ$2:$AZ$252)-MIN($AZ$2:$AZ$252)=0,"",(AZ64-MIN($AZ$2:$AZ$252))/(MAX($AZ$2:$AZ$252)-MIN($AZ$2:$AZ$252))*100))</x:f>
      </x:c>
      <x:c r="BB64">
        <x:f>IF(K64="","",LOG10(K64+1))</x:f>
      </x:c>
      <x:c r="BC64" s="10">
        <x:f>IF(BB64="","",IF(MAX($BB$2:$BB$252)-MIN($BB$2:$BB$252)=0,"",(BB64-MIN($BB$2:$BB$252))/(MAX($BB$2:$BB$252)-MIN($BB$2:$BB$252))*100))</x:f>
      </x:c>
      <x:c r="BD64">
        <x:f>IF(L64="","",LOG10(L64+1))</x:f>
      </x:c>
      <x:c r="BE64" s="10">
        <x:f>IF(BD64="","",IF(MAX($BD$2:$BD$252)-MIN($BD$2:$BD$252)=0,"",(BD64-MIN($BD$2:$BD$252))/(MAX($BD$2:$BD$252)-MIN($BD$2:$BD$252))*100))</x:f>
      </x:c>
      <x:c r="BF64" s="10">
        <x:f>IF(P64="","",IF(MAX($P$2:$P$252)-MIN($P$2:$P$252)=0,"",(P64-MIN($P$2:$P$252))/(MAX($P$2:$P$252)-MIN($P$2:$P$252))*100))</x:f>
      </x:c>
      <x:c r="BG64">
        <x:f>IF(AF64="","",LOG10(AF64+1))</x:f>
      </x:c>
      <x:c r="BH64" s="10">
        <x:f>IF(BG64="","",IF(MAX($BG$2:$BG$252)-MIN($BG$2:$BG$252)=0,"",(BG64-MIN($BG$2:$BG$252))/(MAX($BG$2:$BG$252)-MIN($BG$2:$BG$252))*100))</x:f>
      </x:c>
      <x:c r="BI64">
        <x:f>IF(AC64="","",LOG10(AC64+1))</x:f>
      </x:c>
      <x:c r="BJ64" s="10">
        <x:f>IF(BI64="","",IF(MAX($BI$2:$BI$252)-MIN($BI$2:$BI$252)=0,"",(BI64-MIN($BI$2:$BI$252))/(MAX($BI$2:$BI$252)-MIN($BI$2:$BI$252))*100))</x:f>
      </x:c>
      <x:c r="BK64">
        <x:f>IF(AD64="","",(AD64*2)+(AE64*1))</x:f>
      </x:c>
      <x:c r="BL64" s="10">
        <x:f>IF(BK64="","",IF(MAX($BK$2:$BK$252)-MIN($BK$2:$BK$252)=0,"",(BK64-MIN($BK$2:$BK$252))/(MAX($BK$2:$BK$252)-MIN($BK$2:$BK$252))*100))</x:f>
      </x:c>
      <x:c r="BM64" s="10">
        <x:f>IF(AB64="","",IF(MAX($AB$2:$AB$252)-MIN($AB$2:$AB$252)=0,"",(AB64-MIN($AB$2:$AB$252))/(MAX($AB$2:$AB$252)-MIN($AB$2:$AB$252))*100))</x:f>
      </x:c>
      <x:c r="BN64" s="10">
        <x:f>IF(X64="","",X64)</x:f>
      </x:c>
      <x:c r="BO64" s="10">
        <x:f>IF(X64="","",100-X64)</x:f>
      </x:c>
      <x:c r="BP64" s="10">
        <x:f>IF((Weights!$C$2*IF(BH64="",0,1)+Weights!$C$3*IF(BJ64="",0,1)+Weights!$C$4*IF(BL64="",0,1))=0,"",(Weights!$C$2*IF(BH64="",0,BH64)+Weights!$C$3*IF(BJ64="",0,BJ64)+Weights!$C$4*IF(BL64="",0,BL64))/(Weights!$C$2*IF(BH64="",0,1)+Weights!$C$3*IF(BJ64="",0,1)+Weights!$C$4*IF(BL64="",0,1)))</x:f>
      </x:c>
      <x:c r="BQ64" s="10">
        <x:f>IF((Weights!$C$5*IF(BA64="",0,1)+Weights!$C$6*IF(AW64="",0,1)+Weights!$C$7*IF(AU64="",0,1))=0,"",(Weights!$C$5*IF(BA64="",0,BA64)+Weights!$C$6*IF(AW64="",0,AW64)+Weights!$C$7*IF(AU64="",0,AU64))/(Weights!$C$5*IF(BA64="",0,1)+Weights!$C$6*IF(AW64="",0,1)+Weights!$C$7*IF(AU64="",0,1)))</x:f>
      </x:c>
      <x:c r="BR64" s="10">
        <x:f>IF((Weights!$C$8*IF(AW64="",0,1)+Weights!$C$9*IF(BC64="",0,1)+Weights!$C$10*IF(BF64="",0,1))=0,"",(Weights!$C$8*IF(AW64="",0,AW64)+Weights!$C$9*IF(BC64="",0,BC64)+Weights!$C$10*IF(BF64="",0,BF64))/(Weights!$C$8*IF(AW64="",0,1)+Weights!$C$9*IF(BC64="",0,1)+Weights!$C$10*IF(BF64="",0,1)))</x:f>
      </x:c>
      <x:c r="BS64" s="10">
        <x:f>IF(Y64="","",Y64)</x:f>
      </x:c>
      <x:c r="BT64" s="10">
        <x:f>IF(AS64="","",AS64)</x:f>
      </x:c>
      <x:c r="BU64" s="10">
        <x:f>IF(AJ64&lt;&gt;"",(0.6*AJ64+0.4*AU64),IF((Weights!$C$11*IF(AU64="",0,1)+Weights!$C$12*IF(BM64="",0,1))=0,"",(Weights!$C$11*IF(AU64="",0,AU64)+Weights!$C$12*IF(BM64="",0,BM64))/(Weights!$C$11*IF(AU64="",0,1)+Weights!$C$12*IF(BM64="",0,1))))</x:f>
      </x:c>
      <x:c r="BV64" s="10">
        <x:f>IF(CG64="",0,CG64)</x:f>
      </x:c>
      <x:c r="BW64" s="10">
        <x:f>IF(AP64="","",AP64)</x:f>
      </x:c>
      <x:c r="BX64" s="10">
        <x:f>IF(AO64="","",AO64)</x:f>
      </x:c>
      <x:c r="BY64" s="10">
        <x:f>IF(AL64="","",AL64)</x:f>
      </x:c>
      <x:c r="BZ64" s="10">
        <x:f>IF(AM64="","",AM64)</x:f>
      </x:c>
      <x:c r="CA64" s="10">
        <x:f>IF(AK64&lt;&gt;"",AK64,AW64)</x:f>
      </x:c>
      <x:c r="CB64" s="10">
        <x:f>IF((Weights!$C$13*IF(BP64="",0,1)+Weights!$C$14*IF(BR64="",0,1)+Weights!$C$15*IF(BQ64="",0,1)+Weights!$C$16*IF(BS64="",0,1)+Weights!$C$17*IF(BU64="",0,1)+Weights!$C$18*IF(BT64="",0,1)+Weights!$C$19*IF(BW64="",0,1)+Weights!$C$20*IF(BZ64="",0,1)+Weights!$C$21*IF(BO64="",0,1)+Weights!$C$22)=0,"",(Weights!$C$13*IF(BP64="",0,BP64)+Weights!$C$14*IF(BR64="",0,BR64)+Weights!$C$15*IF(BQ64="",0,BQ64)+Weights!$C$16*IF(BS64="",0,BS64)+Weights!$C$17*IF(BU64="",0,BU64)+Weights!$C$18*IF(BT64="",0,BT64)+Weights!$C$19*IF(BW64="",0,BW64)+Weights!$C$20*IF(BZ64="",0,BZ64)+Weights!$C$21*IF(BO64="",0,BO64)+Weights!$C$22*BV64)/(Weights!$C$13*IF(BP64="",0,1)+Weights!$C$14*IF(BR64="",0,1)+Weights!$C$15*IF(BQ64="",0,1)+Weights!$C$16*IF(BS64="",0,1)+Weights!$C$17*IF(BU64="",0,1)+Weights!$C$18*IF(BT64="",0,1)+Weights!$C$19*IF(BW64="",0,1)+Weights!$C$20*IF(BZ64="",0,1)+Weights!$C$21*IF(BO64="",0,1)+Weights!$C$22))</x:f>
      </x:c>
      <x:c r="CC64" s="10">
        <x:f>IF((Weights!$C$23*IF(BQ64="",0,1)+Weights!$C$24*IF(BN64="",0,1)+Weights!$C$25*IF(BS64="",0,1)+Weights!$C$26*IF(BY64="",0,1)+Weights!$C$27*IF(BX64="",0,1)+Weights!$C$28*IF(BT64="",0,1)+Weights!$C$29*IF(CA64="",0,1)+Weights!$C$30+Weights!$C$31*IF(BU64="",0,1))=0,"",(Weights!$C$23*IF(BQ64="",0,BQ64)+Weights!$C$24*IF(BN64="",0,BN64)+Weights!$C$25*IF(BS64="",0,BS64)+Weights!$C$26*IF(BY64="",0,BY64)+Weights!$C$27*IF(BX64="",0,BX64)+Weights!$C$28*IF(BT64="",0,BT64)+Weights!$C$29*IF(CA64="",0,CA64)+Weights!$C$30*BV64+Weights!$C$31*IF(BU64="",0,BU64))/(Weights!$C$23*IF(BQ64="",0,1)+Weights!$C$24*IF(BN64="",0,1)+Weights!$C$25*IF(BS64="",0,1)+Weights!$C$26*IF(BY64="",0,1)+Weights!$C$27*IF(BX64="",0,1)+Weights!$C$28*IF(BT64="",0,1)+Weights!$C$29*IF(CA64="",0,1)+Weights!$C$30+Weights!$C$31*IF(BU64="",0,1)))</x:f>
      </x:c>
      <x:c r="CD64" s="10">
        <x:f>IF(AND(CB64="",CC64=""),"",IF(CB64="",CC64,IF(CC64="",CB64,AVERAGE(CB64,CC64))))</x:f>
      </x:c>
      <x:c r="CE64" s="7">
        <x:f>ROUND(100*((IF(BP64&lt;&gt;"",1,0)+IF(BQ64&lt;&gt;"",1,0)+IF(BR64&lt;&gt;"",1,0)+IF(BS64&lt;&gt;"",1,0)+IF(BU64&lt;&gt;"",1,0)+IF(BT64&lt;&gt;"",1,0)+IF(BN64&lt;&gt;"",1,0)+IF(AW64&lt;&gt;"",1,0))/8),0)</x:f>
      </x:c>
      <x:c r="CF64">
        <x:f>IF(V64="","",LOG10(V64+1))</x:f>
      </x:c>
      <x:c r="CG64">
        <x:f>IF(CF64="","",IF(MAX($CF$2:$CF$252)-MIN($CF$2:$CF$252)=0,"",(CF64-MIN($CF$2:$CF$252))/(MAX($CF$2:$CF$252)-MIN($CF$2:$CF$252))*100))</x:f>
      </x:c>
    </x:row>
    <x:row r="65">
      <x:c r="A65" t="inlineStr">
        <x:is>
          <x:t xml:space="preserve">HUN</x:t>
        </x:is>
      </x:c>
      <x:c r="B65" t="inlineStr">
        <x:is>
          <x:t xml:space="preserve">Hungary</x:t>
        </x:is>
      </x:c>
      <x:c r="C65" t="inlineStr">
        <x:is>
          <x:t xml:space="preserve">Europe &amp; Central Asia</x:t>
        </x:is>
      </x:c>
      <x:c r="D65" t="inlineStr">
        <x:is>
          <x:t xml:space="preserve">High income</x:t>
        </x:is>
      </x:c>
      <x:c r="E65" t="inlineStr">
        <x:is>
          <x:t xml:space="preserve">Europe</x:t>
        </x:is>
      </x:c>
      <x:c r="F65" t="n">
        <x:v>2024</x:v>
      </x:c>
      <x:c r="G65" t="n">
        <x:v>9562065</x:v>
      </x:c>
      <x:c r="H65" t="n">
        <x:v>2020</x:v>
      </x:c>
      <x:c r="I65" t="n">
        <x:v>46000</x:v>
      </x:c>
      <x:c r="J65" t="n">
        <x:v>29900</x:v>
      </x:c>
      <x:c r="K65" t="n">
        <x:v>9200</x:v>
      </x:c>
      <x:c r="L65" t="n">
        <x:v>5520</x:v>
      </x:c>
      <x:c r="M65" t="n">
        <x:v>2024</x:v>
      </x:c>
      <x:c r="N65" s="8" t="n">
        <x:v>4734698455.68824</x:v>
      </x:c>
      <x:c r="O65" s="9" t="n">
        <x:v>2.15630980446665</x:v>
      </x:c>
      <x:c r="P65" s="8" t="n">
        <x:v>102928.2272975704</x:v>
      </x:c>
      <x:c r="Q65" t="n">
        <x:v>2024</x:v>
      </x:c>
      <x:c r="R65" s="8" t="n">
        <x:v>222722738925.641</x:v>
      </x:c>
      <x:c r="S65" t="n">
        <x:v>2</x:v>
      </x:c>
      <x:c r="T65" t="n">
        <x:v>0</x:v>
      </x:c>
      <x:c r="U65" t="inlineStr">
        <x:is>
          <x:t xml:space="preserve">No</x:t>
        </x:is>
      </x:c>
      <x:c r="W65" t="inlineStr">
        <x:is>
          <x:t xml:space="preserve">No</x:t>
        </x:is>
      </x:c>
      <x:c r="X65" t="n">
        <x:v>9.473735422891277</x:v>
      </x:c>
      <x:c r="Y65" t="n">
        <x:v>71.46268681238494</x:v>
      </x:c>
      <x:c r="Z65" t="n">
        <x:v>92476.46036527313</x:v>
      </x:c>
      <x:c r="AA65" t="n">
        <x:v>106.5227297962109</x:v>
      </x:c>
      <x:c r="AB65" s="8" t="n">
        <x:v>27165.18227624128</x:v>
      </x:c>
      <x:c r="AR65">
        <x:f>IF(G65="","",LOG10(G65+1))</x:f>
      </x:c>
      <x:c r="AS65" s="10">
        <x:f>IF(AR65="","",IF(MAX($AR$2:$AR$252)-MIN($AR$2:$AR$252)=0,"",(AR65-MIN($AR$2:$AR$252))/(MAX($AR$2:$AR$252)-MIN($AR$2:$AR$252))*100))</x:f>
      </x:c>
      <x:c r="AT65">
        <x:f>IF(R65="","",LOG10(R65+1))</x:f>
      </x:c>
      <x:c r="AU65" s="10">
        <x:f>IF(AT65="","",IF(MAX($AT$2:$AT$252)-MIN($AT$2:$AT$252)=0,"",(AT65-MIN($AT$2:$AT$252))/(MAX($AT$2:$AT$252)-MIN($AT$2:$AT$252))*100))</x:f>
      </x:c>
      <x:c r="AV65">
        <x:f>IF(N65="","",LOG10(N65+1))</x:f>
      </x:c>
      <x:c r="AW65" s="10">
        <x:f>IF(AV65="","",IF(MAX($AV$2:$AV$252)-MIN($AV$2:$AV$252)=0,"",(AV65-MIN($AV$2:$AV$252))/(MAX($AV$2:$AV$252)-MIN($AV$2:$AV$252))*100))</x:f>
      </x:c>
      <x:c r="AX65">
        <x:f>IF(I65="","",LOG10(I65+1))</x:f>
      </x:c>
      <x:c r="AY65" s="10">
        <x:f>IF(AX65="","",IF(MAX($AX$2:$AX$252)-MIN($AX$2:$AX$252)=0,"",(AX65-MIN($AX$2:$AX$252))/(MAX($AX$2:$AX$252)-MIN($AX$2:$AX$252))*100))</x:f>
      </x:c>
      <x:c r="AZ65">
        <x:f>IF(J65="","",LOG10(J65+1))</x:f>
      </x:c>
      <x:c r="BA65" s="10">
        <x:f>IF(AZ65="","",IF(MAX($AZ$2:$AZ$252)-MIN($AZ$2:$AZ$252)=0,"",(AZ65-MIN($AZ$2:$AZ$252))/(MAX($AZ$2:$AZ$252)-MIN($AZ$2:$AZ$252))*100))</x:f>
      </x:c>
      <x:c r="BB65">
        <x:f>IF(K65="","",LOG10(K65+1))</x:f>
      </x:c>
      <x:c r="BC65" s="10">
        <x:f>IF(BB65="","",IF(MAX($BB$2:$BB$252)-MIN($BB$2:$BB$252)=0,"",(BB65-MIN($BB$2:$BB$252))/(MAX($BB$2:$BB$252)-MIN($BB$2:$BB$252))*100))</x:f>
      </x:c>
      <x:c r="BD65">
        <x:f>IF(L65="","",LOG10(L65+1))</x:f>
      </x:c>
      <x:c r="BE65" s="10">
        <x:f>IF(BD65="","",IF(MAX($BD$2:$BD$252)-MIN($BD$2:$BD$252)=0,"",(BD65-MIN($BD$2:$BD$252))/(MAX($BD$2:$BD$252)-MIN($BD$2:$BD$252))*100))</x:f>
      </x:c>
      <x:c r="BF65" s="10">
        <x:f>IF(P65="","",IF(MAX($P$2:$P$252)-MIN($P$2:$P$252)=0,"",(P65-MIN($P$2:$P$252))/(MAX($P$2:$P$252)-MIN($P$2:$P$252))*100))</x:f>
      </x:c>
      <x:c r="BG65">
        <x:f>IF(AF65="","",LOG10(AF65+1))</x:f>
      </x:c>
      <x:c r="BH65" s="10">
        <x:f>IF(BG65="","",IF(MAX($BG$2:$BG$252)-MIN($BG$2:$BG$252)=0,"",(BG65-MIN($BG$2:$BG$252))/(MAX($BG$2:$BG$252)-MIN($BG$2:$BG$252))*100))</x:f>
      </x:c>
      <x:c r="BI65">
        <x:f>IF(AC65="","",LOG10(AC65+1))</x:f>
      </x:c>
      <x:c r="BJ65" s="10">
        <x:f>IF(BI65="","",IF(MAX($BI$2:$BI$252)-MIN($BI$2:$BI$252)=0,"",(BI65-MIN($BI$2:$BI$252))/(MAX($BI$2:$BI$252)-MIN($BI$2:$BI$252))*100))</x:f>
      </x:c>
      <x:c r="BK65">
        <x:f>IF(AD65="","",(AD65*2)+(AE65*1))</x:f>
      </x:c>
      <x:c r="BL65" s="10">
        <x:f>IF(BK65="","",IF(MAX($BK$2:$BK$252)-MIN($BK$2:$BK$252)=0,"",(BK65-MIN($BK$2:$BK$252))/(MAX($BK$2:$BK$252)-MIN($BK$2:$BK$252))*100))</x:f>
      </x:c>
      <x:c r="BM65" s="10">
        <x:f>IF(AB65="","",IF(MAX($AB$2:$AB$252)-MIN($AB$2:$AB$252)=0,"",(AB65-MIN($AB$2:$AB$252))/(MAX($AB$2:$AB$252)-MIN($AB$2:$AB$252))*100))</x:f>
      </x:c>
      <x:c r="BN65" s="10">
        <x:f>IF(X65="","",X65)</x:f>
      </x:c>
      <x:c r="BO65" s="10">
        <x:f>IF(X65="","",100-X65)</x:f>
      </x:c>
      <x:c r="BP65" s="10">
        <x:f>IF((Weights!$C$2*IF(BH65="",0,1)+Weights!$C$3*IF(BJ65="",0,1)+Weights!$C$4*IF(BL65="",0,1))=0,"",(Weights!$C$2*IF(BH65="",0,BH65)+Weights!$C$3*IF(BJ65="",0,BJ65)+Weights!$C$4*IF(BL65="",0,BL65))/(Weights!$C$2*IF(BH65="",0,1)+Weights!$C$3*IF(BJ65="",0,1)+Weights!$C$4*IF(BL65="",0,1)))</x:f>
      </x:c>
      <x:c r="BQ65" s="10">
        <x:f>IF((Weights!$C$5*IF(BA65="",0,1)+Weights!$C$6*IF(AW65="",0,1)+Weights!$C$7*IF(AU65="",0,1))=0,"",(Weights!$C$5*IF(BA65="",0,BA65)+Weights!$C$6*IF(AW65="",0,AW65)+Weights!$C$7*IF(AU65="",0,AU65))/(Weights!$C$5*IF(BA65="",0,1)+Weights!$C$6*IF(AW65="",0,1)+Weights!$C$7*IF(AU65="",0,1)))</x:f>
      </x:c>
      <x:c r="BR65" s="10">
        <x:f>IF((Weights!$C$8*IF(AW65="",0,1)+Weights!$C$9*IF(BC65="",0,1)+Weights!$C$10*IF(BF65="",0,1))=0,"",(Weights!$C$8*IF(AW65="",0,AW65)+Weights!$C$9*IF(BC65="",0,BC65)+Weights!$C$10*IF(BF65="",0,BF65))/(Weights!$C$8*IF(AW65="",0,1)+Weights!$C$9*IF(BC65="",0,1)+Weights!$C$10*IF(BF65="",0,1)))</x:f>
      </x:c>
      <x:c r="BS65" s="10">
        <x:f>IF(Y65="","",Y65)</x:f>
      </x:c>
      <x:c r="BT65" s="10">
        <x:f>IF(AS65="","",AS65)</x:f>
      </x:c>
      <x:c r="BU65" s="10">
        <x:f>IF(AJ65&lt;&gt;"",(0.6*AJ65+0.4*AU65),IF((Weights!$C$11*IF(AU65="",0,1)+Weights!$C$12*IF(BM65="",0,1))=0,"",(Weights!$C$11*IF(AU65="",0,AU65)+Weights!$C$12*IF(BM65="",0,BM65))/(Weights!$C$11*IF(AU65="",0,1)+Weights!$C$12*IF(BM65="",0,1))))</x:f>
      </x:c>
      <x:c r="BV65" s="10">
        <x:f>IF(CG65="",0,CG65)</x:f>
      </x:c>
      <x:c r="BW65" s="10">
        <x:f>IF(AP65="","",AP65)</x:f>
      </x:c>
      <x:c r="BX65" s="10">
        <x:f>IF(AO65="","",AO65)</x:f>
      </x:c>
      <x:c r="BY65" s="10">
        <x:f>IF(AL65="","",AL65)</x:f>
      </x:c>
      <x:c r="BZ65" s="10">
        <x:f>IF(AM65="","",AM65)</x:f>
      </x:c>
      <x:c r="CA65" s="10">
        <x:f>IF(AK65&lt;&gt;"",AK65,AW65)</x:f>
      </x:c>
      <x:c r="CB65" s="10">
        <x:f>IF((Weights!$C$13*IF(BP65="",0,1)+Weights!$C$14*IF(BR65="",0,1)+Weights!$C$15*IF(BQ65="",0,1)+Weights!$C$16*IF(BS65="",0,1)+Weights!$C$17*IF(BU65="",0,1)+Weights!$C$18*IF(BT65="",0,1)+Weights!$C$19*IF(BW65="",0,1)+Weights!$C$20*IF(BZ65="",0,1)+Weights!$C$21*IF(BO65="",0,1)+Weights!$C$22)=0,"",(Weights!$C$13*IF(BP65="",0,BP65)+Weights!$C$14*IF(BR65="",0,BR65)+Weights!$C$15*IF(BQ65="",0,BQ65)+Weights!$C$16*IF(BS65="",0,BS65)+Weights!$C$17*IF(BU65="",0,BU65)+Weights!$C$18*IF(BT65="",0,BT65)+Weights!$C$19*IF(BW65="",0,BW65)+Weights!$C$20*IF(BZ65="",0,BZ65)+Weights!$C$21*IF(BO65="",0,BO65)+Weights!$C$22*BV65)/(Weights!$C$13*IF(BP65="",0,1)+Weights!$C$14*IF(BR65="",0,1)+Weights!$C$15*IF(BQ65="",0,1)+Weights!$C$16*IF(BS65="",0,1)+Weights!$C$17*IF(BU65="",0,1)+Weights!$C$18*IF(BT65="",0,1)+Weights!$C$19*IF(BW65="",0,1)+Weights!$C$20*IF(BZ65="",0,1)+Weights!$C$21*IF(BO65="",0,1)+Weights!$C$22))</x:f>
      </x:c>
      <x:c r="CC65" s="10">
        <x:f>IF((Weights!$C$23*IF(BQ65="",0,1)+Weights!$C$24*IF(BN65="",0,1)+Weights!$C$25*IF(BS65="",0,1)+Weights!$C$26*IF(BY65="",0,1)+Weights!$C$27*IF(BX65="",0,1)+Weights!$C$28*IF(BT65="",0,1)+Weights!$C$29*IF(CA65="",0,1)+Weights!$C$30+Weights!$C$31*IF(BU65="",0,1))=0,"",(Weights!$C$23*IF(BQ65="",0,BQ65)+Weights!$C$24*IF(BN65="",0,BN65)+Weights!$C$25*IF(BS65="",0,BS65)+Weights!$C$26*IF(BY65="",0,BY65)+Weights!$C$27*IF(BX65="",0,BX65)+Weights!$C$28*IF(BT65="",0,BT65)+Weights!$C$29*IF(CA65="",0,CA65)+Weights!$C$30*BV65+Weights!$C$31*IF(BU65="",0,BU65))/(Weights!$C$23*IF(BQ65="",0,1)+Weights!$C$24*IF(BN65="",0,1)+Weights!$C$25*IF(BS65="",0,1)+Weights!$C$26*IF(BY65="",0,1)+Weights!$C$27*IF(BX65="",0,1)+Weights!$C$28*IF(BT65="",0,1)+Weights!$C$29*IF(CA65="",0,1)+Weights!$C$30+Weights!$C$31*IF(BU65="",0,1)))</x:f>
      </x:c>
      <x:c r="CD65" s="10">
        <x:f>IF(AND(CB65="",CC65=""),"",IF(CB65="",CC65,IF(CC65="",CB65,AVERAGE(CB65,CC65))))</x:f>
      </x:c>
      <x:c r="CE65" s="7">
        <x:f>ROUND(100*((IF(BP65&lt;&gt;"",1,0)+IF(BQ65&lt;&gt;"",1,0)+IF(BR65&lt;&gt;"",1,0)+IF(BS65&lt;&gt;"",1,0)+IF(BU65&lt;&gt;"",1,0)+IF(BT65&lt;&gt;"",1,0)+IF(BN65&lt;&gt;"",1,0)+IF(AW65&lt;&gt;"",1,0))/8),0)</x:f>
      </x:c>
      <x:c r="CF65">
        <x:f>IF(V65="","",LOG10(V65+1))</x:f>
      </x:c>
      <x:c r="CG65">
        <x:f>IF(CF65="","",IF(MAX($CF$2:$CF$252)-MIN($CF$2:$CF$252)=0,"",(CF65-MIN($CF$2:$CF$252))/(MAX($CF$2:$CF$252)-MIN($CF$2:$CF$252))*100))</x:f>
      </x:c>
    </x:row>
    <x:row r="66">
      <x:c r="A66" t="inlineStr">
        <x:is>
          <x:t xml:space="preserve">PNG</x:t>
        </x:is>
      </x:c>
      <x:c r="B66" t="inlineStr">
        <x:is>
          <x:t xml:space="preserve">Papua New Guinea</x:t>
        </x:is>
      </x:c>
      <x:c r="C66" t="inlineStr">
        <x:is>
          <x:t xml:space="preserve">East Asia &amp; Pacific</x:t>
        </x:is>
      </x:c>
      <x:c r="D66" t="inlineStr">
        <x:is>
          <x:t xml:space="preserve">Lower middle income</x:t>
        </x:is>
      </x:c>
      <x:c r="E66" t="inlineStr">
        <x:is>
          <x:t xml:space="preserve">Oceania</x:t>
        </x:is>
      </x:c>
      <x:c r="F66" t="n">
        <x:v>2024</x:v>
      </x:c>
      <x:c r="G66" t="n">
        <x:v>10576502</x:v>
      </x:c>
      <x:c r="H66" t="n">
        <x:v>2020</x:v>
      </x:c>
      <x:c r="I66" t="n">
        <x:v>4000</x:v>
      </x:c>
      <x:c r="J66" t="n">
        <x:v>2600</x:v>
      </x:c>
      <x:c r="K66" t="n">
        <x:v>800</x:v>
      </x:c>
      <x:c r="L66" t="n">
        <x:v>480</x:v>
      </x:c>
      <x:c r="M66" t="n">
        <x:v>2024</x:v>
      </x:c>
      <x:c r="N66" s="8" t="n">
        <x:v>91005056.1232259</x:v>
      </x:c>
      <x:c r="O66" s="9" t="n">
        <x:v>0.307995782327758</x:v>
      </x:c>
      <x:c r="P66" s="8" t="n">
        <x:v>22751.26403080647</x:v>
      </x:c>
      <x:c r="Q66" t="n">
        <x:v>2024</x:v>
      </x:c>
      <x:c r="R66" s="8" t="n">
        <x:v>31800428265.5246</x:v>
      </x:c>
      <x:c r="S66" t="n">
        <x:v>0</x:v>
      </x:c>
      <x:c r="T66" t="n">
        <x:v>0</x:v>
      </x:c>
      <x:c r="U66" t="inlineStr">
        <x:is>
          <x:t xml:space="preserve">No</x:t>
        </x:is>
      </x:c>
      <x:c r="W66" t="inlineStr">
        <x:is>
          <x:t xml:space="preserve">No</x:t>
        </x:is>
      </x:c>
      <x:c r="X66" t="n">
        <x:v>55.97981911317517</x:v>
      </x:c>
      <x:c r="Y66" t="n">
        <x:v>31.60579277712264</x:v>
      </x:c>
      <x:c r="Z66" t="n">
        <x:v>464520.0724645862</x:v>
      </x:c>
      <x:c r="AA66" t="n">
        <x:v>14.87492448569438</x:v>
      </x:c>
      <x:c r="AB66" s="8" t="n">
        <x:v>4055.168233762937</x:v>
      </x:c>
      <x:c r="AI66" t="n">
        <x:v>4.6</x:v>
      </x:c>
      <x:c r="AJ66" t="n">
        <x:v>0.7</x:v>
      </x:c>
      <x:c r="AK66" t="n">
        <x:v>0.6</x:v>
      </x:c>
      <x:c r="AL66" t="n">
        <x:v>21.8</x:v>
      </x:c>
      <x:c r="AM66" t="n">
        <x:v>0.7</x:v>
      </x:c>
      <x:c r="AN66" t="n">
        <x:v>2.6</x:v>
      </x:c>
      <x:c r="AO66" t="n">
        <x:v>0.3</x:v>
      </x:c>
      <x:c r="AP66" t="n">
        <x:v>15.1</x:v>
      </x:c>
      <x:c r="AQ66" t="n">
        <x:v>2.2</x:v>
      </x:c>
      <x:c r="AR66">
        <x:f>IF(G66="","",LOG10(G66+1))</x:f>
      </x:c>
      <x:c r="AS66" s="10">
        <x:f>IF(AR66="","",IF(MAX($AR$2:$AR$252)-MIN($AR$2:$AR$252)=0,"",(AR66-MIN($AR$2:$AR$252))/(MAX($AR$2:$AR$252)-MIN($AR$2:$AR$252))*100))</x:f>
      </x:c>
      <x:c r="AT66">
        <x:f>IF(R66="","",LOG10(R66+1))</x:f>
      </x:c>
      <x:c r="AU66" s="10">
        <x:f>IF(AT66="","",IF(MAX($AT$2:$AT$252)-MIN($AT$2:$AT$252)=0,"",(AT66-MIN($AT$2:$AT$252))/(MAX($AT$2:$AT$252)-MIN($AT$2:$AT$252))*100))</x:f>
      </x:c>
      <x:c r="AV66">
        <x:f>IF(N66="","",LOG10(N66+1))</x:f>
      </x:c>
      <x:c r="AW66" s="10">
        <x:f>IF(AV66="","",IF(MAX($AV$2:$AV$252)-MIN($AV$2:$AV$252)=0,"",(AV66-MIN($AV$2:$AV$252))/(MAX($AV$2:$AV$252)-MIN($AV$2:$AV$252))*100))</x:f>
      </x:c>
      <x:c r="AX66">
        <x:f>IF(I66="","",LOG10(I66+1))</x:f>
      </x:c>
      <x:c r="AY66" s="10">
        <x:f>IF(AX66="","",IF(MAX($AX$2:$AX$252)-MIN($AX$2:$AX$252)=0,"",(AX66-MIN($AX$2:$AX$252))/(MAX($AX$2:$AX$252)-MIN($AX$2:$AX$252))*100))</x:f>
      </x:c>
      <x:c r="AZ66">
        <x:f>IF(J66="","",LOG10(J66+1))</x:f>
      </x:c>
      <x:c r="BA66" s="10">
        <x:f>IF(AZ66="","",IF(MAX($AZ$2:$AZ$252)-MIN($AZ$2:$AZ$252)=0,"",(AZ66-MIN($AZ$2:$AZ$252))/(MAX($AZ$2:$AZ$252)-MIN($AZ$2:$AZ$252))*100))</x:f>
      </x:c>
      <x:c r="BB66">
        <x:f>IF(K66="","",LOG10(K66+1))</x:f>
      </x:c>
      <x:c r="BC66" s="10">
        <x:f>IF(BB66="","",IF(MAX($BB$2:$BB$252)-MIN($BB$2:$BB$252)=0,"",(BB66-MIN($BB$2:$BB$252))/(MAX($BB$2:$BB$252)-MIN($BB$2:$BB$252))*100))</x:f>
      </x:c>
      <x:c r="BD66">
        <x:f>IF(L66="","",LOG10(L66+1))</x:f>
      </x:c>
      <x:c r="BE66" s="10">
        <x:f>IF(BD66="","",IF(MAX($BD$2:$BD$252)-MIN($BD$2:$BD$252)=0,"",(BD66-MIN($BD$2:$BD$252))/(MAX($BD$2:$BD$252)-MIN($BD$2:$BD$252))*100))</x:f>
      </x:c>
      <x:c r="BF66" s="10">
        <x:f>IF(P66="","",IF(MAX($P$2:$P$252)-MIN($P$2:$P$252)=0,"",(P66-MIN($P$2:$P$252))/(MAX($P$2:$P$252)-MIN($P$2:$P$252))*100))</x:f>
      </x:c>
      <x:c r="BG66">
        <x:f>IF(AF66="","",LOG10(AF66+1))</x:f>
      </x:c>
      <x:c r="BH66" s="10">
        <x:f>IF(BG66="","",IF(MAX($BG$2:$BG$252)-MIN($BG$2:$BG$252)=0,"",(BG66-MIN($BG$2:$BG$252))/(MAX($BG$2:$BG$252)-MIN($BG$2:$BG$252))*100))</x:f>
      </x:c>
      <x:c r="BI66">
        <x:f>IF(AC66="","",LOG10(AC66+1))</x:f>
      </x:c>
      <x:c r="BJ66" s="10">
        <x:f>IF(BI66="","",IF(MAX($BI$2:$BI$252)-MIN($BI$2:$BI$252)=0,"",(BI66-MIN($BI$2:$BI$252))/(MAX($BI$2:$BI$252)-MIN($BI$2:$BI$252))*100))</x:f>
      </x:c>
      <x:c r="BK66">
        <x:f>IF(AD66="","",(AD66*2)+(AE66*1))</x:f>
      </x:c>
      <x:c r="BL66" s="10">
        <x:f>IF(BK66="","",IF(MAX($BK$2:$BK$252)-MIN($BK$2:$BK$252)=0,"",(BK66-MIN($BK$2:$BK$252))/(MAX($BK$2:$BK$252)-MIN($BK$2:$BK$252))*100))</x:f>
      </x:c>
      <x:c r="BM66" s="10">
        <x:f>IF(AB66="","",IF(MAX($AB$2:$AB$252)-MIN($AB$2:$AB$252)=0,"",(AB66-MIN($AB$2:$AB$252))/(MAX($AB$2:$AB$252)-MIN($AB$2:$AB$252))*100))</x:f>
      </x:c>
      <x:c r="BN66" s="10">
        <x:f>IF(X66="","",X66)</x:f>
      </x:c>
      <x:c r="BO66" s="10">
        <x:f>IF(X66="","",100-X66)</x:f>
      </x:c>
      <x:c r="BP66" s="10">
        <x:f>IF((Weights!$C$2*IF(BH66="",0,1)+Weights!$C$3*IF(BJ66="",0,1)+Weights!$C$4*IF(BL66="",0,1))=0,"",(Weights!$C$2*IF(BH66="",0,BH66)+Weights!$C$3*IF(BJ66="",0,BJ66)+Weights!$C$4*IF(BL66="",0,BL66))/(Weights!$C$2*IF(BH66="",0,1)+Weights!$C$3*IF(BJ66="",0,1)+Weights!$C$4*IF(BL66="",0,1)))</x:f>
      </x:c>
      <x:c r="BQ66" s="10">
        <x:f>IF((Weights!$C$5*IF(BA66="",0,1)+Weights!$C$6*IF(AW66="",0,1)+Weights!$C$7*IF(AU66="",0,1))=0,"",(Weights!$C$5*IF(BA66="",0,BA66)+Weights!$C$6*IF(AW66="",0,AW66)+Weights!$C$7*IF(AU66="",0,AU66))/(Weights!$C$5*IF(BA66="",0,1)+Weights!$C$6*IF(AW66="",0,1)+Weights!$C$7*IF(AU66="",0,1)))</x:f>
      </x:c>
      <x:c r="BR66" s="10">
        <x:f>IF((Weights!$C$8*IF(AW66="",0,1)+Weights!$C$9*IF(BC66="",0,1)+Weights!$C$10*IF(BF66="",0,1))=0,"",(Weights!$C$8*IF(AW66="",0,AW66)+Weights!$C$9*IF(BC66="",0,BC66)+Weights!$C$10*IF(BF66="",0,BF66))/(Weights!$C$8*IF(AW66="",0,1)+Weights!$C$9*IF(BC66="",0,1)+Weights!$C$10*IF(BF66="",0,1)))</x:f>
      </x:c>
      <x:c r="BS66" s="10">
        <x:f>IF(Y66="","",Y66)</x:f>
      </x:c>
      <x:c r="BT66" s="10">
        <x:f>IF(AS66="","",AS66)</x:f>
      </x:c>
      <x:c r="BU66" s="10">
        <x:f>IF(AJ66&lt;&gt;"",(0.6*AJ66+0.4*AU66),IF((Weights!$C$11*IF(AU66="",0,1)+Weights!$C$12*IF(BM66="",0,1))=0,"",(Weights!$C$11*IF(AU66="",0,AU66)+Weights!$C$12*IF(BM66="",0,BM66))/(Weights!$C$11*IF(AU66="",0,1)+Weights!$C$12*IF(BM66="",0,1))))</x:f>
      </x:c>
      <x:c r="BV66" s="10">
        <x:f>IF(CG66="",0,CG66)</x:f>
      </x:c>
      <x:c r="BW66" s="10">
        <x:f>IF(AP66="","",AP66)</x:f>
      </x:c>
      <x:c r="BX66" s="10">
        <x:f>IF(AO66="","",AO66)</x:f>
      </x:c>
      <x:c r="BY66" s="10">
        <x:f>IF(AL66="","",AL66)</x:f>
      </x:c>
      <x:c r="BZ66" s="10">
        <x:f>IF(AM66="","",AM66)</x:f>
      </x:c>
      <x:c r="CA66" s="10">
        <x:f>IF(AK66&lt;&gt;"",AK66,AW66)</x:f>
      </x:c>
      <x:c r="CB66" s="10">
        <x:f>IF((Weights!$C$13*IF(BP66="",0,1)+Weights!$C$14*IF(BR66="",0,1)+Weights!$C$15*IF(BQ66="",0,1)+Weights!$C$16*IF(BS66="",0,1)+Weights!$C$17*IF(BU66="",0,1)+Weights!$C$18*IF(BT66="",0,1)+Weights!$C$19*IF(BW66="",0,1)+Weights!$C$20*IF(BZ66="",0,1)+Weights!$C$21*IF(BO66="",0,1)+Weights!$C$22)=0,"",(Weights!$C$13*IF(BP66="",0,BP66)+Weights!$C$14*IF(BR66="",0,BR66)+Weights!$C$15*IF(BQ66="",0,BQ66)+Weights!$C$16*IF(BS66="",0,BS66)+Weights!$C$17*IF(BU66="",0,BU66)+Weights!$C$18*IF(BT66="",0,BT66)+Weights!$C$19*IF(BW66="",0,BW66)+Weights!$C$20*IF(BZ66="",0,BZ66)+Weights!$C$21*IF(BO66="",0,BO66)+Weights!$C$22*BV66)/(Weights!$C$13*IF(BP66="",0,1)+Weights!$C$14*IF(BR66="",0,1)+Weights!$C$15*IF(BQ66="",0,1)+Weights!$C$16*IF(BS66="",0,1)+Weights!$C$17*IF(BU66="",0,1)+Weights!$C$18*IF(BT66="",0,1)+Weights!$C$19*IF(BW66="",0,1)+Weights!$C$20*IF(BZ66="",0,1)+Weights!$C$21*IF(BO66="",0,1)+Weights!$C$22))</x:f>
      </x:c>
      <x:c r="CC66" s="10">
        <x:f>IF((Weights!$C$23*IF(BQ66="",0,1)+Weights!$C$24*IF(BN66="",0,1)+Weights!$C$25*IF(BS66="",0,1)+Weights!$C$26*IF(BY66="",0,1)+Weights!$C$27*IF(BX66="",0,1)+Weights!$C$28*IF(BT66="",0,1)+Weights!$C$29*IF(CA66="",0,1)+Weights!$C$30+Weights!$C$31*IF(BU66="",0,1))=0,"",(Weights!$C$23*IF(BQ66="",0,BQ66)+Weights!$C$24*IF(BN66="",0,BN66)+Weights!$C$25*IF(BS66="",0,BS66)+Weights!$C$26*IF(BY66="",0,BY66)+Weights!$C$27*IF(BX66="",0,BX66)+Weights!$C$28*IF(BT66="",0,BT66)+Weights!$C$29*IF(CA66="",0,CA66)+Weights!$C$30*BV66+Weights!$C$31*IF(BU66="",0,BU66))/(Weights!$C$23*IF(BQ66="",0,1)+Weights!$C$24*IF(BN66="",0,1)+Weights!$C$25*IF(BS66="",0,1)+Weights!$C$26*IF(BY66="",0,1)+Weights!$C$27*IF(BX66="",0,1)+Weights!$C$28*IF(BT66="",0,1)+Weights!$C$29*IF(CA66="",0,1)+Weights!$C$30+Weights!$C$31*IF(BU66="",0,1)))</x:f>
      </x:c>
      <x:c r="CD66" s="10">
        <x:f>IF(AND(CB66="",CC66=""),"",IF(CB66="",CC66,IF(CC66="",CB66,AVERAGE(CB66,CC66))))</x:f>
      </x:c>
      <x:c r="CE66" s="7">
        <x:f>ROUND(100*((IF(BP66&lt;&gt;"",1,0)+IF(BQ66&lt;&gt;"",1,0)+IF(BR66&lt;&gt;"",1,0)+IF(BS66&lt;&gt;"",1,0)+IF(BU66&lt;&gt;"",1,0)+IF(BT66&lt;&gt;"",1,0)+IF(BN66&lt;&gt;"",1,0)+IF(AW66&lt;&gt;"",1,0))/8),0)</x:f>
      </x:c>
      <x:c r="CF66">
        <x:f>IF(V66="","",LOG10(V66+1))</x:f>
      </x:c>
      <x:c r="CG66">
        <x:f>IF(CF66="","",IF(MAX($CF$2:$CF$252)-MIN($CF$2:$CF$252)=0,"",(CF66-MIN($CF$2:$CF$252))/(MAX($CF$2:$CF$252)-MIN($CF$2:$CF$252))*100))</x:f>
      </x:c>
    </x:row>
    <x:row r="67">
      <x:c r="A67" t="inlineStr">
        <x:is>
          <x:t xml:space="preserve">WSM</x:t>
        </x:is>
      </x:c>
      <x:c r="B67" t="inlineStr">
        <x:is>
          <x:t xml:space="preserve">Samoa</x:t>
        </x:is>
      </x:c>
      <x:c r="C67" t="inlineStr">
        <x:is>
          <x:t xml:space="preserve">East Asia &amp; Pacific</x:t>
        </x:is>
      </x:c>
      <x:c r="D67" t="inlineStr">
        <x:is>
          <x:t xml:space="preserve">Upper middle income</x:t>
        </x:is>
      </x:c>
      <x:c r="F67" t="n">
        <x:v>2024</x:v>
      </x:c>
      <x:c r="G67" t="n">
        <x:v>218019</x:v>
      </x:c>
      <x:c r="N67" s="8" t="n"/>
      <x:c r="O67" s="9" t="n"/>
      <x:c r="P67" s="8" t="n"/>
      <x:c r="Q67" t="n">
        <x:v>2024</x:v>
      </x:c>
      <x:c r="R67" s="8" t="n">
        <x:v>1175749785.65113</x:v>
      </x:c>
      <x:c r="S67" t="n">
        <x:v>0</x:v>
      </x:c>
      <x:c r="T67" t="n">
        <x:v>0</x:v>
      </x:c>
      <x:c r="U67" t="inlineStr">
        <x:is>
          <x:t xml:space="preserve">No</x:t>
        </x:is>
      </x:c>
      <x:c r="W67" t="inlineStr">
        <x:is>
          <x:t xml:space="preserve">No</x:t>
        </x:is>
      </x:c>
      <x:c r="AB67" s="8" t="n"/>
      <x:c r="AR67">
        <x:f>IF(G67="","",LOG10(G67+1))</x:f>
      </x:c>
      <x:c r="AS67" s="10">
        <x:f>IF(AR67="","",IF(MAX($AR$2:$AR$252)-MIN($AR$2:$AR$252)=0,"",(AR67-MIN($AR$2:$AR$252))/(MAX($AR$2:$AR$252)-MIN($AR$2:$AR$252))*100))</x:f>
      </x:c>
      <x:c r="AT67">
        <x:f>IF(R67="","",LOG10(R67+1))</x:f>
      </x:c>
      <x:c r="AU67" s="10">
        <x:f>IF(AT67="","",IF(MAX($AT$2:$AT$252)-MIN($AT$2:$AT$252)=0,"",(AT67-MIN($AT$2:$AT$252))/(MAX($AT$2:$AT$252)-MIN($AT$2:$AT$252))*100))</x:f>
      </x:c>
      <x:c r="AV67">
        <x:f>IF(N67="","",LOG10(N67+1))</x:f>
      </x:c>
      <x:c r="AW67" s="10">
        <x:f>IF(AV67="","",IF(MAX($AV$2:$AV$252)-MIN($AV$2:$AV$252)=0,"",(AV67-MIN($AV$2:$AV$252))/(MAX($AV$2:$AV$252)-MIN($AV$2:$AV$252))*100))</x:f>
      </x:c>
      <x:c r="AX67">
        <x:f>IF(I67="","",LOG10(I67+1))</x:f>
      </x:c>
      <x:c r="AY67" s="10">
        <x:f>IF(AX67="","",IF(MAX($AX$2:$AX$252)-MIN($AX$2:$AX$252)=0,"",(AX67-MIN($AX$2:$AX$252))/(MAX($AX$2:$AX$252)-MIN($AX$2:$AX$252))*100))</x:f>
      </x:c>
      <x:c r="AZ67">
        <x:f>IF(J67="","",LOG10(J67+1))</x:f>
      </x:c>
      <x:c r="BA67" s="10">
        <x:f>IF(AZ67="","",IF(MAX($AZ$2:$AZ$252)-MIN($AZ$2:$AZ$252)=0,"",(AZ67-MIN($AZ$2:$AZ$252))/(MAX($AZ$2:$AZ$252)-MIN($AZ$2:$AZ$252))*100))</x:f>
      </x:c>
      <x:c r="BB67">
        <x:f>IF(K67="","",LOG10(K67+1))</x:f>
      </x:c>
      <x:c r="BC67" s="10">
        <x:f>IF(BB67="","",IF(MAX($BB$2:$BB$252)-MIN($BB$2:$BB$252)=0,"",(BB67-MIN($BB$2:$BB$252))/(MAX($BB$2:$BB$252)-MIN($BB$2:$BB$252))*100))</x:f>
      </x:c>
      <x:c r="BD67">
        <x:f>IF(L67="","",LOG10(L67+1))</x:f>
      </x:c>
      <x:c r="BE67" s="10">
        <x:f>IF(BD67="","",IF(MAX($BD$2:$BD$252)-MIN($BD$2:$BD$252)=0,"",(BD67-MIN($BD$2:$BD$252))/(MAX($BD$2:$BD$252)-MIN($BD$2:$BD$252))*100))</x:f>
      </x:c>
      <x:c r="BF67" s="10">
        <x:f>IF(P67="","",IF(MAX($P$2:$P$252)-MIN($P$2:$P$252)=0,"",(P67-MIN($P$2:$P$252))/(MAX($P$2:$P$252)-MIN($P$2:$P$252))*100))</x:f>
      </x:c>
      <x:c r="BG67">
        <x:f>IF(AF67="","",LOG10(AF67+1))</x:f>
      </x:c>
      <x:c r="BH67" s="10">
        <x:f>IF(BG67="","",IF(MAX($BG$2:$BG$252)-MIN($BG$2:$BG$252)=0,"",(BG67-MIN($BG$2:$BG$252))/(MAX($BG$2:$BG$252)-MIN($BG$2:$BG$252))*100))</x:f>
      </x:c>
      <x:c r="BI67">
        <x:f>IF(AC67="","",LOG10(AC67+1))</x:f>
      </x:c>
      <x:c r="BJ67" s="10">
        <x:f>IF(BI67="","",IF(MAX($BI$2:$BI$252)-MIN($BI$2:$BI$252)=0,"",(BI67-MIN($BI$2:$BI$252))/(MAX($BI$2:$BI$252)-MIN($BI$2:$BI$252))*100))</x:f>
      </x:c>
      <x:c r="BK67">
        <x:f>IF(AD67="","",(AD67*2)+(AE67*1))</x:f>
      </x:c>
      <x:c r="BL67" s="10">
        <x:f>IF(BK67="","",IF(MAX($BK$2:$BK$252)-MIN($BK$2:$BK$252)=0,"",(BK67-MIN($BK$2:$BK$252))/(MAX($BK$2:$BK$252)-MIN($BK$2:$BK$252))*100))</x:f>
      </x:c>
      <x:c r="BM67" s="10">
        <x:f>IF(AB67="","",IF(MAX($AB$2:$AB$252)-MIN($AB$2:$AB$252)=0,"",(AB67-MIN($AB$2:$AB$252))/(MAX($AB$2:$AB$252)-MIN($AB$2:$AB$252))*100))</x:f>
      </x:c>
      <x:c r="BN67" s="10">
        <x:f>IF(X67="","",X67)</x:f>
      </x:c>
      <x:c r="BO67" s="10">
        <x:f>IF(X67="","",100-X67)</x:f>
      </x:c>
      <x:c r="BP67" s="10">
        <x:f>IF((Weights!$C$2*IF(BH67="",0,1)+Weights!$C$3*IF(BJ67="",0,1)+Weights!$C$4*IF(BL67="",0,1))=0,"",(Weights!$C$2*IF(BH67="",0,BH67)+Weights!$C$3*IF(BJ67="",0,BJ67)+Weights!$C$4*IF(BL67="",0,BL67))/(Weights!$C$2*IF(BH67="",0,1)+Weights!$C$3*IF(BJ67="",0,1)+Weights!$C$4*IF(BL67="",0,1)))</x:f>
      </x:c>
      <x:c r="BQ67" s="10">
        <x:f>IF((Weights!$C$5*IF(BA67="",0,1)+Weights!$C$6*IF(AW67="",0,1)+Weights!$C$7*IF(AU67="",0,1))=0,"",(Weights!$C$5*IF(BA67="",0,BA67)+Weights!$C$6*IF(AW67="",0,AW67)+Weights!$C$7*IF(AU67="",0,AU67))/(Weights!$C$5*IF(BA67="",0,1)+Weights!$C$6*IF(AW67="",0,1)+Weights!$C$7*IF(AU67="",0,1)))</x:f>
      </x:c>
      <x:c r="BR67" s="10">
        <x:f>IF((Weights!$C$8*IF(AW67="",0,1)+Weights!$C$9*IF(BC67="",0,1)+Weights!$C$10*IF(BF67="",0,1))=0,"",(Weights!$C$8*IF(AW67="",0,AW67)+Weights!$C$9*IF(BC67="",0,BC67)+Weights!$C$10*IF(BF67="",0,BF67))/(Weights!$C$8*IF(AW67="",0,1)+Weights!$C$9*IF(BC67="",0,1)+Weights!$C$10*IF(BF67="",0,1)))</x:f>
      </x:c>
      <x:c r="BS67" s="10">
        <x:f>IF(Y67="","",Y67)</x:f>
      </x:c>
      <x:c r="BT67" s="10">
        <x:f>IF(AS67="","",AS67)</x:f>
      </x:c>
      <x:c r="BU67" s="10">
        <x:f>IF(AJ67&lt;&gt;"",(0.6*AJ67+0.4*AU67),IF((Weights!$C$11*IF(AU67="",0,1)+Weights!$C$12*IF(BM67="",0,1))=0,"",(Weights!$C$11*IF(AU67="",0,AU67)+Weights!$C$12*IF(BM67="",0,BM67))/(Weights!$C$11*IF(AU67="",0,1)+Weights!$C$12*IF(BM67="",0,1))))</x:f>
      </x:c>
      <x:c r="BV67" s="10">
        <x:f>IF(CG67="",0,CG67)</x:f>
      </x:c>
      <x:c r="BW67" s="10">
        <x:f>IF(AP67="","",AP67)</x:f>
      </x:c>
      <x:c r="BX67" s="10">
        <x:f>IF(AO67="","",AO67)</x:f>
      </x:c>
      <x:c r="BY67" s="10">
        <x:f>IF(AL67="","",AL67)</x:f>
      </x:c>
      <x:c r="BZ67" s="10">
        <x:f>IF(AM67="","",AM67)</x:f>
      </x:c>
      <x:c r="CA67" s="10">
        <x:f>IF(AK67&lt;&gt;"",AK67,AW67)</x:f>
      </x:c>
      <x:c r="CB67" s="10">
        <x:f>IF((Weights!$C$13*IF(BP67="",0,1)+Weights!$C$14*IF(BR67="",0,1)+Weights!$C$15*IF(BQ67="",0,1)+Weights!$C$16*IF(BS67="",0,1)+Weights!$C$17*IF(BU67="",0,1)+Weights!$C$18*IF(BT67="",0,1)+Weights!$C$19*IF(BW67="",0,1)+Weights!$C$20*IF(BZ67="",0,1)+Weights!$C$21*IF(BO67="",0,1)+Weights!$C$22)=0,"",(Weights!$C$13*IF(BP67="",0,BP67)+Weights!$C$14*IF(BR67="",0,BR67)+Weights!$C$15*IF(BQ67="",0,BQ67)+Weights!$C$16*IF(BS67="",0,BS67)+Weights!$C$17*IF(BU67="",0,BU67)+Weights!$C$18*IF(BT67="",0,BT67)+Weights!$C$19*IF(BW67="",0,BW67)+Weights!$C$20*IF(BZ67="",0,BZ67)+Weights!$C$21*IF(BO67="",0,BO67)+Weights!$C$22*BV67)/(Weights!$C$13*IF(BP67="",0,1)+Weights!$C$14*IF(BR67="",0,1)+Weights!$C$15*IF(BQ67="",0,1)+Weights!$C$16*IF(BS67="",0,1)+Weights!$C$17*IF(BU67="",0,1)+Weights!$C$18*IF(BT67="",0,1)+Weights!$C$19*IF(BW67="",0,1)+Weights!$C$20*IF(BZ67="",0,1)+Weights!$C$21*IF(BO67="",0,1)+Weights!$C$22))</x:f>
      </x:c>
      <x:c r="CC67" s="10">
        <x:f>IF((Weights!$C$23*IF(BQ67="",0,1)+Weights!$C$24*IF(BN67="",0,1)+Weights!$C$25*IF(BS67="",0,1)+Weights!$C$26*IF(BY67="",0,1)+Weights!$C$27*IF(BX67="",0,1)+Weights!$C$28*IF(BT67="",0,1)+Weights!$C$29*IF(CA67="",0,1)+Weights!$C$30+Weights!$C$31*IF(BU67="",0,1))=0,"",(Weights!$C$23*IF(BQ67="",0,BQ67)+Weights!$C$24*IF(BN67="",0,BN67)+Weights!$C$25*IF(BS67="",0,BS67)+Weights!$C$26*IF(BY67="",0,BY67)+Weights!$C$27*IF(BX67="",0,BX67)+Weights!$C$28*IF(BT67="",0,BT67)+Weights!$C$29*IF(CA67="",0,CA67)+Weights!$C$30*BV67+Weights!$C$31*IF(BU67="",0,BU67))/(Weights!$C$23*IF(BQ67="",0,1)+Weights!$C$24*IF(BN67="",0,1)+Weights!$C$25*IF(BS67="",0,1)+Weights!$C$26*IF(BY67="",0,1)+Weights!$C$27*IF(BX67="",0,1)+Weights!$C$28*IF(BT67="",0,1)+Weights!$C$29*IF(CA67="",0,1)+Weights!$C$30+Weights!$C$31*IF(BU67="",0,1)))</x:f>
      </x:c>
      <x:c r="CD67" s="10">
        <x:f>IF(AND(CB67="",CC67=""),"",IF(CB67="",CC67,IF(CC67="",CB67,AVERAGE(CB67,CC67))))</x:f>
      </x:c>
      <x:c r="CE67" s="7">
        <x:f>ROUND(100*((IF(BP67&lt;&gt;"",1,0)+IF(BQ67&lt;&gt;"",1,0)+IF(BR67&lt;&gt;"",1,0)+IF(BS67&lt;&gt;"",1,0)+IF(BU67&lt;&gt;"",1,0)+IF(BT67&lt;&gt;"",1,0)+IF(BN67&lt;&gt;"",1,0)+IF(AW67&lt;&gt;"",1,0))/8),0)</x:f>
      </x:c>
      <x:c r="CF67">
        <x:f>IF(V67="","",LOG10(V67+1))</x:f>
      </x:c>
      <x:c r="CG67">
        <x:f>IF(CF67="","",IF(MAX($CF$2:$CF$252)-MIN($CF$2:$CF$252)=0,"",(CF67-MIN($CF$2:$CF$252))/(MAX($CF$2:$CF$252)-MIN($CF$2:$CF$252))*100))</x:f>
      </x:c>
    </x:row>
    <x:row r="68">
      <x:c r="A68" t="inlineStr">
        <x:is>
          <x:t xml:space="preserve">IRL</x:t>
        </x:is>
      </x:c>
      <x:c r="B68" t="inlineStr">
        <x:is>
          <x:t xml:space="preserve">Ireland</x:t>
        </x:is>
      </x:c>
      <x:c r="C68" t="inlineStr">
        <x:is>
          <x:t xml:space="preserve">Europe &amp; Central Asia</x:t>
        </x:is>
      </x:c>
      <x:c r="D68" t="inlineStr">
        <x:is>
          <x:t xml:space="preserve">High income</x:t>
        </x:is>
      </x:c>
      <x:c r="E68" t="inlineStr">
        <x:is>
          <x:t xml:space="preserve">Europe</x:t>
        </x:is>
      </x:c>
      <x:c r="F68" t="n">
        <x:v>2024</x:v>
      </x:c>
      <x:c r="G68" t="n">
        <x:v>5395790</x:v>
      </x:c>
      <x:c r="H68" t="n">
        <x:v>2020</x:v>
      </x:c>
      <x:c r="I68" t="n">
        <x:v>9000</x:v>
      </x:c>
      <x:c r="J68" t="n">
        <x:v>5850</x:v>
      </x:c>
      <x:c r="K68" t="n">
        <x:v>1800</x:v>
      </x:c>
      <x:c r="L68" t="n">
        <x:v>1080</x:v>
      </x:c>
      <x:c r="M68" t="n">
        <x:v>2024</x:v>
      </x:c>
      <x:c r="N68" s="8" t="n">
        <x:v>1330503579.37914</x:v>
      </x:c>
      <x:c r="O68" s="9" t="n">
        <x:v>0.239096332495524</x:v>
      </x:c>
      <x:c r="P68" s="8" t="n">
        <x:v>147833.7310421267</x:v>
      </x:c>
      <x:c r="Q68" t="n">
        <x:v>2024</x:v>
      </x:c>
      <x:c r="R68" s="8" t="n">
        <x:v>609157459747.205</x:v>
      </x:c>
      <x:c r="S68" t="n">
        <x:v>0</x:v>
      </x:c>
      <x:c r="T68" t="n">
        <x:v>0</x:v>
      </x:c>
      <x:c r="U68" t="inlineStr">
        <x:is>
          <x:t xml:space="preserve">No</x:t>
        </x:is>
      </x:c>
      <x:c r="W68" t="inlineStr">
        <x:is>
          <x:t xml:space="preserve">No</x:t>
        </x:is>
      </x:c>
      <x:c r="X68" t="n">
        <x:v>9.156419347933129</x:v>
      </x:c>
      <x:c r="Y68" t="n">
        <x:v>82.72102189574511</x:v>
      </x:c>
      <x:c r="Z68" t="n">
        <x:v>58457.51341412027</x:v>
      </x:c>
      <x:c r="AA68" t="n">
        <x:v>85.72212034577544</x:v>
      </x:c>
      <x:c r="AB68" s="8" t="n">
        <x:v>64257.32303992216</x:v>
      </x:c>
      <x:c r="AC68" t="n">
        <x:v>6</x:v>
      </x:c>
      <x:c r="AD68" t="n">
        <x:v>0</x:v>
      </x:c>
      <x:c r="AE68" t="n">
        <x:v>0</x:v>
      </x:c>
      <x:c r="AR68">
        <x:f>IF(G68="","",LOG10(G68+1))</x:f>
      </x:c>
      <x:c r="AS68" s="10">
        <x:f>IF(AR68="","",IF(MAX($AR$2:$AR$252)-MIN($AR$2:$AR$252)=0,"",(AR68-MIN($AR$2:$AR$252))/(MAX($AR$2:$AR$252)-MIN($AR$2:$AR$252))*100))</x:f>
      </x:c>
      <x:c r="AT68">
        <x:f>IF(R68="","",LOG10(R68+1))</x:f>
      </x:c>
      <x:c r="AU68" s="10">
        <x:f>IF(AT68="","",IF(MAX($AT$2:$AT$252)-MIN($AT$2:$AT$252)=0,"",(AT68-MIN($AT$2:$AT$252))/(MAX($AT$2:$AT$252)-MIN($AT$2:$AT$252))*100))</x:f>
      </x:c>
      <x:c r="AV68">
        <x:f>IF(N68="","",LOG10(N68+1))</x:f>
      </x:c>
      <x:c r="AW68" s="10">
        <x:f>IF(AV68="","",IF(MAX($AV$2:$AV$252)-MIN($AV$2:$AV$252)=0,"",(AV68-MIN($AV$2:$AV$252))/(MAX($AV$2:$AV$252)-MIN($AV$2:$AV$252))*100))</x:f>
      </x:c>
      <x:c r="AX68">
        <x:f>IF(I68="","",LOG10(I68+1))</x:f>
      </x:c>
      <x:c r="AY68" s="10">
        <x:f>IF(AX68="","",IF(MAX($AX$2:$AX$252)-MIN($AX$2:$AX$252)=0,"",(AX68-MIN($AX$2:$AX$252))/(MAX($AX$2:$AX$252)-MIN($AX$2:$AX$252))*100))</x:f>
      </x:c>
      <x:c r="AZ68">
        <x:f>IF(J68="","",LOG10(J68+1))</x:f>
      </x:c>
      <x:c r="BA68" s="10">
        <x:f>IF(AZ68="","",IF(MAX($AZ$2:$AZ$252)-MIN($AZ$2:$AZ$252)=0,"",(AZ68-MIN($AZ$2:$AZ$252))/(MAX($AZ$2:$AZ$252)-MIN($AZ$2:$AZ$252))*100))</x:f>
      </x:c>
      <x:c r="BB68">
        <x:f>IF(K68="","",LOG10(K68+1))</x:f>
      </x:c>
      <x:c r="BC68" s="10">
        <x:f>IF(BB68="","",IF(MAX($BB$2:$BB$252)-MIN($BB$2:$BB$252)=0,"",(BB68-MIN($BB$2:$BB$252))/(MAX($BB$2:$BB$252)-MIN($BB$2:$BB$252))*100))</x:f>
      </x:c>
      <x:c r="BD68">
        <x:f>IF(L68="","",LOG10(L68+1))</x:f>
      </x:c>
      <x:c r="BE68" s="10">
        <x:f>IF(BD68="","",IF(MAX($BD$2:$BD$252)-MIN($BD$2:$BD$252)=0,"",(BD68-MIN($BD$2:$BD$252))/(MAX($BD$2:$BD$252)-MIN($BD$2:$BD$252))*100))</x:f>
      </x:c>
      <x:c r="BF68" s="10">
        <x:f>IF(P68="","",IF(MAX($P$2:$P$252)-MIN($P$2:$P$252)=0,"",(P68-MIN($P$2:$P$252))/(MAX($P$2:$P$252)-MIN($P$2:$P$252))*100))</x:f>
      </x:c>
      <x:c r="BG68">
        <x:f>IF(AF68="","",LOG10(AF68+1))</x:f>
      </x:c>
      <x:c r="BH68" s="10">
        <x:f>IF(BG68="","",IF(MAX($BG$2:$BG$252)-MIN($BG$2:$BG$252)=0,"",(BG68-MIN($BG$2:$BG$252))/(MAX($BG$2:$BG$252)-MIN($BG$2:$BG$252))*100))</x:f>
      </x:c>
      <x:c r="BI68">
        <x:f>IF(AC68="","",LOG10(AC68+1))</x:f>
      </x:c>
      <x:c r="BJ68" s="10">
        <x:f>IF(BI68="","",IF(MAX($BI$2:$BI$252)-MIN($BI$2:$BI$252)=0,"",(BI68-MIN($BI$2:$BI$252))/(MAX($BI$2:$BI$252)-MIN($BI$2:$BI$252))*100))</x:f>
      </x:c>
      <x:c r="BK68">
        <x:f>IF(AD68="","",(AD68*2)+(AE68*1))</x:f>
      </x:c>
      <x:c r="BL68" s="10">
        <x:f>IF(BK68="","",IF(MAX($BK$2:$BK$252)-MIN($BK$2:$BK$252)=0,"",(BK68-MIN($BK$2:$BK$252))/(MAX($BK$2:$BK$252)-MIN($BK$2:$BK$252))*100))</x:f>
      </x:c>
      <x:c r="BM68" s="10">
        <x:f>IF(AB68="","",IF(MAX($AB$2:$AB$252)-MIN($AB$2:$AB$252)=0,"",(AB68-MIN($AB$2:$AB$252))/(MAX($AB$2:$AB$252)-MIN($AB$2:$AB$252))*100))</x:f>
      </x:c>
      <x:c r="BN68" s="10">
        <x:f>IF(X68="","",X68)</x:f>
      </x:c>
      <x:c r="BO68" s="10">
        <x:f>IF(X68="","",100-X68)</x:f>
      </x:c>
      <x:c r="BP68" s="10">
        <x:f>IF((Weights!$C$2*IF(BH68="",0,1)+Weights!$C$3*IF(BJ68="",0,1)+Weights!$C$4*IF(BL68="",0,1))=0,"",(Weights!$C$2*IF(BH68="",0,BH68)+Weights!$C$3*IF(BJ68="",0,BJ68)+Weights!$C$4*IF(BL68="",0,BL68))/(Weights!$C$2*IF(BH68="",0,1)+Weights!$C$3*IF(BJ68="",0,1)+Weights!$C$4*IF(BL68="",0,1)))</x:f>
      </x:c>
      <x:c r="BQ68" s="10">
        <x:f>IF((Weights!$C$5*IF(BA68="",0,1)+Weights!$C$6*IF(AW68="",0,1)+Weights!$C$7*IF(AU68="",0,1))=0,"",(Weights!$C$5*IF(BA68="",0,BA68)+Weights!$C$6*IF(AW68="",0,AW68)+Weights!$C$7*IF(AU68="",0,AU68))/(Weights!$C$5*IF(BA68="",0,1)+Weights!$C$6*IF(AW68="",0,1)+Weights!$C$7*IF(AU68="",0,1)))</x:f>
      </x:c>
      <x:c r="BR68" s="10">
        <x:f>IF((Weights!$C$8*IF(AW68="",0,1)+Weights!$C$9*IF(BC68="",0,1)+Weights!$C$10*IF(BF68="",0,1))=0,"",(Weights!$C$8*IF(AW68="",0,AW68)+Weights!$C$9*IF(BC68="",0,BC68)+Weights!$C$10*IF(BF68="",0,BF68))/(Weights!$C$8*IF(AW68="",0,1)+Weights!$C$9*IF(BC68="",0,1)+Weights!$C$10*IF(BF68="",0,1)))</x:f>
      </x:c>
      <x:c r="BS68" s="10">
        <x:f>IF(Y68="","",Y68)</x:f>
      </x:c>
      <x:c r="BT68" s="10">
        <x:f>IF(AS68="","",AS68)</x:f>
      </x:c>
      <x:c r="BU68" s="10">
        <x:f>IF(AJ68&lt;&gt;"",(0.6*AJ68+0.4*AU68),IF((Weights!$C$11*IF(AU68="",0,1)+Weights!$C$12*IF(BM68="",0,1))=0,"",(Weights!$C$11*IF(AU68="",0,AU68)+Weights!$C$12*IF(BM68="",0,BM68))/(Weights!$C$11*IF(AU68="",0,1)+Weights!$C$12*IF(BM68="",0,1))))</x:f>
      </x:c>
      <x:c r="BV68" s="10">
        <x:f>IF(CG68="",0,CG68)</x:f>
      </x:c>
      <x:c r="BW68" s="10">
        <x:f>IF(AP68="","",AP68)</x:f>
      </x:c>
      <x:c r="BX68" s="10">
        <x:f>IF(AO68="","",AO68)</x:f>
      </x:c>
      <x:c r="BY68" s="10">
        <x:f>IF(AL68="","",AL68)</x:f>
      </x:c>
      <x:c r="BZ68" s="10">
        <x:f>IF(AM68="","",AM68)</x:f>
      </x:c>
      <x:c r="CA68" s="10">
        <x:f>IF(AK68&lt;&gt;"",AK68,AW68)</x:f>
      </x:c>
      <x:c r="CB68" s="10">
        <x:f>IF((Weights!$C$13*IF(BP68="",0,1)+Weights!$C$14*IF(BR68="",0,1)+Weights!$C$15*IF(BQ68="",0,1)+Weights!$C$16*IF(BS68="",0,1)+Weights!$C$17*IF(BU68="",0,1)+Weights!$C$18*IF(BT68="",0,1)+Weights!$C$19*IF(BW68="",0,1)+Weights!$C$20*IF(BZ68="",0,1)+Weights!$C$21*IF(BO68="",0,1)+Weights!$C$22)=0,"",(Weights!$C$13*IF(BP68="",0,BP68)+Weights!$C$14*IF(BR68="",0,BR68)+Weights!$C$15*IF(BQ68="",0,BQ68)+Weights!$C$16*IF(BS68="",0,BS68)+Weights!$C$17*IF(BU68="",0,BU68)+Weights!$C$18*IF(BT68="",0,BT68)+Weights!$C$19*IF(BW68="",0,BW68)+Weights!$C$20*IF(BZ68="",0,BZ68)+Weights!$C$21*IF(BO68="",0,BO68)+Weights!$C$22*BV68)/(Weights!$C$13*IF(BP68="",0,1)+Weights!$C$14*IF(BR68="",0,1)+Weights!$C$15*IF(BQ68="",0,1)+Weights!$C$16*IF(BS68="",0,1)+Weights!$C$17*IF(BU68="",0,1)+Weights!$C$18*IF(BT68="",0,1)+Weights!$C$19*IF(BW68="",0,1)+Weights!$C$20*IF(BZ68="",0,1)+Weights!$C$21*IF(BO68="",0,1)+Weights!$C$22))</x:f>
      </x:c>
      <x:c r="CC68" s="10">
        <x:f>IF((Weights!$C$23*IF(BQ68="",0,1)+Weights!$C$24*IF(BN68="",0,1)+Weights!$C$25*IF(BS68="",0,1)+Weights!$C$26*IF(BY68="",0,1)+Weights!$C$27*IF(BX68="",0,1)+Weights!$C$28*IF(BT68="",0,1)+Weights!$C$29*IF(CA68="",0,1)+Weights!$C$30+Weights!$C$31*IF(BU68="",0,1))=0,"",(Weights!$C$23*IF(BQ68="",0,BQ68)+Weights!$C$24*IF(BN68="",0,BN68)+Weights!$C$25*IF(BS68="",0,BS68)+Weights!$C$26*IF(BY68="",0,BY68)+Weights!$C$27*IF(BX68="",0,BX68)+Weights!$C$28*IF(BT68="",0,BT68)+Weights!$C$29*IF(CA68="",0,CA68)+Weights!$C$30*BV68+Weights!$C$31*IF(BU68="",0,BU68))/(Weights!$C$23*IF(BQ68="",0,1)+Weights!$C$24*IF(BN68="",0,1)+Weights!$C$25*IF(BS68="",0,1)+Weights!$C$26*IF(BY68="",0,1)+Weights!$C$27*IF(BX68="",0,1)+Weights!$C$28*IF(BT68="",0,1)+Weights!$C$29*IF(CA68="",0,1)+Weights!$C$30+Weights!$C$31*IF(BU68="",0,1)))</x:f>
      </x:c>
      <x:c r="CD68" s="10">
        <x:f>IF(AND(CB68="",CC68=""),"",IF(CB68="",CC68,IF(CC68="",CB68,AVERAGE(CB68,CC68))))</x:f>
      </x:c>
      <x:c r="CE68" s="7">
        <x:f>ROUND(100*((IF(BP68&lt;&gt;"",1,0)+IF(BQ68&lt;&gt;"",1,0)+IF(BR68&lt;&gt;"",1,0)+IF(BS68&lt;&gt;"",1,0)+IF(BU68&lt;&gt;"",1,0)+IF(BT68&lt;&gt;"",1,0)+IF(BN68&lt;&gt;"",1,0)+IF(AW68&lt;&gt;"",1,0))/8),0)</x:f>
      </x:c>
      <x:c r="CF68">
        <x:f>IF(V68="","",LOG10(V68+1))</x:f>
      </x:c>
      <x:c r="CG68">
        <x:f>IF(CF68="","",IF(MAX($CF$2:$CF$252)-MIN($CF$2:$CF$252)=0,"",(CF68-MIN($CF$2:$CF$252))/(MAX($CF$2:$CF$252)-MIN($CF$2:$CF$252))*100))</x:f>
      </x:c>
    </x:row>
    <x:row r="69">
      <x:c r="A69" t="inlineStr">
        <x:is>
          <x:t xml:space="preserve">AFG</x:t>
        </x:is>
      </x:c>
      <x:c r="B69" t="inlineStr">
        <x:is>
          <x:t xml:space="preserve">Afghanistan</x:t>
        </x:is>
      </x:c>
      <x:c r="C69" t="inlineStr">
        <x:is>
          <x:t xml:space="preserve">Middle East &amp; North Africa</x:t>
        </x:is>
      </x:c>
      <x:c r="D69" t="inlineStr">
        <x:is>
          <x:t xml:space="preserve">Low income</x:t>
        </x:is>
      </x:c>
      <x:c r="E69" t="inlineStr">
        <x:is>
          <x:t xml:space="preserve">Asia</x:t>
        </x:is>
      </x:c>
      <x:c r="F69" t="n">
        <x:v>2024</x:v>
      </x:c>
      <x:c r="G69" t="n">
        <x:v>42647492</x:v>
      </x:c>
      <x:c r="H69" t="n">
        <x:v>2020</x:v>
      </x:c>
      <x:c r="I69" t="n">
        <x:v>165000</x:v>
      </x:c>
      <x:c r="J69" t="n">
        <x:v>107250</x:v>
      </x:c>
      <x:c r="K69" t="n">
        <x:v>33000</x:v>
      </x:c>
      <x:c r="L69" t="n">
        <x:v>19800</x:v>
      </x:c>
      <x:c r="M69" t="n">
        <x:v>2021</x:v>
      </x:c>
      <x:c r="N69" s="8" t="n">
        <x:v>278250788.014927</x:v>
      </x:c>
      <x:c r="O69" s="9" t="n">
        <x:v>1.827933856217</x:v>
      </x:c>
      <x:c r="P69" s="8" t="n">
        <x:v>1686.368412211679</x:v>
      </x:c>
      <x:c r="Q69" t="n">
        <x:v>2023</x:v>
      </x:c>
      <x:c r="R69" s="8" t="n">
        <x:v>17152234636.8715</x:v>
      </x:c>
      <x:c r="S69" t="n">
        <x:v>0</x:v>
      </x:c>
      <x:c r="T69" t="n">
        <x:v>0</x:v>
      </x:c>
      <x:c r="U69" t="inlineStr">
        <x:is>
          <x:t xml:space="preserve">No</x:t>
        </x:is>
      </x:c>
      <x:c r="W69" t="inlineStr">
        <x:is>
          <x:t xml:space="preserve">No</x:t>
        </x:is>
      </x:c>
      <x:c r="X69" t="n">
        <x:v>20.3101226688803</x:v>
      </x:c>
      <x:c r="Y69" t="n">
        <x:v>27.93515173823006</x:v>
      </x:c>
      <x:c r="Z69" t="n">
        <x:v>652270.0703080251</x:v>
      </x:c>
      <x:c r="AA69" t="n">
        <x:v>52.31699652244514</x:v>
      </x:c>
      <x:c r="AB69" s="8" t="n">
        <x:v>1877.812597995048</x:v>
      </x:c>
      <x:c r="AR69">
        <x:f>IF(G69="","",LOG10(G69+1))</x:f>
      </x:c>
      <x:c r="AS69" s="10">
        <x:f>IF(AR69="","",IF(MAX($AR$2:$AR$252)-MIN($AR$2:$AR$252)=0,"",(AR69-MIN($AR$2:$AR$252))/(MAX($AR$2:$AR$252)-MIN($AR$2:$AR$252))*100))</x:f>
      </x:c>
      <x:c r="AT69">
        <x:f>IF(R69="","",LOG10(R69+1))</x:f>
      </x:c>
      <x:c r="AU69" s="10">
        <x:f>IF(AT69="","",IF(MAX($AT$2:$AT$252)-MIN($AT$2:$AT$252)=0,"",(AT69-MIN($AT$2:$AT$252))/(MAX($AT$2:$AT$252)-MIN($AT$2:$AT$252))*100))</x:f>
      </x:c>
      <x:c r="AV69">
        <x:f>IF(N69="","",LOG10(N69+1))</x:f>
      </x:c>
      <x:c r="AW69" s="10">
        <x:f>IF(AV69="","",IF(MAX($AV$2:$AV$252)-MIN($AV$2:$AV$252)=0,"",(AV69-MIN($AV$2:$AV$252))/(MAX($AV$2:$AV$252)-MIN($AV$2:$AV$252))*100))</x:f>
      </x:c>
      <x:c r="AX69">
        <x:f>IF(I69="","",LOG10(I69+1))</x:f>
      </x:c>
      <x:c r="AY69" s="10">
        <x:f>IF(AX69="","",IF(MAX($AX$2:$AX$252)-MIN($AX$2:$AX$252)=0,"",(AX69-MIN($AX$2:$AX$252))/(MAX($AX$2:$AX$252)-MIN($AX$2:$AX$252))*100))</x:f>
      </x:c>
      <x:c r="AZ69">
        <x:f>IF(J69="","",LOG10(J69+1))</x:f>
      </x:c>
      <x:c r="BA69" s="10">
        <x:f>IF(AZ69="","",IF(MAX($AZ$2:$AZ$252)-MIN($AZ$2:$AZ$252)=0,"",(AZ69-MIN($AZ$2:$AZ$252))/(MAX($AZ$2:$AZ$252)-MIN($AZ$2:$AZ$252))*100))</x:f>
      </x:c>
      <x:c r="BB69">
        <x:f>IF(K69="","",LOG10(K69+1))</x:f>
      </x:c>
      <x:c r="BC69" s="10">
        <x:f>IF(BB69="","",IF(MAX($BB$2:$BB$252)-MIN($BB$2:$BB$252)=0,"",(BB69-MIN($BB$2:$BB$252))/(MAX($BB$2:$BB$252)-MIN($BB$2:$BB$252))*100))</x:f>
      </x:c>
      <x:c r="BD69">
        <x:f>IF(L69="","",LOG10(L69+1))</x:f>
      </x:c>
      <x:c r="BE69" s="10">
        <x:f>IF(BD69="","",IF(MAX($BD$2:$BD$252)-MIN($BD$2:$BD$252)=0,"",(BD69-MIN($BD$2:$BD$252))/(MAX($BD$2:$BD$252)-MIN($BD$2:$BD$252))*100))</x:f>
      </x:c>
      <x:c r="BF69" s="10">
        <x:f>IF(P69="","",IF(MAX($P$2:$P$252)-MIN($P$2:$P$252)=0,"",(P69-MIN($P$2:$P$252))/(MAX($P$2:$P$252)-MIN($P$2:$P$252))*100))</x:f>
      </x:c>
      <x:c r="BG69">
        <x:f>IF(AF69="","",LOG10(AF69+1))</x:f>
      </x:c>
      <x:c r="BH69" s="10">
        <x:f>IF(BG69="","",IF(MAX($BG$2:$BG$252)-MIN($BG$2:$BG$252)=0,"",(BG69-MIN($BG$2:$BG$252))/(MAX($BG$2:$BG$252)-MIN($BG$2:$BG$252))*100))</x:f>
      </x:c>
      <x:c r="BI69">
        <x:f>IF(AC69="","",LOG10(AC69+1))</x:f>
      </x:c>
      <x:c r="BJ69" s="10">
        <x:f>IF(BI69="","",IF(MAX($BI$2:$BI$252)-MIN($BI$2:$BI$252)=0,"",(BI69-MIN($BI$2:$BI$252))/(MAX($BI$2:$BI$252)-MIN($BI$2:$BI$252))*100))</x:f>
      </x:c>
      <x:c r="BK69">
        <x:f>IF(AD69="","",(AD69*2)+(AE69*1))</x:f>
      </x:c>
      <x:c r="BL69" s="10">
        <x:f>IF(BK69="","",IF(MAX($BK$2:$BK$252)-MIN($BK$2:$BK$252)=0,"",(BK69-MIN($BK$2:$BK$252))/(MAX($BK$2:$BK$252)-MIN($BK$2:$BK$252))*100))</x:f>
      </x:c>
      <x:c r="BM69" s="10">
        <x:f>IF(AB69="","",IF(MAX($AB$2:$AB$252)-MIN($AB$2:$AB$252)=0,"",(AB69-MIN($AB$2:$AB$252))/(MAX($AB$2:$AB$252)-MIN($AB$2:$AB$252))*100))</x:f>
      </x:c>
      <x:c r="BN69" s="10">
        <x:f>IF(X69="","",X69)</x:f>
      </x:c>
      <x:c r="BO69" s="10">
        <x:f>IF(X69="","",100-X69)</x:f>
      </x:c>
      <x:c r="BP69" s="10">
        <x:f>IF((Weights!$C$2*IF(BH69="",0,1)+Weights!$C$3*IF(BJ69="",0,1)+Weights!$C$4*IF(BL69="",0,1))=0,"",(Weights!$C$2*IF(BH69="",0,BH69)+Weights!$C$3*IF(BJ69="",0,BJ69)+Weights!$C$4*IF(BL69="",0,BL69))/(Weights!$C$2*IF(BH69="",0,1)+Weights!$C$3*IF(BJ69="",0,1)+Weights!$C$4*IF(BL69="",0,1)))</x:f>
      </x:c>
      <x:c r="BQ69" s="10">
        <x:f>IF((Weights!$C$5*IF(BA69="",0,1)+Weights!$C$6*IF(AW69="",0,1)+Weights!$C$7*IF(AU69="",0,1))=0,"",(Weights!$C$5*IF(BA69="",0,BA69)+Weights!$C$6*IF(AW69="",0,AW69)+Weights!$C$7*IF(AU69="",0,AU69))/(Weights!$C$5*IF(BA69="",0,1)+Weights!$C$6*IF(AW69="",0,1)+Weights!$C$7*IF(AU69="",0,1)))</x:f>
      </x:c>
      <x:c r="BR69" s="10">
        <x:f>IF((Weights!$C$8*IF(AW69="",0,1)+Weights!$C$9*IF(BC69="",0,1)+Weights!$C$10*IF(BF69="",0,1))=0,"",(Weights!$C$8*IF(AW69="",0,AW69)+Weights!$C$9*IF(BC69="",0,BC69)+Weights!$C$10*IF(BF69="",0,BF69))/(Weights!$C$8*IF(AW69="",0,1)+Weights!$C$9*IF(BC69="",0,1)+Weights!$C$10*IF(BF69="",0,1)))</x:f>
      </x:c>
      <x:c r="BS69" s="10">
        <x:f>IF(Y69="","",Y69)</x:f>
      </x:c>
      <x:c r="BT69" s="10">
        <x:f>IF(AS69="","",AS69)</x:f>
      </x:c>
      <x:c r="BU69" s="10">
        <x:f>IF(AJ69&lt;&gt;"",(0.6*AJ69+0.4*AU69),IF((Weights!$C$11*IF(AU69="",0,1)+Weights!$C$12*IF(BM69="",0,1))=0,"",(Weights!$C$11*IF(AU69="",0,AU69)+Weights!$C$12*IF(BM69="",0,BM69))/(Weights!$C$11*IF(AU69="",0,1)+Weights!$C$12*IF(BM69="",0,1))))</x:f>
      </x:c>
      <x:c r="BV69" s="10">
        <x:f>IF(CG69="",0,CG69)</x:f>
      </x:c>
      <x:c r="BW69" s="10">
        <x:f>IF(AP69="","",AP69)</x:f>
      </x:c>
      <x:c r="BX69" s="10">
        <x:f>IF(AO69="","",AO69)</x:f>
      </x:c>
      <x:c r="BY69" s="10">
        <x:f>IF(AL69="","",AL69)</x:f>
      </x:c>
      <x:c r="BZ69" s="10">
        <x:f>IF(AM69="","",AM69)</x:f>
      </x:c>
      <x:c r="CA69" s="10">
        <x:f>IF(AK69&lt;&gt;"",AK69,AW69)</x:f>
      </x:c>
      <x:c r="CB69" s="10">
        <x:f>IF((Weights!$C$13*IF(BP69="",0,1)+Weights!$C$14*IF(BR69="",0,1)+Weights!$C$15*IF(BQ69="",0,1)+Weights!$C$16*IF(BS69="",0,1)+Weights!$C$17*IF(BU69="",0,1)+Weights!$C$18*IF(BT69="",0,1)+Weights!$C$19*IF(BW69="",0,1)+Weights!$C$20*IF(BZ69="",0,1)+Weights!$C$21*IF(BO69="",0,1)+Weights!$C$22)=0,"",(Weights!$C$13*IF(BP69="",0,BP69)+Weights!$C$14*IF(BR69="",0,BR69)+Weights!$C$15*IF(BQ69="",0,BQ69)+Weights!$C$16*IF(BS69="",0,BS69)+Weights!$C$17*IF(BU69="",0,BU69)+Weights!$C$18*IF(BT69="",0,BT69)+Weights!$C$19*IF(BW69="",0,BW69)+Weights!$C$20*IF(BZ69="",0,BZ69)+Weights!$C$21*IF(BO69="",0,BO69)+Weights!$C$22*BV69)/(Weights!$C$13*IF(BP69="",0,1)+Weights!$C$14*IF(BR69="",0,1)+Weights!$C$15*IF(BQ69="",0,1)+Weights!$C$16*IF(BS69="",0,1)+Weights!$C$17*IF(BU69="",0,1)+Weights!$C$18*IF(BT69="",0,1)+Weights!$C$19*IF(BW69="",0,1)+Weights!$C$20*IF(BZ69="",0,1)+Weights!$C$21*IF(BO69="",0,1)+Weights!$C$22))</x:f>
      </x:c>
      <x:c r="CC69" s="10">
        <x:f>IF((Weights!$C$23*IF(BQ69="",0,1)+Weights!$C$24*IF(BN69="",0,1)+Weights!$C$25*IF(BS69="",0,1)+Weights!$C$26*IF(BY69="",0,1)+Weights!$C$27*IF(BX69="",0,1)+Weights!$C$28*IF(BT69="",0,1)+Weights!$C$29*IF(CA69="",0,1)+Weights!$C$30+Weights!$C$31*IF(BU69="",0,1))=0,"",(Weights!$C$23*IF(BQ69="",0,BQ69)+Weights!$C$24*IF(BN69="",0,BN69)+Weights!$C$25*IF(BS69="",0,BS69)+Weights!$C$26*IF(BY69="",0,BY69)+Weights!$C$27*IF(BX69="",0,BX69)+Weights!$C$28*IF(BT69="",0,BT69)+Weights!$C$29*IF(CA69="",0,CA69)+Weights!$C$30*BV69+Weights!$C$31*IF(BU69="",0,BU69))/(Weights!$C$23*IF(BQ69="",0,1)+Weights!$C$24*IF(BN69="",0,1)+Weights!$C$25*IF(BS69="",0,1)+Weights!$C$26*IF(BY69="",0,1)+Weights!$C$27*IF(BX69="",0,1)+Weights!$C$28*IF(BT69="",0,1)+Weights!$C$29*IF(CA69="",0,1)+Weights!$C$30+Weights!$C$31*IF(BU69="",0,1)))</x:f>
      </x:c>
      <x:c r="CD69" s="10">
        <x:f>IF(AND(CB69="",CC69=""),"",IF(CB69="",CC69,IF(CC69="",CB69,AVERAGE(CB69,CC69))))</x:f>
      </x:c>
      <x:c r="CE69" s="7">
        <x:f>ROUND(100*((IF(BP69&lt;&gt;"",1,0)+IF(BQ69&lt;&gt;"",1,0)+IF(BR69&lt;&gt;"",1,0)+IF(BS69&lt;&gt;"",1,0)+IF(BU69&lt;&gt;"",1,0)+IF(BT69&lt;&gt;"",1,0)+IF(BN69&lt;&gt;"",1,0)+IF(AW69&lt;&gt;"",1,0))/8),0)</x:f>
      </x:c>
      <x:c r="CF69">
        <x:f>IF(V69="","",LOG10(V69+1))</x:f>
      </x:c>
      <x:c r="CG69">
        <x:f>IF(CF69="","",IF(MAX($CF$2:$CF$252)-MIN($CF$2:$CF$252)=0,"",(CF69-MIN($CF$2:$CF$252))/(MAX($CF$2:$CF$252)-MIN($CF$2:$CF$252))*100))</x:f>
      </x:c>
    </x:row>
    <x:row r="70">
      <x:c r="A70" t="inlineStr">
        <x:is>
          <x:t xml:space="preserve">IRN</x:t>
        </x:is>
      </x:c>
      <x:c r="B70" t="inlineStr">
        <x:is>
          <x:t xml:space="preserve">Iran, Islamic Rep.</x:t>
        </x:is>
      </x:c>
      <x:c r="C70" t="inlineStr">
        <x:is>
          <x:t xml:space="preserve">Middle East &amp; North Africa</x:t>
        </x:is>
      </x:c>
      <x:c r="D70" t="inlineStr">
        <x:is>
          <x:t xml:space="preserve">Upper middle income</x:t>
        </x:is>
      </x:c>
      <x:c r="E70" t="inlineStr">
        <x:is>
          <x:t xml:space="preserve">Asia</x:t>
        </x:is>
      </x:c>
      <x:c r="F70" t="n">
        <x:v>2024</x:v>
      </x:c>
      <x:c r="G70" t="n">
        <x:v>91567738</x:v>
      </x:c>
      <x:c r="H70" t="n">
        <x:v>2020</x:v>
      </x:c>
      <x:c r="I70" t="n">
        <x:v>650000</x:v>
      </x:c>
      <x:c r="J70" t="n">
        <x:v>422500</x:v>
      </x:c>
      <x:c r="K70" t="n">
        <x:v>130000</x:v>
      </x:c>
      <x:c r="L70" t="n">
        <x:v>78000</x:v>
      </x:c>
      <x:c r="M70" t="n">
        <x:v>2024</x:v>
      </x:c>
      <x:c r="N70" s="8" t="n">
        <x:v>7891903306.81818</x:v>
      </x:c>
      <x:c r="O70" s="9" t="n">
        <x:v>2.01043175751636</x:v>
      </x:c>
      <x:c r="P70" s="8" t="n">
        <x:v>12141.3897027972</x:v>
      </x:c>
      <x:c r="Q70" t="n">
        <x:v>2024</x:v>
      </x:c>
      <x:c r="R70" s="8" t="n">
        <x:v>475252089215.416</x:v>
      </x:c>
      <x:c r="S70" t="n">
        <x:v>2</x:v>
      </x:c>
      <x:c r="T70" t="n">
        <x:v>2</x:v>
      </x:c>
      <x:c r="U70" t="inlineStr">
        <x:is>
          <x:t xml:space="preserve">No</x:t>
        </x:is>
      </x:c>
      <x:c r="W70" t="inlineStr">
        <x:is>
          <x:t xml:space="preserve">No</x:t>
        </x:is>
      </x:c>
      <x:c r="X70" t="n">
        <x:v>15.3096972007243</x:v>
      </x:c>
      <x:c r="Y70" t="n">
        <x:v>60.66777745864687</x:v>
      </x:c>
      <x:c r="Z70" t="n">
        <x:v>1617559.040246604</x:v>
      </x:c>
      <x:c r="AA70" t="n">
        <x:v>50.70699860667557</x:v>
      </x:c>
      <x:c r="AB70" s="8" t="n">
        <x:v>17788.00511533772</x:v>
      </x:c>
      <x:c r="AC70" t="n">
        <x:v>101</x:v>
      </x:c>
      <x:c r="AD70" t="n">
        <x:v>0</x:v>
      </x:c>
      <x:c r="AE70" t="n">
        <x:v>0</x:v>
      </x:c>
      <x:c r="AF70" t="n">
        <x:v>50.9</x:v>
      </x:c>
      <x:c r="AG70" t="n">
        <x:v>67</x:v>
      </x:c>
      <x:c r="AH70" t="n">
        <x:v>19</x:v>
      </x:c>
      <x:c r="AR70">
        <x:f>IF(G70="","",LOG10(G70+1))</x:f>
      </x:c>
      <x:c r="AS70" s="10">
        <x:f>IF(AR70="","",IF(MAX($AR$2:$AR$252)-MIN($AR$2:$AR$252)=0,"",(AR70-MIN($AR$2:$AR$252))/(MAX($AR$2:$AR$252)-MIN($AR$2:$AR$252))*100))</x:f>
      </x:c>
      <x:c r="AT70">
        <x:f>IF(R70="","",LOG10(R70+1))</x:f>
      </x:c>
      <x:c r="AU70" s="10">
        <x:f>IF(AT70="","",IF(MAX($AT$2:$AT$252)-MIN($AT$2:$AT$252)=0,"",(AT70-MIN($AT$2:$AT$252))/(MAX($AT$2:$AT$252)-MIN($AT$2:$AT$252))*100))</x:f>
      </x:c>
      <x:c r="AV70">
        <x:f>IF(N70="","",LOG10(N70+1))</x:f>
      </x:c>
      <x:c r="AW70" s="10">
        <x:f>IF(AV70="","",IF(MAX($AV$2:$AV$252)-MIN($AV$2:$AV$252)=0,"",(AV70-MIN($AV$2:$AV$252))/(MAX($AV$2:$AV$252)-MIN($AV$2:$AV$252))*100))</x:f>
      </x:c>
      <x:c r="AX70">
        <x:f>IF(I70="","",LOG10(I70+1))</x:f>
      </x:c>
      <x:c r="AY70" s="10">
        <x:f>IF(AX70="","",IF(MAX($AX$2:$AX$252)-MIN($AX$2:$AX$252)=0,"",(AX70-MIN($AX$2:$AX$252))/(MAX($AX$2:$AX$252)-MIN($AX$2:$AX$252))*100))</x:f>
      </x:c>
      <x:c r="AZ70">
        <x:f>IF(J70="","",LOG10(J70+1))</x:f>
      </x:c>
      <x:c r="BA70" s="10">
        <x:f>IF(AZ70="","",IF(MAX($AZ$2:$AZ$252)-MIN($AZ$2:$AZ$252)=0,"",(AZ70-MIN($AZ$2:$AZ$252))/(MAX($AZ$2:$AZ$252)-MIN($AZ$2:$AZ$252))*100))</x:f>
      </x:c>
      <x:c r="BB70">
        <x:f>IF(K70="","",LOG10(K70+1))</x:f>
      </x:c>
      <x:c r="BC70" s="10">
        <x:f>IF(BB70="","",IF(MAX($BB$2:$BB$252)-MIN($BB$2:$BB$252)=0,"",(BB70-MIN($BB$2:$BB$252))/(MAX($BB$2:$BB$252)-MIN($BB$2:$BB$252))*100))</x:f>
      </x:c>
      <x:c r="BD70">
        <x:f>IF(L70="","",LOG10(L70+1))</x:f>
      </x:c>
      <x:c r="BE70" s="10">
        <x:f>IF(BD70="","",IF(MAX($BD$2:$BD$252)-MIN($BD$2:$BD$252)=0,"",(BD70-MIN($BD$2:$BD$252))/(MAX($BD$2:$BD$252)-MIN($BD$2:$BD$252))*100))</x:f>
      </x:c>
      <x:c r="BF70" s="10">
        <x:f>IF(P70="","",IF(MAX($P$2:$P$252)-MIN($P$2:$P$252)=0,"",(P70-MIN($P$2:$P$252))/(MAX($P$2:$P$252)-MIN($P$2:$P$252))*100))</x:f>
      </x:c>
      <x:c r="BG70">
        <x:f>IF(AF70="","",LOG10(AF70+1))</x:f>
      </x:c>
      <x:c r="BH70" s="10">
        <x:f>IF(BG70="","",IF(MAX($BG$2:$BG$252)-MIN($BG$2:$BG$252)=0,"",(BG70-MIN($BG$2:$BG$252))/(MAX($BG$2:$BG$252)-MIN($BG$2:$BG$252))*100))</x:f>
      </x:c>
      <x:c r="BI70">
        <x:f>IF(AC70="","",LOG10(AC70+1))</x:f>
      </x:c>
      <x:c r="BJ70" s="10">
        <x:f>IF(BI70="","",IF(MAX($BI$2:$BI$252)-MIN($BI$2:$BI$252)=0,"",(BI70-MIN($BI$2:$BI$252))/(MAX($BI$2:$BI$252)-MIN($BI$2:$BI$252))*100))</x:f>
      </x:c>
      <x:c r="BK70">
        <x:f>IF(AD70="","",(AD70*2)+(AE70*1))</x:f>
      </x:c>
      <x:c r="BL70" s="10">
        <x:f>IF(BK70="","",IF(MAX($BK$2:$BK$252)-MIN($BK$2:$BK$252)=0,"",(BK70-MIN($BK$2:$BK$252))/(MAX($BK$2:$BK$252)-MIN($BK$2:$BK$252))*100))</x:f>
      </x:c>
      <x:c r="BM70" s="10">
        <x:f>IF(AB70="","",IF(MAX($AB$2:$AB$252)-MIN($AB$2:$AB$252)=0,"",(AB70-MIN($AB$2:$AB$252))/(MAX($AB$2:$AB$252)-MIN($AB$2:$AB$252))*100))</x:f>
      </x:c>
      <x:c r="BN70" s="10">
        <x:f>IF(X70="","",X70)</x:f>
      </x:c>
      <x:c r="BO70" s="10">
        <x:f>IF(X70="","",100-X70)</x:f>
      </x:c>
      <x:c r="BP70" s="10">
        <x:f>IF((Weights!$C$2*IF(BH70="",0,1)+Weights!$C$3*IF(BJ70="",0,1)+Weights!$C$4*IF(BL70="",0,1))=0,"",(Weights!$C$2*IF(BH70="",0,BH70)+Weights!$C$3*IF(BJ70="",0,BJ70)+Weights!$C$4*IF(BL70="",0,BL70))/(Weights!$C$2*IF(BH70="",0,1)+Weights!$C$3*IF(BJ70="",0,1)+Weights!$C$4*IF(BL70="",0,1)))</x:f>
      </x:c>
      <x:c r="BQ70" s="10">
        <x:f>IF((Weights!$C$5*IF(BA70="",0,1)+Weights!$C$6*IF(AW70="",0,1)+Weights!$C$7*IF(AU70="",0,1))=0,"",(Weights!$C$5*IF(BA70="",0,BA70)+Weights!$C$6*IF(AW70="",0,AW70)+Weights!$C$7*IF(AU70="",0,AU70))/(Weights!$C$5*IF(BA70="",0,1)+Weights!$C$6*IF(AW70="",0,1)+Weights!$C$7*IF(AU70="",0,1)))</x:f>
      </x:c>
      <x:c r="BR70" s="10">
        <x:f>IF((Weights!$C$8*IF(AW70="",0,1)+Weights!$C$9*IF(BC70="",0,1)+Weights!$C$10*IF(BF70="",0,1))=0,"",(Weights!$C$8*IF(AW70="",0,AW70)+Weights!$C$9*IF(BC70="",0,BC70)+Weights!$C$10*IF(BF70="",0,BF70))/(Weights!$C$8*IF(AW70="",0,1)+Weights!$C$9*IF(BC70="",0,1)+Weights!$C$10*IF(BF70="",0,1)))</x:f>
      </x:c>
      <x:c r="BS70" s="10">
        <x:f>IF(Y70="","",Y70)</x:f>
      </x:c>
      <x:c r="BT70" s="10">
        <x:f>IF(AS70="","",AS70)</x:f>
      </x:c>
      <x:c r="BU70" s="10">
        <x:f>IF(AJ70&lt;&gt;"",(0.6*AJ70+0.4*AU70),IF((Weights!$C$11*IF(AU70="",0,1)+Weights!$C$12*IF(BM70="",0,1))=0,"",(Weights!$C$11*IF(AU70="",0,AU70)+Weights!$C$12*IF(BM70="",0,BM70))/(Weights!$C$11*IF(AU70="",0,1)+Weights!$C$12*IF(BM70="",0,1))))</x:f>
      </x:c>
      <x:c r="BV70" s="10">
        <x:f>IF(CG70="",0,CG70)</x:f>
      </x:c>
      <x:c r="BW70" s="10">
        <x:f>IF(AP70="","",AP70)</x:f>
      </x:c>
      <x:c r="BX70" s="10">
        <x:f>IF(AO70="","",AO70)</x:f>
      </x:c>
      <x:c r="BY70" s="10">
        <x:f>IF(AL70="","",AL70)</x:f>
      </x:c>
      <x:c r="BZ70" s="10">
        <x:f>IF(AM70="","",AM70)</x:f>
      </x:c>
      <x:c r="CA70" s="10">
        <x:f>IF(AK70&lt;&gt;"",AK70,AW70)</x:f>
      </x:c>
      <x:c r="CB70" s="10">
        <x:f>IF((Weights!$C$13*IF(BP70="",0,1)+Weights!$C$14*IF(BR70="",0,1)+Weights!$C$15*IF(BQ70="",0,1)+Weights!$C$16*IF(BS70="",0,1)+Weights!$C$17*IF(BU70="",0,1)+Weights!$C$18*IF(BT70="",0,1)+Weights!$C$19*IF(BW70="",0,1)+Weights!$C$20*IF(BZ70="",0,1)+Weights!$C$21*IF(BO70="",0,1)+Weights!$C$22)=0,"",(Weights!$C$13*IF(BP70="",0,BP70)+Weights!$C$14*IF(BR70="",0,BR70)+Weights!$C$15*IF(BQ70="",0,BQ70)+Weights!$C$16*IF(BS70="",0,BS70)+Weights!$C$17*IF(BU70="",0,BU70)+Weights!$C$18*IF(BT70="",0,BT70)+Weights!$C$19*IF(BW70="",0,BW70)+Weights!$C$20*IF(BZ70="",0,BZ70)+Weights!$C$21*IF(BO70="",0,BO70)+Weights!$C$22*BV70)/(Weights!$C$13*IF(BP70="",0,1)+Weights!$C$14*IF(BR70="",0,1)+Weights!$C$15*IF(BQ70="",0,1)+Weights!$C$16*IF(BS70="",0,1)+Weights!$C$17*IF(BU70="",0,1)+Weights!$C$18*IF(BT70="",0,1)+Weights!$C$19*IF(BW70="",0,1)+Weights!$C$20*IF(BZ70="",0,1)+Weights!$C$21*IF(BO70="",0,1)+Weights!$C$22))</x:f>
      </x:c>
      <x:c r="CC70" s="10">
        <x:f>IF((Weights!$C$23*IF(BQ70="",0,1)+Weights!$C$24*IF(BN70="",0,1)+Weights!$C$25*IF(BS70="",0,1)+Weights!$C$26*IF(BY70="",0,1)+Weights!$C$27*IF(BX70="",0,1)+Weights!$C$28*IF(BT70="",0,1)+Weights!$C$29*IF(CA70="",0,1)+Weights!$C$30+Weights!$C$31*IF(BU70="",0,1))=0,"",(Weights!$C$23*IF(BQ70="",0,BQ70)+Weights!$C$24*IF(BN70="",0,BN70)+Weights!$C$25*IF(BS70="",0,BS70)+Weights!$C$26*IF(BY70="",0,BY70)+Weights!$C$27*IF(BX70="",0,BX70)+Weights!$C$28*IF(BT70="",0,BT70)+Weights!$C$29*IF(CA70="",0,CA70)+Weights!$C$30*BV70+Weights!$C$31*IF(BU70="",0,BU70))/(Weights!$C$23*IF(BQ70="",0,1)+Weights!$C$24*IF(BN70="",0,1)+Weights!$C$25*IF(BS70="",0,1)+Weights!$C$26*IF(BY70="",0,1)+Weights!$C$27*IF(BX70="",0,1)+Weights!$C$28*IF(BT70="",0,1)+Weights!$C$29*IF(CA70="",0,1)+Weights!$C$30+Weights!$C$31*IF(BU70="",0,1)))</x:f>
      </x:c>
      <x:c r="CD70" s="10">
        <x:f>IF(AND(CB70="",CC70=""),"",IF(CB70="",CC70,IF(CC70="",CB70,AVERAGE(CB70,CC70))))</x:f>
      </x:c>
      <x:c r="CE70" s="7">
        <x:f>ROUND(100*((IF(BP70&lt;&gt;"",1,0)+IF(BQ70&lt;&gt;"",1,0)+IF(BR70&lt;&gt;"",1,0)+IF(BS70&lt;&gt;"",1,0)+IF(BU70&lt;&gt;"",1,0)+IF(BT70&lt;&gt;"",1,0)+IF(BN70&lt;&gt;"",1,0)+IF(AW70&lt;&gt;"",1,0))/8),0)</x:f>
      </x:c>
      <x:c r="CF70">
        <x:f>IF(V70="","",LOG10(V70+1))</x:f>
      </x:c>
      <x:c r="CG70">
        <x:f>IF(CF70="","",IF(MAX($CF$2:$CF$252)-MIN($CF$2:$CF$252)=0,"",(CF70-MIN($CF$2:$CF$252))/(MAX($CF$2:$CF$252)-MIN($CF$2:$CF$252))*100))</x:f>
      </x:c>
    </x:row>
    <x:row r="71">
      <x:c r="A71" t="inlineStr">
        <x:is>
          <x:t xml:space="preserve">MRT</x:t>
        </x:is>
      </x:c>
      <x:c r="B71" t="inlineStr">
        <x:is>
          <x:t xml:space="preserve">Mauritania</x:t>
        </x:is>
      </x:c>
      <x:c r="C71" t="inlineStr">
        <x:is>
          <x:t xml:space="preserve">Sub-Saharan Africa</x:t>
        </x:is>
      </x:c>
      <x:c r="D71" t="inlineStr">
        <x:is>
          <x:t xml:space="preserve">Lower middle income</x:t>
        </x:is>
      </x:c>
      <x:c r="E71" t="inlineStr">
        <x:is>
          <x:t xml:space="preserve">Africa</x:t>
        </x:is>
      </x:c>
      <x:c r="F71" t="n">
        <x:v>2024</x:v>
      </x:c>
      <x:c r="G71" t="n">
        <x:v>5169395</x:v>
      </x:c>
      <x:c r="H71" t="n">
        <x:v>2020</x:v>
      </x:c>
      <x:c r="I71" t="n">
        <x:v>21000</x:v>
      </x:c>
      <x:c r="J71" t="n">
        <x:v>13650</x:v>
      </x:c>
      <x:c r="K71" t="n">
        <x:v>4200</x:v>
      </x:c>
      <x:c r="L71" t="n">
        <x:v>2520</x:v>
      </x:c>
      <x:c r="M71" t="n">
        <x:v>2024</x:v>
      </x:c>
      <x:c r="N71" s="8" t="n">
        <x:v>260059017.269229</x:v>
      </x:c>
      <x:c r="O71" s="9" t="n">
        <x:v>2.15504682070845</x:v>
      </x:c>
      <x:c r="P71" s="8" t="n">
        <x:v>12383.76272710614</x:v>
      </x:c>
      <x:c r="Q71" t="n">
        <x:v>2024</x:v>
      </x:c>
      <x:c r="R71" s="8" t="n">
        <x:v>10908045686.8808</x:v>
      </x:c>
      <x:c r="S71" t="n">
        <x:v>0</x:v>
      </x:c>
      <x:c r="T71" t="n">
        <x:v>0</x:v>
      </x:c>
      <x:c r="U71" t="inlineStr">
        <x:is>
          <x:t xml:space="preserve">No</x:t>
        </x:is>
      </x:c>
      <x:c r="W71" t="inlineStr">
        <x:is>
          <x:t xml:space="preserve">No</x:t>
        </x:is>
      </x:c>
      <x:c r="X71" t="n">
        <x:v>14.69400455530635</x:v>
      </x:c>
      <x:c r="Y71" t="n">
        <x:v>25.13181023035025</x:v>
      </x:c>
      <x:c r="Z71" t="n">
        <x:v>1054107.194083601</x:v>
      </x:c>
      <x:c r="AA71" t="n">
        <x:v>3.565644007645306</x:v>
      </x:c>
      <x:c r="AB71" s="8" t="n">
        <x:v>4445.838591315689</x:v>
      </x:c>
      <x:c r="AC71" t="n">
        <x:v>5</x:v>
      </x:c>
      <x:c r="AD71" t="n">
        <x:v>0</x:v>
      </x:c>
      <x:c r="AE71" t="n">
        <x:v>0</x:v>
      </x:c>
      <x:c r="AR71">
        <x:f>IF(G71="","",LOG10(G71+1))</x:f>
      </x:c>
      <x:c r="AS71" s="10">
        <x:f>IF(AR71="","",IF(MAX($AR$2:$AR$252)-MIN($AR$2:$AR$252)=0,"",(AR71-MIN($AR$2:$AR$252))/(MAX($AR$2:$AR$252)-MIN($AR$2:$AR$252))*100))</x:f>
      </x:c>
      <x:c r="AT71">
        <x:f>IF(R71="","",LOG10(R71+1))</x:f>
      </x:c>
      <x:c r="AU71" s="10">
        <x:f>IF(AT71="","",IF(MAX($AT$2:$AT$252)-MIN($AT$2:$AT$252)=0,"",(AT71-MIN($AT$2:$AT$252))/(MAX($AT$2:$AT$252)-MIN($AT$2:$AT$252))*100))</x:f>
      </x:c>
      <x:c r="AV71">
        <x:f>IF(N71="","",LOG10(N71+1))</x:f>
      </x:c>
      <x:c r="AW71" s="10">
        <x:f>IF(AV71="","",IF(MAX($AV$2:$AV$252)-MIN($AV$2:$AV$252)=0,"",(AV71-MIN($AV$2:$AV$252))/(MAX($AV$2:$AV$252)-MIN($AV$2:$AV$252))*100))</x:f>
      </x:c>
      <x:c r="AX71">
        <x:f>IF(I71="","",LOG10(I71+1))</x:f>
      </x:c>
      <x:c r="AY71" s="10">
        <x:f>IF(AX71="","",IF(MAX($AX$2:$AX$252)-MIN($AX$2:$AX$252)=0,"",(AX71-MIN($AX$2:$AX$252))/(MAX($AX$2:$AX$252)-MIN($AX$2:$AX$252))*100))</x:f>
      </x:c>
      <x:c r="AZ71">
        <x:f>IF(J71="","",LOG10(J71+1))</x:f>
      </x:c>
      <x:c r="BA71" s="10">
        <x:f>IF(AZ71="","",IF(MAX($AZ$2:$AZ$252)-MIN($AZ$2:$AZ$252)=0,"",(AZ71-MIN($AZ$2:$AZ$252))/(MAX($AZ$2:$AZ$252)-MIN($AZ$2:$AZ$252))*100))</x:f>
      </x:c>
      <x:c r="BB71">
        <x:f>IF(K71="","",LOG10(K71+1))</x:f>
      </x:c>
      <x:c r="BC71" s="10">
        <x:f>IF(BB71="","",IF(MAX($BB$2:$BB$252)-MIN($BB$2:$BB$252)=0,"",(BB71-MIN($BB$2:$BB$252))/(MAX($BB$2:$BB$252)-MIN($BB$2:$BB$252))*100))</x:f>
      </x:c>
      <x:c r="BD71">
        <x:f>IF(L71="","",LOG10(L71+1))</x:f>
      </x:c>
      <x:c r="BE71" s="10">
        <x:f>IF(BD71="","",IF(MAX($BD$2:$BD$252)-MIN($BD$2:$BD$252)=0,"",(BD71-MIN($BD$2:$BD$252))/(MAX($BD$2:$BD$252)-MIN($BD$2:$BD$252))*100))</x:f>
      </x:c>
      <x:c r="BF71" s="10">
        <x:f>IF(P71="","",IF(MAX($P$2:$P$252)-MIN($P$2:$P$252)=0,"",(P71-MIN($P$2:$P$252))/(MAX($P$2:$P$252)-MIN($P$2:$P$252))*100))</x:f>
      </x:c>
      <x:c r="BG71">
        <x:f>IF(AF71="","",LOG10(AF71+1))</x:f>
      </x:c>
      <x:c r="BH71" s="10">
        <x:f>IF(BG71="","",IF(MAX($BG$2:$BG$252)-MIN($BG$2:$BG$252)=0,"",(BG71-MIN($BG$2:$BG$252))/(MAX($BG$2:$BG$252)-MIN($BG$2:$BG$252))*100))</x:f>
      </x:c>
      <x:c r="BI71">
        <x:f>IF(AC71="","",LOG10(AC71+1))</x:f>
      </x:c>
      <x:c r="BJ71" s="10">
        <x:f>IF(BI71="","",IF(MAX($BI$2:$BI$252)-MIN($BI$2:$BI$252)=0,"",(BI71-MIN($BI$2:$BI$252))/(MAX($BI$2:$BI$252)-MIN($BI$2:$BI$252))*100))</x:f>
      </x:c>
      <x:c r="BK71">
        <x:f>IF(AD71="","",(AD71*2)+(AE71*1))</x:f>
      </x:c>
      <x:c r="BL71" s="10">
        <x:f>IF(BK71="","",IF(MAX($BK$2:$BK$252)-MIN($BK$2:$BK$252)=0,"",(BK71-MIN($BK$2:$BK$252))/(MAX($BK$2:$BK$252)-MIN($BK$2:$BK$252))*100))</x:f>
      </x:c>
      <x:c r="BM71" s="10">
        <x:f>IF(AB71="","",IF(MAX($AB$2:$AB$252)-MIN($AB$2:$AB$252)=0,"",(AB71-MIN($AB$2:$AB$252))/(MAX($AB$2:$AB$252)-MIN($AB$2:$AB$252))*100))</x:f>
      </x:c>
      <x:c r="BN71" s="10">
        <x:f>IF(X71="","",X71)</x:f>
      </x:c>
      <x:c r="BO71" s="10">
        <x:f>IF(X71="","",100-X71)</x:f>
      </x:c>
      <x:c r="BP71" s="10">
        <x:f>IF((Weights!$C$2*IF(BH71="",0,1)+Weights!$C$3*IF(BJ71="",0,1)+Weights!$C$4*IF(BL71="",0,1))=0,"",(Weights!$C$2*IF(BH71="",0,BH71)+Weights!$C$3*IF(BJ71="",0,BJ71)+Weights!$C$4*IF(BL71="",0,BL71))/(Weights!$C$2*IF(BH71="",0,1)+Weights!$C$3*IF(BJ71="",0,1)+Weights!$C$4*IF(BL71="",0,1)))</x:f>
      </x:c>
      <x:c r="BQ71" s="10">
        <x:f>IF((Weights!$C$5*IF(BA71="",0,1)+Weights!$C$6*IF(AW71="",0,1)+Weights!$C$7*IF(AU71="",0,1))=0,"",(Weights!$C$5*IF(BA71="",0,BA71)+Weights!$C$6*IF(AW71="",0,AW71)+Weights!$C$7*IF(AU71="",0,AU71))/(Weights!$C$5*IF(BA71="",0,1)+Weights!$C$6*IF(AW71="",0,1)+Weights!$C$7*IF(AU71="",0,1)))</x:f>
      </x:c>
      <x:c r="BR71" s="10">
        <x:f>IF((Weights!$C$8*IF(AW71="",0,1)+Weights!$C$9*IF(BC71="",0,1)+Weights!$C$10*IF(BF71="",0,1))=0,"",(Weights!$C$8*IF(AW71="",0,AW71)+Weights!$C$9*IF(BC71="",0,BC71)+Weights!$C$10*IF(BF71="",0,BF71))/(Weights!$C$8*IF(AW71="",0,1)+Weights!$C$9*IF(BC71="",0,1)+Weights!$C$10*IF(BF71="",0,1)))</x:f>
      </x:c>
      <x:c r="BS71" s="10">
        <x:f>IF(Y71="","",Y71)</x:f>
      </x:c>
      <x:c r="BT71" s="10">
        <x:f>IF(AS71="","",AS71)</x:f>
      </x:c>
      <x:c r="BU71" s="10">
        <x:f>IF(AJ71&lt;&gt;"",(0.6*AJ71+0.4*AU71),IF((Weights!$C$11*IF(AU71="",0,1)+Weights!$C$12*IF(BM71="",0,1))=0,"",(Weights!$C$11*IF(AU71="",0,AU71)+Weights!$C$12*IF(BM71="",0,BM71))/(Weights!$C$11*IF(AU71="",0,1)+Weights!$C$12*IF(BM71="",0,1))))</x:f>
      </x:c>
      <x:c r="BV71" s="10">
        <x:f>IF(CG71="",0,CG71)</x:f>
      </x:c>
      <x:c r="BW71" s="10">
        <x:f>IF(AP71="","",AP71)</x:f>
      </x:c>
      <x:c r="BX71" s="10">
        <x:f>IF(AO71="","",AO71)</x:f>
      </x:c>
      <x:c r="BY71" s="10">
        <x:f>IF(AL71="","",AL71)</x:f>
      </x:c>
      <x:c r="BZ71" s="10">
        <x:f>IF(AM71="","",AM71)</x:f>
      </x:c>
      <x:c r="CA71" s="10">
        <x:f>IF(AK71&lt;&gt;"",AK71,AW71)</x:f>
      </x:c>
      <x:c r="CB71" s="10">
        <x:f>IF((Weights!$C$13*IF(BP71="",0,1)+Weights!$C$14*IF(BR71="",0,1)+Weights!$C$15*IF(BQ71="",0,1)+Weights!$C$16*IF(BS71="",0,1)+Weights!$C$17*IF(BU71="",0,1)+Weights!$C$18*IF(BT71="",0,1)+Weights!$C$19*IF(BW71="",0,1)+Weights!$C$20*IF(BZ71="",0,1)+Weights!$C$21*IF(BO71="",0,1)+Weights!$C$22)=0,"",(Weights!$C$13*IF(BP71="",0,BP71)+Weights!$C$14*IF(BR71="",0,BR71)+Weights!$C$15*IF(BQ71="",0,BQ71)+Weights!$C$16*IF(BS71="",0,BS71)+Weights!$C$17*IF(BU71="",0,BU71)+Weights!$C$18*IF(BT71="",0,BT71)+Weights!$C$19*IF(BW71="",0,BW71)+Weights!$C$20*IF(BZ71="",0,BZ71)+Weights!$C$21*IF(BO71="",0,BO71)+Weights!$C$22*BV71)/(Weights!$C$13*IF(BP71="",0,1)+Weights!$C$14*IF(BR71="",0,1)+Weights!$C$15*IF(BQ71="",0,1)+Weights!$C$16*IF(BS71="",0,1)+Weights!$C$17*IF(BU71="",0,1)+Weights!$C$18*IF(BT71="",0,1)+Weights!$C$19*IF(BW71="",0,1)+Weights!$C$20*IF(BZ71="",0,1)+Weights!$C$21*IF(BO71="",0,1)+Weights!$C$22))</x:f>
      </x:c>
      <x:c r="CC71" s="10">
        <x:f>IF((Weights!$C$23*IF(BQ71="",0,1)+Weights!$C$24*IF(BN71="",0,1)+Weights!$C$25*IF(BS71="",0,1)+Weights!$C$26*IF(BY71="",0,1)+Weights!$C$27*IF(BX71="",0,1)+Weights!$C$28*IF(BT71="",0,1)+Weights!$C$29*IF(CA71="",0,1)+Weights!$C$30+Weights!$C$31*IF(BU71="",0,1))=0,"",(Weights!$C$23*IF(BQ71="",0,BQ71)+Weights!$C$24*IF(BN71="",0,BN71)+Weights!$C$25*IF(BS71="",0,BS71)+Weights!$C$26*IF(BY71="",0,BY71)+Weights!$C$27*IF(BX71="",0,BX71)+Weights!$C$28*IF(BT71="",0,BT71)+Weights!$C$29*IF(CA71="",0,CA71)+Weights!$C$30*BV71+Weights!$C$31*IF(BU71="",0,BU71))/(Weights!$C$23*IF(BQ71="",0,1)+Weights!$C$24*IF(BN71="",0,1)+Weights!$C$25*IF(BS71="",0,1)+Weights!$C$26*IF(BY71="",0,1)+Weights!$C$27*IF(BX71="",0,1)+Weights!$C$28*IF(BT71="",0,1)+Weights!$C$29*IF(CA71="",0,1)+Weights!$C$30+Weights!$C$31*IF(BU71="",0,1)))</x:f>
      </x:c>
      <x:c r="CD71" s="10">
        <x:f>IF(AND(CB71="",CC71=""),"",IF(CB71="",CC71,IF(CC71="",CB71,AVERAGE(CB71,CC71))))</x:f>
      </x:c>
      <x:c r="CE71" s="7">
        <x:f>ROUND(100*((IF(BP71&lt;&gt;"",1,0)+IF(BQ71&lt;&gt;"",1,0)+IF(BR71&lt;&gt;"",1,0)+IF(BS71&lt;&gt;"",1,0)+IF(BU71&lt;&gt;"",1,0)+IF(BT71&lt;&gt;"",1,0)+IF(BN71&lt;&gt;"",1,0)+IF(AW71&lt;&gt;"",1,0))/8),0)</x:f>
      </x:c>
      <x:c r="CF71">
        <x:f>IF(V71="","",LOG10(V71+1))</x:f>
      </x:c>
      <x:c r="CG71">
        <x:f>IF(CF71="","",IF(MAX($CF$2:$CF$252)-MIN($CF$2:$CF$252)=0,"",(CF71-MIN($CF$2:$CF$252))/(MAX($CF$2:$CF$252)-MIN($CF$2:$CF$252))*100))</x:f>
      </x:c>
    </x:row>
    <x:row r="72">
      <x:c r="A72" t="inlineStr">
        <x:is>
          <x:t xml:space="preserve">PAK</x:t>
        </x:is>
      </x:c>
      <x:c r="B72" t="inlineStr">
        <x:is>
          <x:t xml:space="preserve">Pakistan</x:t>
        </x:is>
      </x:c>
      <x:c r="C72" t="inlineStr">
        <x:is>
          <x:t xml:space="preserve">Middle East &amp; North Africa</x:t>
        </x:is>
      </x:c>
      <x:c r="D72" t="inlineStr">
        <x:is>
          <x:t xml:space="preserve">Lower middle income</x:t>
        </x:is>
      </x:c>
      <x:c r="E72" t="inlineStr">
        <x:is>
          <x:t xml:space="preserve">Asia</x:t>
        </x:is>
      </x:c>
      <x:c r="F72" t="n">
        <x:v>2024</x:v>
      </x:c>
      <x:c r="G72" t="n">
        <x:v>251269164</x:v>
      </x:c>
      <x:c r="H72" t="n">
        <x:v>2020</x:v>
      </x:c>
      <x:c r="I72" t="n">
        <x:v>943000</x:v>
      </x:c>
      <x:c r="J72" t="n">
        <x:v>612950</x:v>
      </x:c>
      <x:c r="K72" t="n">
        <x:v>188600</x:v>
      </x:c>
      <x:c r="L72" t="n">
        <x:v>113160</x:v>
      </x:c>
      <x:c r="M72" t="n">
        <x:v>2024</x:v>
      </x:c>
      <x:c r="N72" s="8" t="n">
        <x:v>10165952756.2448</x:v>
      </x:c>
      <x:c r="O72" s="9" t="n">
        <x:v>2.66760037007452</x:v>
      </x:c>
      <x:c r="P72" s="8" t="n">
        <x:v>10780.43770545578</x:v>
      </x:c>
      <x:c r="Q72" t="n">
        <x:v>2024</x:v>
      </x:c>
      <x:c r="R72" s="8" t="n">
        <x:v>371570000121.266</x:v>
      </x:c>
      <x:c r="S72" t="n">
        <x:v>3</x:v>
      </x:c>
      <x:c r="T72" t="n">
        <x:v>0</x:v>
      </x:c>
      <x:c r="U72" t="inlineStr">
        <x:is>
          <x:t xml:space="preserve">Yes</x:t>
        </x:is>
      </x:c>
      <x:c r="V72" t="n">
        <x:v>170</x:v>
      </x:c>
      <x:c r="W72" t="inlineStr">
        <x:is>
          <x:t xml:space="preserve">Yes</x:t>
        </x:is>
      </x:c>
      <x:c r="X72" t="n">
        <x:v>27.90538062340718</x:v>
      </x:c>
      <x:c r="Y72" t="n">
        <x:v>51.0668790208929</x:v>
      </x:c>
      <x:c r="Z72" t="n">
        <x:v>874119.9983153949</x:v>
      </x:c>
      <x:c r="AA72" t="n">
        <x:v>234.4356168431468</x:v>
      </x:c>
      <x:c r="AB72" s="8" t="n">
        <x:v>4822.255314351537</x:v>
      </x:c>
      <x:c r="AC72" t="n">
        <x:v>114</x:v>
      </x:c>
      <x:c r="AD72" t="n">
        <x:v>0</x:v>
      </x:c>
      <x:c r="AE72" t="n">
        <x:v>0</x:v>
      </x:c>
      <x:c r="AF72" t="n">
        <x:v>36.6</x:v>
      </x:c>
      <x:c r="AG72" t="n">
        <x:v>36</x:v>
      </x:c>
      <x:c r="AH72" t="n">
        <x:v>29</x:v>
      </x:c>
      <x:c r="AI72" t="n">
        <x:v>14.5</x:v>
      </x:c>
      <x:c r="AJ72" t="n">
        <x:v>2.8</x:v>
      </x:c>
      <x:c r="AK72" t="n">
        <x:v>23.6</x:v>
      </x:c>
      <x:c r="AL72" t="n">
        <x:v>29.1</x:v>
      </x:c>
      <x:c r="AM72" t="n">
        <x:v>12.2</x:v>
      </x:c>
      <x:c r="AN72" t="n">
        <x:v>3.9</x:v>
      </x:c>
      <x:c r="AO72" t="n">
        <x:v>13.8</x:v>
      </x:c>
      <x:c r="AP72" t="n">
        <x:v>32.8</x:v>
      </x:c>
      <x:c r="AQ72" t="n">
        <x:v>5</x:v>
      </x:c>
      <x:c r="AR72">
        <x:f>IF(G72="","",LOG10(G72+1))</x:f>
      </x:c>
      <x:c r="AS72" s="10">
        <x:f>IF(AR72="","",IF(MAX($AR$2:$AR$252)-MIN($AR$2:$AR$252)=0,"",(AR72-MIN($AR$2:$AR$252))/(MAX($AR$2:$AR$252)-MIN($AR$2:$AR$252))*100))</x:f>
      </x:c>
      <x:c r="AT72">
        <x:f>IF(R72="","",LOG10(R72+1))</x:f>
      </x:c>
      <x:c r="AU72" s="10">
        <x:f>IF(AT72="","",IF(MAX($AT$2:$AT$252)-MIN($AT$2:$AT$252)=0,"",(AT72-MIN($AT$2:$AT$252))/(MAX($AT$2:$AT$252)-MIN($AT$2:$AT$252))*100))</x:f>
      </x:c>
      <x:c r="AV72">
        <x:f>IF(N72="","",LOG10(N72+1))</x:f>
      </x:c>
      <x:c r="AW72" s="10">
        <x:f>IF(AV72="","",IF(MAX($AV$2:$AV$252)-MIN($AV$2:$AV$252)=0,"",(AV72-MIN($AV$2:$AV$252))/(MAX($AV$2:$AV$252)-MIN($AV$2:$AV$252))*100))</x:f>
      </x:c>
      <x:c r="AX72">
        <x:f>IF(I72="","",LOG10(I72+1))</x:f>
      </x:c>
      <x:c r="AY72" s="10">
        <x:f>IF(AX72="","",IF(MAX($AX$2:$AX$252)-MIN($AX$2:$AX$252)=0,"",(AX72-MIN($AX$2:$AX$252))/(MAX($AX$2:$AX$252)-MIN($AX$2:$AX$252))*100))</x:f>
      </x:c>
      <x:c r="AZ72">
        <x:f>IF(J72="","",LOG10(J72+1))</x:f>
      </x:c>
      <x:c r="BA72" s="10">
        <x:f>IF(AZ72="","",IF(MAX($AZ$2:$AZ$252)-MIN($AZ$2:$AZ$252)=0,"",(AZ72-MIN($AZ$2:$AZ$252))/(MAX($AZ$2:$AZ$252)-MIN($AZ$2:$AZ$252))*100))</x:f>
      </x:c>
      <x:c r="BB72">
        <x:f>IF(K72="","",LOG10(K72+1))</x:f>
      </x:c>
      <x:c r="BC72" s="10">
        <x:f>IF(BB72="","",IF(MAX($BB$2:$BB$252)-MIN($BB$2:$BB$252)=0,"",(BB72-MIN($BB$2:$BB$252))/(MAX($BB$2:$BB$252)-MIN($BB$2:$BB$252))*100))</x:f>
      </x:c>
      <x:c r="BD72">
        <x:f>IF(L72="","",LOG10(L72+1))</x:f>
      </x:c>
      <x:c r="BE72" s="10">
        <x:f>IF(BD72="","",IF(MAX($BD$2:$BD$252)-MIN($BD$2:$BD$252)=0,"",(BD72-MIN($BD$2:$BD$252))/(MAX($BD$2:$BD$252)-MIN($BD$2:$BD$252))*100))</x:f>
      </x:c>
      <x:c r="BF72" s="10">
        <x:f>IF(P72="","",IF(MAX($P$2:$P$252)-MIN($P$2:$P$252)=0,"",(P72-MIN($P$2:$P$252))/(MAX($P$2:$P$252)-MIN($P$2:$P$252))*100))</x:f>
      </x:c>
      <x:c r="BG72">
        <x:f>IF(AF72="","",LOG10(AF72+1))</x:f>
      </x:c>
      <x:c r="BH72" s="10">
        <x:f>IF(BG72="","",IF(MAX($BG$2:$BG$252)-MIN($BG$2:$BG$252)=0,"",(BG72-MIN($BG$2:$BG$252))/(MAX($BG$2:$BG$252)-MIN($BG$2:$BG$252))*100))</x:f>
      </x:c>
      <x:c r="BI72">
        <x:f>IF(AC72="","",LOG10(AC72+1))</x:f>
      </x:c>
      <x:c r="BJ72" s="10">
        <x:f>IF(BI72="","",IF(MAX($BI$2:$BI$252)-MIN($BI$2:$BI$252)=0,"",(BI72-MIN($BI$2:$BI$252))/(MAX($BI$2:$BI$252)-MIN($BI$2:$BI$252))*100))</x:f>
      </x:c>
      <x:c r="BK72">
        <x:f>IF(AD72="","",(AD72*2)+(AE72*1))</x:f>
      </x:c>
      <x:c r="BL72" s="10">
        <x:f>IF(BK72="","",IF(MAX($BK$2:$BK$252)-MIN($BK$2:$BK$252)=0,"",(BK72-MIN($BK$2:$BK$252))/(MAX($BK$2:$BK$252)-MIN($BK$2:$BK$252))*100))</x:f>
      </x:c>
      <x:c r="BM72" s="10">
        <x:f>IF(AB72="","",IF(MAX($AB$2:$AB$252)-MIN($AB$2:$AB$252)=0,"",(AB72-MIN($AB$2:$AB$252))/(MAX($AB$2:$AB$252)-MIN($AB$2:$AB$252))*100))</x:f>
      </x:c>
      <x:c r="BN72" s="10">
        <x:f>IF(X72="","",X72)</x:f>
      </x:c>
      <x:c r="BO72" s="10">
        <x:f>IF(X72="","",100-X72)</x:f>
      </x:c>
      <x:c r="BP72" s="10">
        <x:f>IF((Weights!$C$2*IF(BH72="",0,1)+Weights!$C$3*IF(BJ72="",0,1)+Weights!$C$4*IF(BL72="",0,1))=0,"",(Weights!$C$2*IF(BH72="",0,BH72)+Weights!$C$3*IF(BJ72="",0,BJ72)+Weights!$C$4*IF(BL72="",0,BL72))/(Weights!$C$2*IF(BH72="",0,1)+Weights!$C$3*IF(BJ72="",0,1)+Weights!$C$4*IF(BL72="",0,1)))</x:f>
      </x:c>
      <x:c r="BQ72" s="10">
        <x:f>IF((Weights!$C$5*IF(BA72="",0,1)+Weights!$C$6*IF(AW72="",0,1)+Weights!$C$7*IF(AU72="",0,1))=0,"",(Weights!$C$5*IF(BA72="",0,BA72)+Weights!$C$6*IF(AW72="",0,AW72)+Weights!$C$7*IF(AU72="",0,AU72))/(Weights!$C$5*IF(BA72="",0,1)+Weights!$C$6*IF(AW72="",0,1)+Weights!$C$7*IF(AU72="",0,1)))</x:f>
      </x:c>
      <x:c r="BR72" s="10">
        <x:f>IF((Weights!$C$8*IF(AW72="",0,1)+Weights!$C$9*IF(BC72="",0,1)+Weights!$C$10*IF(BF72="",0,1))=0,"",(Weights!$C$8*IF(AW72="",0,AW72)+Weights!$C$9*IF(BC72="",0,BC72)+Weights!$C$10*IF(BF72="",0,BF72))/(Weights!$C$8*IF(AW72="",0,1)+Weights!$C$9*IF(BC72="",0,1)+Weights!$C$10*IF(BF72="",0,1)))</x:f>
      </x:c>
      <x:c r="BS72" s="10">
        <x:f>IF(Y72="","",Y72)</x:f>
      </x:c>
      <x:c r="BT72" s="10">
        <x:f>IF(AS72="","",AS72)</x:f>
      </x:c>
      <x:c r="BU72" s="10">
        <x:f>IF(AJ72&lt;&gt;"",(0.6*AJ72+0.4*AU72),IF((Weights!$C$11*IF(AU72="",0,1)+Weights!$C$12*IF(BM72="",0,1))=0,"",(Weights!$C$11*IF(AU72="",0,AU72)+Weights!$C$12*IF(BM72="",0,BM72))/(Weights!$C$11*IF(AU72="",0,1)+Weights!$C$12*IF(BM72="",0,1))))</x:f>
      </x:c>
      <x:c r="BV72" s="10">
        <x:f>IF(CG72="",0,CG72)</x:f>
      </x:c>
      <x:c r="BW72" s="10">
        <x:f>IF(AP72="","",AP72)</x:f>
      </x:c>
      <x:c r="BX72" s="10">
        <x:f>IF(AO72="","",AO72)</x:f>
      </x:c>
      <x:c r="BY72" s="10">
        <x:f>IF(AL72="","",AL72)</x:f>
      </x:c>
      <x:c r="BZ72" s="10">
        <x:f>IF(AM72="","",AM72)</x:f>
      </x:c>
      <x:c r="CA72" s="10">
        <x:f>IF(AK72&lt;&gt;"",AK72,AW72)</x:f>
      </x:c>
      <x:c r="CB72" s="10">
        <x:f>IF((Weights!$C$13*IF(BP72="",0,1)+Weights!$C$14*IF(BR72="",0,1)+Weights!$C$15*IF(BQ72="",0,1)+Weights!$C$16*IF(BS72="",0,1)+Weights!$C$17*IF(BU72="",0,1)+Weights!$C$18*IF(BT72="",0,1)+Weights!$C$19*IF(BW72="",0,1)+Weights!$C$20*IF(BZ72="",0,1)+Weights!$C$21*IF(BO72="",0,1)+Weights!$C$22)=0,"",(Weights!$C$13*IF(BP72="",0,BP72)+Weights!$C$14*IF(BR72="",0,BR72)+Weights!$C$15*IF(BQ72="",0,BQ72)+Weights!$C$16*IF(BS72="",0,BS72)+Weights!$C$17*IF(BU72="",0,BU72)+Weights!$C$18*IF(BT72="",0,BT72)+Weights!$C$19*IF(BW72="",0,BW72)+Weights!$C$20*IF(BZ72="",0,BZ72)+Weights!$C$21*IF(BO72="",0,BO72)+Weights!$C$22*BV72)/(Weights!$C$13*IF(BP72="",0,1)+Weights!$C$14*IF(BR72="",0,1)+Weights!$C$15*IF(BQ72="",0,1)+Weights!$C$16*IF(BS72="",0,1)+Weights!$C$17*IF(BU72="",0,1)+Weights!$C$18*IF(BT72="",0,1)+Weights!$C$19*IF(BW72="",0,1)+Weights!$C$20*IF(BZ72="",0,1)+Weights!$C$21*IF(BO72="",0,1)+Weights!$C$22))</x:f>
      </x:c>
      <x:c r="CC72" s="10">
        <x:f>IF((Weights!$C$23*IF(BQ72="",0,1)+Weights!$C$24*IF(BN72="",0,1)+Weights!$C$25*IF(BS72="",0,1)+Weights!$C$26*IF(BY72="",0,1)+Weights!$C$27*IF(BX72="",0,1)+Weights!$C$28*IF(BT72="",0,1)+Weights!$C$29*IF(CA72="",0,1)+Weights!$C$30+Weights!$C$31*IF(BU72="",0,1))=0,"",(Weights!$C$23*IF(BQ72="",0,BQ72)+Weights!$C$24*IF(BN72="",0,BN72)+Weights!$C$25*IF(BS72="",0,BS72)+Weights!$C$26*IF(BY72="",0,BY72)+Weights!$C$27*IF(BX72="",0,BX72)+Weights!$C$28*IF(BT72="",0,BT72)+Weights!$C$29*IF(CA72="",0,CA72)+Weights!$C$30*BV72+Weights!$C$31*IF(BU72="",0,BU72))/(Weights!$C$23*IF(BQ72="",0,1)+Weights!$C$24*IF(BN72="",0,1)+Weights!$C$25*IF(BS72="",0,1)+Weights!$C$26*IF(BY72="",0,1)+Weights!$C$27*IF(BX72="",0,1)+Weights!$C$28*IF(BT72="",0,1)+Weights!$C$29*IF(CA72="",0,1)+Weights!$C$30+Weights!$C$31*IF(BU72="",0,1)))</x:f>
      </x:c>
      <x:c r="CD72" s="10">
        <x:f>IF(AND(CB72="",CC72=""),"",IF(CB72="",CC72,IF(CC72="",CB72,AVERAGE(CB72,CC72))))</x:f>
      </x:c>
      <x:c r="CE72" s="7">
        <x:f>ROUND(100*((IF(BP72&lt;&gt;"",1,0)+IF(BQ72&lt;&gt;"",1,0)+IF(BR72&lt;&gt;"",1,0)+IF(BS72&lt;&gt;"",1,0)+IF(BU72&lt;&gt;"",1,0)+IF(BT72&lt;&gt;"",1,0)+IF(BN72&lt;&gt;"",1,0)+IF(AW72&lt;&gt;"",1,0))/8),0)</x:f>
      </x:c>
      <x:c r="CF72">
        <x:f>IF(V72="","",LOG10(V72+1))</x:f>
      </x:c>
      <x:c r="CG72">
        <x:f>IF(CF72="","",IF(MAX($CF$2:$CF$252)-MIN($CF$2:$CF$252)=0,"",(CF72-MIN($CF$2:$CF$252))/(MAX($CF$2:$CF$252)-MIN($CF$2:$CF$252))*100))</x:f>
      </x:c>
    </x:row>
    <x:row r="73">
      <x:c r="A73" t="inlineStr">
        <x:is>
          <x:t xml:space="preserve">IMN</x:t>
        </x:is>
      </x:c>
      <x:c r="B73" t="inlineStr">
        <x:is>
          <x:t xml:space="preserve">Isle of Man</x:t>
        </x:is>
      </x:c>
      <x:c r="C73" t="inlineStr">
        <x:is>
          <x:t xml:space="preserve">Europe &amp; Central Asia</x:t>
        </x:is>
      </x:c>
      <x:c r="D73" t="inlineStr">
        <x:is>
          <x:t xml:space="preserve">High income</x:t>
        </x:is>
      </x:c>
      <x:c r="F73" t="n">
        <x:v>2024</x:v>
      </x:c>
      <x:c r="G73" t="n">
        <x:v>84160</x:v>
      </x:c>
      <x:c r="N73" s="8" t="n"/>
      <x:c r="O73" s="9" t="n"/>
      <x:c r="P73" s="8" t="n"/>
      <x:c r="Q73" t="n">
        <x:v>2022</x:v>
      </x:c>
      <x:c r="R73" s="8" t="n">
        <x:v>7431257410.92713</x:v>
      </x:c>
      <x:c r="S73" t="n">
        <x:v>0</x:v>
      </x:c>
      <x:c r="T73" t="n">
        <x:v>0</x:v>
      </x:c>
      <x:c r="U73" t="inlineStr">
        <x:is>
          <x:t xml:space="preserve">No</x:t>
        </x:is>
      </x:c>
      <x:c r="W73" t="inlineStr">
        <x:is>
          <x:t xml:space="preserve">No</x:t>
        </x:is>
      </x:c>
      <x:c r="AB73" s="8" t="n"/>
      <x:c r="AR73">
        <x:f>IF(G73="","",LOG10(G73+1))</x:f>
      </x:c>
      <x:c r="AS73" s="10">
        <x:f>IF(AR73="","",IF(MAX($AR$2:$AR$252)-MIN($AR$2:$AR$252)=0,"",(AR73-MIN($AR$2:$AR$252))/(MAX($AR$2:$AR$252)-MIN($AR$2:$AR$252))*100))</x:f>
      </x:c>
      <x:c r="AT73">
        <x:f>IF(R73="","",LOG10(R73+1))</x:f>
      </x:c>
      <x:c r="AU73" s="10">
        <x:f>IF(AT73="","",IF(MAX($AT$2:$AT$252)-MIN($AT$2:$AT$252)=0,"",(AT73-MIN($AT$2:$AT$252))/(MAX($AT$2:$AT$252)-MIN($AT$2:$AT$252))*100))</x:f>
      </x:c>
      <x:c r="AV73">
        <x:f>IF(N73="","",LOG10(N73+1))</x:f>
      </x:c>
      <x:c r="AW73" s="10">
        <x:f>IF(AV73="","",IF(MAX($AV$2:$AV$252)-MIN($AV$2:$AV$252)=0,"",(AV73-MIN($AV$2:$AV$252))/(MAX($AV$2:$AV$252)-MIN($AV$2:$AV$252))*100))</x:f>
      </x:c>
      <x:c r="AX73">
        <x:f>IF(I73="","",LOG10(I73+1))</x:f>
      </x:c>
      <x:c r="AY73" s="10">
        <x:f>IF(AX73="","",IF(MAX($AX$2:$AX$252)-MIN($AX$2:$AX$252)=0,"",(AX73-MIN($AX$2:$AX$252))/(MAX($AX$2:$AX$252)-MIN($AX$2:$AX$252))*100))</x:f>
      </x:c>
      <x:c r="AZ73">
        <x:f>IF(J73="","",LOG10(J73+1))</x:f>
      </x:c>
      <x:c r="BA73" s="10">
        <x:f>IF(AZ73="","",IF(MAX($AZ$2:$AZ$252)-MIN($AZ$2:$AZ$252)=0,"",(AZ73-MIN($AZ$2:$AZ$252))/(MAX($AZ$2:$AZ$252)-MIN($AZ$2:$AZ$252))*100))</x:f>
      </x:c>
      <x:c r="BB73">
        <x:f>IF(K73="","",LOG10(K73+1))</x:f>
      </x:c>
      <x:c r="BC73" s="10">
        <x:f>IF(BB73="","",IF(MAX($BB$2:$BB$252)-MIN($BB$2:$BB$252)=0,"",(BB73-MIN($BB$2:$BB$252))/(MAX($BB$2:$BB$252)-MIN($BB$2:$BB$252))*100))</x:f>
      </x:c>
      <x:c r="BD73">
        <x:f>IF(L73="","",LOG10(L73+1))</x:f>
      </x:c>
      <x:c r="BE73" s="10">
        <x:f>IF(BD73="","",IF(MAX($BD$2:$BD$252)-MIN($BD$2:$BD$252)=0,"",(BD73-MIN($BD$2:$BD$252))/(MAX($BD$2:$BD$252)-MIN($BD$2:$BD$252))*100))</x:f>
      </x:c>
      <x:c r="BF73" s="10">
        <x:f>IF(P73="","",IF(MAX($P$2:$P$252)-MIN($P$2:$P$252)=0,"",(P73-MIN($P$2:$P$252))/(MAX($P$2:$P$252)-MIN($P$2:$P$252))*100))</x:f>
      </x:c>
      <x:c r="BG73">
        <x:f>IF(AF73="","",LOG10(AF73+1))</x:f>
      </x:c>
      <x:c r="BH73" s="10">
        <x:f>IF(BG73="","",IF(MAX($BG$2:$BG$252)-MIN($BG$2:$BG$252)=0,"",(BG73-MIN($BG$2:$BG$252))/(MAX($BG$2:$BG$252)-MIN($BG$2:$BG$252))*100))</x:f>
      </x:c>
      <x:c r="BI73">
        <x:f>IF(AC73="","",LOG10(AC73+1))</x:f>
      </x:c>
      <x:c r="BJ73" s="10">
        <x:f>IF(BI73="","",IF(MAX($BI$2:$BI$252)-MIN($BI$2:$BI$252)=0,"",(BI73-MIN($BI$2:$BI$252))/(MAX($BI$2:$BI$252)-MIN($BI$2:$BI$252))*100))</x:f>
      </x:c>
      <x:c r="BK73">
        <x:f>IF(AD73="","",(AD73*2)+(AE73*1))</x:f>
      </x:c>
      <x:c r="BL73" s="10">
        <x:f>IF(BK73="","",IF(MAX($BK$2:$BK$252)-MIN($BK$2:$BK$252)=0,"",(BK73-MIN($BK$2:$BK$252))/(MAX($BK$2:$BK$252)-MIN($BK$2:$BK$252))*100))</x:f>
      </x:c>
      <x:c r="BM73" s="10">
        <x:f>IF(AB73="","",IF(MAX($AB$2:$AB$252)-MIN($AB$2:$AB$252)=0,"",(AB73-MIN($AB$2:$AB$252))/(MAX($AB$2:$AB$252)-MIN($AB$2:$AB$252))*100))</x:f>
      </x:c>
      <x:c r="BN73" s="10">
        <x:f>IF(X73="","",X73)</x:f>
      </x:c>
      <x:c r="BO73" s="10">
        <x:f>IF(X73="","",100-X73)</x:f>
      </x:c>
      <x:c r="BP73" s="10">
        <x:f>IF((Weights!$C$2*IF(BH73="",0,1)+Weights!$C$3*IF(BJ73="",0,1)+Weights!$C$4*IF(BL73="",0,1))=0,"",(Weights!$C$2*IF(BH73="",0,BH73)+Weights!$C$3*IF(BJ73="",0,BJ73)+Weights!$C$4*IF(BL73="",0,BL73))/(Weights!$C$2*IF(BH73="",0,1)+Weights!$C$3*IF(BJ73="",0,1)+Weights!$C$4*IF(BL73="",0,1)))</x:f>
      </x:c>
      <x:c r="BQ73" s="10">
        <x:f>IF((Weights!$C$5*IF(BA73="",0,1)+Weights!$C$6*IF(AW73="",0,1)+Weights!$C$7*IF(AU73="",0,1))=0,"",(Weights!$C$5*IF(BA73="",0,BA73)+Weights!$C$6*IF(AW73="",0,AW73)+Weights!$C$7*IF(AU73="",0,AU73))/(Weights!$C$5*IF(BA73="",0,1)+Weights!$C$6*IF(AW73="",0,1)+Weights!$C$7*IF(AU73="",0,1)))</x:f>
      </x:c>
      <x:c r="BR73" s="10">
        <x:f>IF((Weights!$C$8*IF(AW73="",0,1)+Weights!$C$9*IF(BC73="",0,1)+Weights!$C$10*IF(BF73="",0,1))=0,"",(Weights!$C$8*IF(AW73="",0,AW73)+Weights!$C$9*IF(BC73="",0,BC73)+Weights!$C$10*IF(BF73="",0,BF73))/(Weights!$C$8*IF(AW73="",0,1)+Weights!$C$9*IF(BC73="",0,1)+Weights!$C$10*IF(BF73="",0,1)))</x:f>
      </x:c>
      <x:c r="BS73" s="10">
        <x:f>IF(Y73="","",Y73)</x:f>
      </x:c>
      <x:c r="BT73" s="10">
        <x:f>IF(AS73="","",AS73)</x:f>
      </x:c>
      <x:c r="BU73" s="10">
        <x:f>IF(AJ73&lt;&gt;"",(0.6*AJ73+0.4*AU73),IF((Weights!$C$11*IF(AU73="",0,1)+Weights!$C$12*IF(BM73="",0,1))=0,"",(Weights!$C$11*IF(AU73="",0,AU73)+Weights!$C$12*IF(BM73="",0,BM73))/(Weights!$C$11*IF(AU73="",0,1)+Weights!$C$12*IF(BM73="",0,1))))</x:f>
      </x:c>
      <x:c r="BV73" s="10">
        <x:f>IF(CG73="",0,CG73)</x:f>
      </x:c>
      <x:c r="BW73" s="10">
        <x:f>IF(AP73="","",AP73)</x:f>
      </x:c>
      <x:c r="BX73" s="10">
        <x:f>IF(AO73="","",AO73)</x:f>
      </x:c>
      <x:c r="BY73" s="10">
        <x:f>IF(AL73="","",AL73)</x:f>
      </x:c>
      <x:c r="BZ73" s="10">
        <x:f>IF(AM73="","",AM73)</x:f>
      </x:c>
      <x:c r="CA73" s="10">
        <x:f>IF(AK73&lt;&gt;"",AK73,AW73)</x:f>
      </x:c>
      <x:c r="CB73" s="10">
        <x:f>IF((Weights!$C$13*IF(BP73="",0,1)+Weights!$C$14*IF(BR73="",0,1)+Weights!$C$15*IF(BQ73="",0,1)+Weights!$C$16*IF(BS73="",0,1)+Weights!$C$17*IF(BU73="",0,1)+Weights!$C$18*IF(BT73="",0,1)+Weights!$C$19*IF(BW73="",0,1)+Weights!$C$20*IF(BZ73="",0,1)+Weights!$C$21*IF(BO73="",0,1)+Weights!$C$22)=0,"",(Weights!$C$13*IF(BP73="",0,BP73)+Weights!$C$14*IF(BR73="",0,BR73)+Weights!$C$15*IF(BQ73="",0,BQ73)+Weights!$C$16*IF(BS73="",0,BS73)+Weights!$C$17*IF(BU73="",0,BU73)+Weights!$C$18*IF(BT73="",0,BT73)+Weights!$C$19*IF(BW73="",0,BW73)+Weights!$C$20*IF(BZ73="",0,BZ73)+Weights!$C$21*IF(BO73="",0,BO73)+Weights!$C$22*BV73)/(Weights!$C$13*IF(BP73="",0,1)+Weights!$C$14*IF(BR73="",0,1)+Weights!$C$15*IF(BQ73="",0,1)+Weights!$C$16*IF(BS73="",0,1)+Weights!$C$17*IF(BU73="",0,1)+Weights!$C$18*IF(BT73="",0,1)+Weights!$C$19*IF(BW73="",0,1)+Weights!$C$20*IF(BZ73="",0,1)+Weights!$C$21*IF(BO73="",0,1)+Weights!$C$22))</x:f>
      </x:c>
      <x:c r="CC73" s="10">
        <x:f>IF((Weights!$C$23*IF(BQ73="",0,1)+Weights!$C$24*IF(BN73="",0,1)+Weights!$C$25*IF(BS73="",0,1)+Weights!$C$26*IF(BY73="",0,1)+Weights!$C$27*IF(BX73="",0,1)+Weights!$C$28*IF(BT73="",0,1)+Weights!$C$29*IF(CA73="",0,1)+Weights!$C$30+Weights!$C$31*IF(BU73="",0,1))=0,"",(Weights!$C$23*IF(BQ73="",0,BQ73)+Weights!$C$24*IF(BN73="",0,BN73)+Weights!$C$25*IF(BS73="",0,BS73)+Weights!$C$26*IF(BY73="",0,BY73)+Weights!$C$27*IF(BX73="",0,BX73)+Weights!$C$28*IF(BT73="",0,BT73)+Weights!$C$29*IF(CA73="",0,CA73)+Weights!$C$30*BV73+Weights!$C$31*IF(BU73="",0,BU73))/(Weights!$C$23*IF(BQ73="",0,1)+Weights!$C$24*IF(BN73="",0,1)+Weights!$C$25*IF(BS73="",0,1)+Weights!$C$26*IF(BY73="",0,1)+Weights!$C$27*IF(BX73="",0,1)+Weights!$C$28*IF(BT73="",0,1)+Weights!$C$29*IF(CA73="",0,1)+Weights!$C$30+Weights!$C$31*IF(BU73="",0,1)))</x:f>
      </x:c>
      <x:c r="CD73" s="10">
        <x:f>IF(AND(CB73="",CC73=""),"",IF(CB73="",CC73,IF(CC73="",CB73,AVERAGE(CB73,CC73))))</x:f>
      </x:c>
      <x:c r="CE73" s="7">
        <x:f>ROUND(100*((IF(BP73&lt;&gt;"",1,0)+IF(BQ73&lt;&gt;"",1,0)+IF(BR73&lt;&gt;"",1,0)+IF(BS73&lt;&gt;"",1,0)+IF(BU73&lt;&gt;"",1,0)+IF(BT73&lt;&gt;"",1,0)+IF(BN73&lt;&gt;"",1,0)+IF(AW73&lt;&gt;"",1,0))/8),0)</x:f>
      </x:c>
      <x:c r="CF73">
        <x:f>IF(V73="","",LOG10(V73+1))</x:f>
      </x:c>
      <x:c r="CG73">
        <x:f>IF(CF73="","",IF(MAX($CF$2:$CF$252)-MIN($CF$2:$CF$252)=0,"",(CF73-MIN($CF$2:$CF$252))/(MAX($CF$2:$CF$252)-MIN($CF$2:$CF$252))*100))</x:f>
      </x:c>
    </x:row>
    <x:row r="74">
      <x:c r="A74" t="inlineStr">
        <x:is>
          <x:t xml:space="preserve">ITA</x:t>
        </x:is>
      </x:c>
      <x:c r="B74" t="inlineStr">
        <x:is>
          <x:t xml:space="preserve">Italy</x:t>
        </x:is>
      </x:c>
      <x:c r="C74" t="inlineStr">
        <x:is>
          <x:t xml:space="preserve">Europe &amp; Central Asia</x:t>
        </x:is>
      </x:c>
      <x:c r="D74" t="inlineStr">
        <x:is>
          <x:t xml:space="preserve">High income</x:t>
        </x:is>
      </x:c>
      <x:c r="E74" t="inlineStr">
        <x:is>
          <x:t xml:space="preserve">Europe</x:t>
        </x:is>
      </x:c>
      <x:c r="F74" t="n">
        <x:v>2024</x:v>
      </x:c>
      <x:c r="G74" t="n">
        <x:v>58952704</x:v>
      </x:c>
      <x:c r="H74" t="n">
        <x:v>2020</x:v>
      </x:c>
      <x:c r="I74" t="n">
        <x:v>338000</x:v>
      </x:c>
      <x:c r="J74" t="n">
        <x:v>219700</x:v>
      </x:c>
      <x:c r="K74" t="n">
        <x:v>67600</x:v>
      </x:c>
      <x:c r="L74" t="n">
        <x:v>40560</x:v>
      </x:c>
      <x:c r="M74" t="n">
        <x:v>2024</x:v>
      </x:c>
      <x:c r="N74" s="8" t="n">
        <x:v>37964578316.9022</x:v>
      </x:c>
      <x:c r="O74" s="9" t="n">
        <x:v>1.60924561245844</x:v>
      </x:c>
      <x:c r="P74" s="8" t="n">
        <x:v>112321.237623971</x:v>
      </x:c>
      <x:c r="Q74" t="n">
        <x:v>2024</x:v>
      </x:c>
      <x:c r="R74" s="8" t="n">
        <x:v>2380825077243.59</x:v>
      </x:c>
      <x:c r="S74" t="n">
        <x:v>22</x:v>
      </x:c>
      <x:c r="T74" t="n">
        <x:v>13</x:v>
      </x:c>
      <x:c r="U74" t="inlineStr">
        <x:is>
          <x:t xml:space="preserve">No</x:t>
        </x:is>
      </x:c>
      <x:c r="W74" t="inlineStr">
        <x:is>
          <x:t xml:space="preserve">No</x:t>
        </x:is>
      </x:c>
      <x:c r="X74" t="n">
        <x:v>54.38279481106275</x:v>
      </x:c>
      <x:c r="Y74" t="n">
        <x:v>79.31929717901893</x:v>
      </x:c>
      <x:c r="Z74" t="n">
        <x:v>315104.8511976054</x:v>
      </x:c>
      <x:c r="AA74" t="n">
        <x:v>197.1972242376959</x:v>
      </x:c>
      <x:c r="AB74" s="8" t="n">
        <x:v>35743.13748658184</x:v>
      </x:c>
      <x:c r="AC74" t="n">
        <x:v>309</x:v>
      </x:c>
      <x:c r="AD74" t="n">
        <x:v>2</x:v>
      </x:c>
      <x:c r="AE74" t="n">
        <x:v>0</x:v>
      </x:c>
      <x:c r="AF74" t="n">
        <x:v>80.7</x:v>
      </x:c>
      <x:c r="AG74" t="n">
        <x:v>57</x:v>
      </x:c>
      <x:c r="AH74" t="n">
        <x:v>11</x:v>
      </x:c>
      <x:c r="AR74">
        <x:f>IF(G74="","",LOG10(G74+1))</x:f>
      </x:c>
      <x:c r="AS74" s="10">
        <x:f>IF(AR74="","",IF(MAX($AR$2:$AR$252)-MIN($AR$2:$AR$252)=0,"",(AR74-MIN($AR$2:$AR$252))/(MAX($AR$2:$AR$252)-MIN($AR$2:$AR$252))*100))</x:f>
      </x:c>
      <x:c r="AT74">
        <x:f>IF(R74="","",LOG10(R74+1))</x:f>
      </x:c>
      <x:c r="AU74" s="10">
        <x:f>IF(AT74="","",IF(MAX($AT$2:$AT$252)-MIN($AT$2:$AT$252)=0,"",(AT74-MIN($AT$2:$AT$252))/(MAX($AT$2:$AT$252)-MIN($AT$2:$AT$252))*100))</x:f>
      </x:c>
      <x:c r="AV74">
        <x:f>IF(N74="","",LOG10(N74+1))</x:f>
      </x:c>
      <x:c r="AW74" s="10">
        <x:f>IF(AV74="","",IF(MAX($AV$2:$AV$252)-MIN($AV$2:$AV$252)=0,"",(AV74-MIN($AV$2:$AV$252))/(MAX($AV$2:$AV$252)-MIN($AV$2:$AV$252))*100))</x:f>
      </x:c>
      <x:c r="AX74">
        <x:f>IF(I74="","",LOG10(I74+1))</x:f>
      </x:c>
      <x:c r="AY74" s="10">
        <x:f>IF(AX74="","",IF(MAX($AX$2:$AX$252)-MIN($AX$2:$AX$252)=0,"",(AX74-MIN($AX$2:$AX$252))/(MAX($AX$2:$AX$252)-MIN($AX$2:$AX$252))*100))</x:f>
      </x:c>
      <x:c r="AZ74">
        <x:f>IF(J74="","",LOG10(J74+1))</x:f>
      </x:c>
      <x:c r="BA74" s="10">
        <x:f>IF(AZ74="","",IF(MAX($AZ$2:$AZ$252)-MIN($AZ$2:$AZ$252)=0,"",(AZ74-MIN($AZ$2:$AZ$252))/(MAX($AZ$2:$AZ$252)-MIN($AZ$2:$AZ$252))*100))</x:f>
      </x:c>
      <x:c r="BB74">
        <x:f>IF(K74="","",LOG10(K74+1))</x:f>
      </x:c>
      <x:c r="BC74" s="10">
        <x:f>IF(BB74="","",IF(MAX($BB$2:$BB$252)-MIN($BB$2:$BB$252)=0,"",(BB74-MIN($BB$2:$BB$252))/(MAX($BB$2:$BB$252)-MIN($BB$2:$BB$252))*100))</x:f>
      </x:c>
      <x:c r="BD74">
        <x:f>IF(L74="","",LOG10(L74+1))</x:f>
      </x:c>
      <x:c r="BE74" s="10">
        <x:f>IF(BD74="","",IF(MAX($BD$2:$BD$252)-MIN($BD$2:$BD$252)=0,"",(BD74-MIN($BD$2:$BD$252))/(MAX($BD$2:$BD$252)-MIN($BD$2:$BD$252))*100))</x:f>
      </x:c>
      <x:c r="BF74" s="10">
        <x:f>IF(P74="","",IF(MAX($P$2:$P$252)-MIN($P$2:$P$252)=0,"",(P74-MIN($P$2:$P$252))/(MAX($P$2:$P$252)-MIN($P$2:$P$252))*100))</x:f>
      </x:c>
      <x:c r="BG74">
        <x:f>IF(AF74="","",LOG10(AF74+1))</x:f>
      </x:c>
      <x:c r="BH74" s="10">
        <x:f>IF(BG74="","",IF(MAX($BG$2:$BG$252)-MIN($BG$2:$BG$252)=0,"",(BG74-MIN($BG$2:$BG$252))/(MAX($BG$2:$BG$252)-MIN($BG$2:$BG$252))*100))</x:f>
      </x:c>
      <x:c r="BI74">
        <x:f>IF(AC74="","",LOG10(AC74+1))</x:f>
      </x:c>
      <x:c r="BJ74" s="10">
        <x:f>IF(BI74="","",IF(MAX($BI$2:$BI$252)-MIN($BI$2:$BI$252)=0,"",(BI74-MIN($BI$2:$BI$252))/(MAX($BI$2:$BI$252)-MIN($BI$2:$BI$252))*100))</x:f>
      </x:c>
      <x:c r="BK74">
        <x:f>IF(AD74="","",(AD74*2)+(AE74*1))</x:f>
      </x:c>
      <x:c r="BL74" s="10">
        <x:f>IF(BK74="","",IF(MAX($BK$2:$BK$252)-MIN($BK$2:$BK$252)=0,"",(BK74-MIN($BK$2:$BK$252))/(MAX($BK$2:$BK$252)-MIN($BK$2:$BK$252))*100))</x:f>
      </x:c>
      <x:c r="BM74" s="10">
        <x:f>IF(AB74="","",IF(MAX($AB$2:$AB$252)-MIN($AB$2:$AB$252)=0,"",(AB74-MIN($AB$2:$AB$252))/(MAX($AB$2:$AB$252)-MIN($AB$2:$AB$252))*100))</x:f>
      </x:c>
      <x:c r="BN74" s="10">
        <x:f>IF(X74="","",X74)</x:f>
      </x:c>
      <x:c r="BO74" s="10">
        <x:f>IF(X74="","",100-X74)</x:f>
      </x:c>
      <x:c r="BP74" s="10">
        <x:f>IF((Weights!$C$2*IF(BH74="",0,1)+Weights!$C$3*IF(BJ74="",0,1)+Weights!$C$4*IF(BL74="",0,1))=0,"",(Weights!$C$2*IF(BH74="",0,BH74)+Weights!$C$3*IF(BJ74="",0,BJ74)+Weights!$C$4*IF(BL74="",0,BL74))/(Weights!$C$2*IF(BH74="",0,1)+Weights!$C$3*IF(BJ74="",0,1)+Weights!$C$4*IF(BL74="",0,1)))</x:f>
      </x:c>
      <x:c r="BQ74" s="10">
        <x:f>IF((Weights!$C$5*IF(BA74="",0,1)+Weights!$C$6*IF(AW74="",0,1)+Weights!$C$7*IF(AU74="",0,1))=0,"",(Weights!$C$5*IF(BA74="",0,BA74)+Weights!$C$6*IF(AW74="",0,AW74)+Weights!$C$7*IF(AU74="",0,AU74))/(Weights!$C$5*IF(BA74="",0,1)+Weights!$C$6*IF(AW74="",0,1)+Weights!$C$7*IF(AU74="",0,1)))</x:f>
      </x:c>
      <x:c r="BR74" s="10">
        <x:f>IF((Weights!$C$8*IF(AW74="",0,1)+Weights!$C$9*IF(BC74="",0,1)+Weights!$C$10*IF(BF74="",0,1))=0,"",(Weights!$C$8*IF(AW74="",0,AW74)+Weights!$C$9*IF(BC74="",0,BC74)+Weights!$C$10*IF(BF74="",0,BF74))/(Weights!$C$8*IF(AW74="",0,1)+Weights!$C$9*IF(BC74="",0,1)+Weights!$C$10*IF(BF74="",0,1)))</x:f>
      </x:c>
      <x:c r="BS74" s="10">
        <x:f>IF(Y74="","",Y74)</x:f>
      </x:c>
      <x:c r="BT74" s="10">
        <x:f>IF(AS74="","",AS74)</x:f>
      </x:c>
      <x:c r="BU74" s="10">
        <x:f>IF(AJ74&lt;&gt;"",(0.6*AJ74+0.4*AU74),IF((Weights!$C$11*IF(AU74="",0,1)+Weights!$C$12*IF(BM74="",0,1))=0,"",(Weights!$C$11*IF(AU74="",0,AU74)+Weights!$C$12*IF(BM74="",0,BM74))/(Weights!$C$11*IF(AU74="",0,1)+Weights!$C$12*IF(BM74="",0,1))))</x:f>
      </x:c>
      <x:c r="BV74" s="10">
        <x:f>IF(CG74="",0,CG74)</x:f>
      </x:c>
      <x:c r="BW74" s="10">
        <x:f>IF(AP74="","",AP74)</x:f>
      </x:c>
      <x:c r="BX74" s="10">
        <x:f>IF(AO74="","",AO74)</x:f>
      </x:c>
      <x:c r="BY74" s="10">
        <x:f>IF(AL74="","",AL74)</x:f>
      </x:c>
      <x:c r="BZ74" s="10">
        <x:f>IF(AM74="","",AM74)</x:f>
      </x:c>
      <x:c r="CA74" s="10">
        <x:f>IF(AK74&lt;&gt;"",AK74,AW74)</x:f>
      </x:c>
      <x:c r="CB74" s="10">
        <x:f>IF((Weights!$C$13*IF(BP74="",0,1)+Weights!$C$14*IF(BR74="",0,1)+Weights!$C$15*IF(BQ74="",0,1)+Weights!$C$16*IF(BS74="",0,1)+Weights!$C$17*IF(BU74="",0,1)+Weights!$C$18*IF(BT74="",0,1)+Weights!$C$19*IF(BW74="",0,1)+Weights!$C$20*IF(BZ74="",0,1)+Weights!$C$21*IF(BO74="",0,1)+Weights!$C$22)=0,"",(Weights!$C$13*IF(BP74="",0,BP74)+Weights!$C$14*IF(BR74="",0,BR74)+Weights!$C$15*IF(BQ74="",0,BQ74)+Weights!$C$16*IF(BS74="",0,BS74)+Weights!$C$17*IF(BU74="",0,BU74)+Weights!$C$18*IF(BT74="",0,BT74)+Weights!$C$19*IF(BW74="",0,BW74)+Weights!$C$20*IF(BZ74="",0,BZ74)+Weights!$C$21*IF(BO74="",0,BO74)+Weights!$C$22*BV74)/(Weights!$C$13*IF(BP74="",0,1)+Weights!$C$14*IF(BR74="",0,1)+Weights!$C$15*IF(BQ74="",0,1)+Weights!$C$16*IF(BS74="",0,1)+Weights!$C$17*IF(BU74="",0,1)+Weights!$C$18*IF(BT74="",0,1)+Weights!$C$19*IF(BW74="",0,1)+Weights!$C$20*IF(BZ74="",0,1)+Weights!$C$21*IF(BO74="",0,1)+Weights!$C$22))</x:f>
      </x:c>
      <x:c r="CC74" s="10">
        <x:f>IF((Weights!$C$23*IF(BQ74="",0,1)+Weights!$C$24*IF(BN74="",0,1)+Weights!$C$25*IF(BS74="",0,1)+Weights!$C$26*IF(BY74="",0,1)+Weights!$C$27*IF(BX74="",0,1)+Weights!$C$28*IF(BT74="",0,1)+Weights!$C$29*IF(CA74="",0,1)+Weights!$C$30+Weights!$C$31*IF(BU74="",0,1))=0,"",(Weights!$C$23*IF(BQ74="",0,BQ74)+Weights!$C$24*IF(BN74="",0,BN74)+Weights!$C$25*IF(BS74="",0,BS74)+Weights!$C$26*IF(BY74="",0,BY74)+Weights!$C$27*IF(BX74="",0,BX74)+Weights!$C$28*IF(BT74="",0,BT74)+Weights!$C$29*IF(CA74="",0,CA74)+Weights!$C$30*BV74+Weights!$C$31*IF(BU74="",0,BU74))/(Weights!$C$23*IF(BQ74="",0,1)+Weights!$C$24*IF(BN74="",0,1)+Weights!$C$25*IF(BS74="",0,1)+Weights!$C$26*IF(BY74="",0,1)+Weights!$C$27*IF(BX74="",0,1)+Weights!$C$28*IF(BT74="",0,1)+Weights!$C$29*IF(CA74="",0,1)+Weights!$C$30+Weights!$C$31*IF(BU74="",0,1)))</x:f>
      </x:c>
      <x:c r="CD74" s="10">
        <x:f>IF(AND(CB74="",CC74=""),"",IF(CB74="",CC74,IF(CC74="",CB74,AVERAGE(CB74,CC74))))</x:f>
      </x:c>
      <x:c r="CE74" s="7">
        <x:f>ROUND(100*((IF(BP74&lt;&gt;"",1,0)+IF(BQ74&lt;&gt;"",1,0)+IF(BR74&lt;&gt;"",1,0)+IF(BS74&lt;&gt;"",1,0)+IF(BU74&lt;&gt;"",1,0)+IF(BT74&lt;&gt;"",1,0)+IF(BN74&lt;&gt;"",1,0)+IF(AW74&lt;&gt;"",1,0))/8),0)</x:f>
      </x:c>
      <x:c r="CF74">
        <x:f>IF(V74="","",LOG10(V74+1))</x:f>
      </x:c>
      <x:c r="CG74">
        <x:f>IF(CF74="","",IF(MAX($CF$2:$CF$252)-MIN($CF$2:$CF$252)=0,"",(CF74-MIN($CF$2:$CF$252))/(MAX($CF$2:$CF$252)-MIN($CF$2:$CF$252))*100))</x:f>
      </x:c>
    </x:row>
    <x:row r="75">
      <x:c r="A75" t="inlineStr">
        <x:is>
          <x:t xml:space="preserve">JAM</x:t>
        </x:is>
      </x:c>
      <x:c r="B75" t="inlineStr">
        <x:is>
          <x:t xml:space="preserve">Jamaica</x:t>
        </x:is>
      </x:c>
      <x:c r="C75" t="inlineStr">
        <x:is>
          <x:t xml:space="preserve">Latin America &amp; Caribbean</x:t>
        </x:is>
      </x:c>
      <x:c r="D75" t="inlineStr">
        <x:is>
          <x:t xml:space="preserve">Upper middle income</x:t>
        </x:is>
      </x:c>
      <x:c r="E75" t="inlineStr">
        <x:is>
          <x:t xml:space="preserve">North America</x:t>
        </x:is>
      </x:c>
      <x:c r="F75" t="n">
        <x:v>2024</x:v>
      </x:c>
      <x:c r="G75" t="n">
        <x:v>2839175</x:v>
      </x:c>
      <x:c r="H75" t="n">
        <x:v>2020</x:v>
      </x:c>
      <x:c r="I75" t="n">
        <x:v>6000</x:v>
      </x:c>
      <x:c r="J75" t="n">
        <x:v>3900</x:v>
      </x:c>
      <x:c r="K75" t="n">
        <x:v>1200</x:v>
      </x:c>
      <x:c r="L75" t="n">
        <x:v>720</x:v>
      </x:c>
      <x:c r="M75" t="n">
        <x:v>2024</x:v>
      </x:c>
      <x:c r="N75" s="8" t="n">
        <x:v>262511269.974231</x:v>
      </x:c>
      <x:c r="O75" s="9" t="n">
        <x:v>1.27385736005958</x:v>
      </x:c>
      <x:c r="P75" s="8" t="n">
        <x:v>43751.8783290385</x:v>
      </x:c>
      <x:c r="Q75" t="n">
        <x:v>2024</x:v>
      </x:c>
      <x:c r="R75" s="8" t="n">
        <x:v>22014397089.7689</x:v>
      </x:c>
      <x:c r="S75" t="n">
        <x:v>0</x:v>
      </x:c>
      <x:c r="T75" t="n">
        <x:v>0</x:v>
      </x:c>
      <x:c r="U75" t="inlineStr">
        <x:is>
          <x:t xml:space="preserve">No</x:t>
        </x:is>
      </x:c>
      <x:c r="W75" t="inlineStr">
        <x:is>
          <x:t xml:space="preserve">No</x:t>
        </x:is>
      </x:c>
      <x:c r="X75" t="n">
        <x:v>10.13475174091277</x:v>
      </x:c>
      <x:c r="Y75" t="n">
        <x:v>59.49674843568278</x:v>
      </x:c>
      <x:c r="Z75" t="n">
        <x:v>12460.58687090926</x:v>
      </x:c>
      <x:c r="AA75" t="n">
        <x:v>240.0016171775846</x:v>
      </x:c>
      <x:c r="AB75" s="8" t="n">
        <x:v>8490.045847585119</x:v>
      </x:c>
      <x:c r="AR75">
        <x:f>IF(G75="","",LOG10(G75+1))</x:f>
      </x:c>
      <x:c r="AS75" s="10">
        <x:f>IF(AR75="","",IF(MAX($AR$2:$AR$252)-MIN($AR$2:$AR$252)=0,"",(AR75-MIN($AR$2:$AR$252))/(MAX($AR$2:$AR$252)-MIN($AR$2:$AR$252))*100))</x:f>
      </x:c>
      <x:c r="AT75">
        <x:f>IF(R75="","",LOG10(R75+1))</x:f>
      </x:c>
      <x:c r="AU75" s="10">
        <x:f>IF(AT75="","",IF(MAX($AT$2:$AT$252)-MIN($AT$2:$AT$252)=0,"",(AT75-MIN($AT$2:$AT$252))/(MAX($AT$2:$AT$252)-MIN($AT$2:$AT$252))*100))</x:f>
      </x:c>
      <x:c r="AV75">
        <x:f>IF(N75="","",LOG10(N75+1))</x:f>
      </x:c>
      <x:c r="AW75" s="10">
        <x:f>IF(AV75="","",IF(MAX($AV$2:$AV$252)-MIN($AV$2:$AV$252)=0,"",(AV75-MIN($AV$2:$AV$252))/(MAX($AV$2:$AV$252)-MIN($AV$2:$AV$252))*100))</x:f>
      </x:c>
      <x:c r="AX75">
        <x:f>IF(I75="","",LOG10(I75+1))</x:f>
      </x:c>
      <x:c r="AY75" s="10">
        <x:f>IF(AX75="","",IF(MAX($AX$2:$AX$252)-MIN($AX$2:$AX$252)=0,"",(AX75-MIN($AX$2:$AX$252))/(MAX($AX$2:$AX$252)-MIN($AX$2:$AX$252))*100))</x:f>
      </x:c>
      <x:c r="AZ75">
        <x:f>IF(J75="","",LOG10(J75+1))</x:f>
      </x:c>
      <x:c r="BA75" s="10">
        <x:f>IF(AZ75="","",IF(MAX($AZ$2:$AZ$252)-MIN($AZ$2:$AZ$252)=0,"",(AZ75-MIN($AZ$2:$AZ$252))/(MAX($AZ$2:$AZ$252)-MIN($AZ$2:$AZ$252))*100))</x:f>
      </x:c>
      <x:c r="BB75">
        <x:f>IF(K75="","",LOG10(K75+1))</x:f>
      </x:c>
      <x:c r="BC75" s="10">
        <x:f>IF(BB75="","",IF(MAX($BB$2:$BB$252)-MIN($BB$2:$BB$252)=0,"",(BB75-MIN($BB$2:$BB$252))/(MAX($BB$2:$BB$252)-MIN($BB$2:$BB$252))*100))</x:f>
      </x:c>
      <x:c r="BD75">
        <x:f>IF(L75="","",LOG10(L75+1))</x:f>
      </x:c>
      <x:c r="BE75" s="10">
        <x:f>IF(BD75="","",IF(MAX($BD$2:$BD$252)-MIN($BD$2:$BD$252)=0,"",(BD75-MIN($BD$2:$BD$252))/(MAX($BD$2:$BD$252)-MIN($BD$2:$BD$252))*100))</x:f>
      </x:c>
      <x:c r="BF75" s="10">
        <x:f>IF(P75="","",IF(MAX($P$2:$P$252)-MIN($P$2:$P$252)=0,"",(P75-MIN($P$2:$P$252))/(MAX($P$2:$P$252)-MIN($P$2:$P$252))*100))</x:f>
      </x:c>
      <x:c r="BG75">
        <x:f>IF(AF75="","",LOG10(AF75+1))</x:f>
      </x:c>
      <x:c r="BH75" s="10">
        <x:f>IF(BG75="","",IF(MAX($BG$2:$BG$252)-MIN($BG$2:$BG$252)=0,"",(BG75-MIN($BG$2:$BG$252))/(MAX($BG$2:$BG$252)-MIN($BG$2:$BG$252))*100))</x:f>
      </x:c>
      <x:c r="BI75">
        <x:f>IF(AC75="","",LOG10(AC75+1))</x:f>
      </x:c>
      <x:c r="BJ75" s="10">
        <x:f>IF(BI75="","",IF(MAX($BI$2:$BI$252)-MIN($BI$2:$BI$252)=0,"",(BI75-MIN($BI$2:$BI$252))/(MAX($BI$2:$BI$252)-MIN($BI$2:$BI$252))*100))</x:f>
      </x:c>
      <x:c r="BK75">
        <x:f>IF(AD75="","",(AD75*2)+(AE75*1))</x:f>
      </x:c>
      <x:c r="BL75" s="10">
        <x:f>IF(BK75="","",IF(MAX($BK$2:$BK$252)-MIN($BK$2:$BK$252)=0,"",(BK75-MIN($BK$2:$BK$252))/(MAX($BK$2:$BK$252)-MIN($BK$2:$BK$252))*100))</x:f>
      </x:c>
      <x:c r="BM75" s="10">
        <x:f>IF(AB75="","",IF(MAX($AB$2:$AB$252)-MIN($AB$2:$AB$252)=0,"",(AB75-MIN($AB$2:$AB$252))/(MAX($AB$2:$AB$252)-MIN($AB$2:$AB$252))*100))</x:f>
      </x:c>
      <x:c r="BN75" s="10">
        <x:f>IF(X75="","",X75)</x:f>
      </x:c>
      <x:c r="BO75" s="10">
        <x:f>IF(X75="","",100-X75)</x:f>
      </x:c>
      <x:c r="BP75" s="10">
        <x:f>IF((Weights!$C$2*IF(BH75="",0,1)+Weights!$C$3*IF(BJ75="",0,1)+Weights!$C$4*IF(BL75="",0,1))=0,"",(Weights!$C$2*IF(BH75="",0,BH75)+Weights!$C$3*IF(BJ75="",0,BJ75)+Weights!$C$4*IF(BL75="",0,BL75))/(Weights!$C$2*IF(BH75="",0,1)+Weights!$C$3*IF(BJ75="",0,1)+Weights!$C$4*IF(BL75="",0,1)))</x:f>
      </x:c>
      <x:c r="BQ75" s="10">
        <x:f>IF((Weights!$C$5*IF(BA75="",0,1)+Weights!$C$6*IF(AW75="",0,1)+Weights!$C$7*IF(AU75="",0,1))=0,"",(Weights!$C$5*IF(BA75="",0,BA75)+Weights!$C$6*IF(AW75="",0,AW75)+Weights!$C$7*IF(AU75="",0,AU75))/(Weights!$C$5*IF(BA75="",0,1)+Weights!$C$6*IF(AW75="",0,1)+Weights!$C$7*IF(AU75="",0,1)))</x:f>
      </x:c>
      <x:c r="BR75" s="10">
        <x:f>IF((Weights!$C$8*IF(AW75="",0,1)+Weights!$C$9*IF(BC75="",0,1)+Weights!$C$10*IF(BF75="",0,1))=0,"",(Weights!$C$8*IF(AW75="",0,AW75)+Weights!$C$9*IF(BC75="",0,BC75)+Weights!$C$10*IF(BF75="",0,BF75))/(Weights!$C$8*IF(AW75="",0,1)+Weights!$C$9*IF(BC75="",0,1)+Weights!$C$10*IF(BF75="",0,1)))</x:f>
      </x:c>
      <x:c r="BS75" s="10">
        <x:f>IF(Y75="","",Y75)</x:f>
      </x:c>
      <x:c r="BT75" s="10">
        <x:f>IF(AS75="","",AS75)</x:f>
      </x:c>
      <x:c r="BU75" s="10">
        <x:f>IF(AJ75&lt;&gt;"",(0.6*AJ75+0.4*AU75),IF((Weights!$C$11*IF(AU75="",0,1)+Weights!$C$12*IF(BM75="",0,1))=0,"",(Weights!$C$11*IF(AU75="",0,AU75)+Weights!$C$12*IF(BM75="",0,BM75))/(Weights!$C$11*IF(AU75="",0,1)+Weights!$C$12*IF(BM75="",0,1))))</x:f>
      </x:c>
      <x:c r="BV75" s="10">
        <x:f>IF(CG75="",0,CG75)</x:f>
      </x:c>
      <x:c r="BW75" s="10">
        <x:f>IF(AP75="","",AP75)</x:f>
      </x:c>
      <x:c r="BX75" s="10">
        <x:f>IF(AO75="","",AO75)</x:f>
      </x:c>
      <x:c r="BY75" s="10">
        <x:f>IF(AL75="","",AL75)</x:f>
      </x:c>
      <x:c r="BZ75" s="10">
        <x:f>IF(AM75="","",AM75)</x:f>
      </x:c>
      <x:c r="CA75" s="10">
        <x:f>IF(AK75&lt;&gt;"",AK75,AW75)</x:f>
      </x:c>
      <x:c r="CB75" s="10">
        <x:f>IF((Weights!$C$13*IF(BP75="",0,1)+Weights!$C$14*IF(BR75="",0,1)+Weights!$C$15*IF(BQ75="",0,1)+Weights!$C$16*IF(BS75="",0,1)+Weights!$C$17*IF(BU75="",0,1)+Weights!$C$18*IF(BT75="",0,1)+Weights!$C$19*IF(BW75="",0,1)+Weights!$C$20*IF(BZ75="",0,1)+Weights!$C$21*IF(BO75="",0,1)+Weights!$C$22)=0,"",(Weights!$C$13*IF(BP75="",0,BP75)+Weights!$C$14*IF(BR75="",0,BR75)+Weights!$C$15*IF(BQ75="",0,BQ75)+Weights!$C$16*IF(BS75="",0,BS75)+Weights!$C$17*IF(BU75="",0,BU75)+Weights!$C$18*IF(BT75="",0,BT75)+Weights!$C$19*IF(BW75="",0,BW75)+Weights!$C$20*IF(BZ75="",0,BZ75)+Weights!$C$21*IF(BO75="",0,BO75)+Weights!$C$22*BV75)/(Weights!$C$13*IF(BP75="",0,1)+Weights!$C$14*IF(BR75="",0,1)+Weights!$C$15*IF(BQ75="",0,1)+Weights!$C$16*IF(BS75="",0,1)+Weights!$C$17*IF(BU75="",0,1)+Weights!$C$18*IF(BT75="",0,1)+Weights!$C$19*IF(BW75="",0,1)+Weights!$C$20*IF(BZ75="",0,1)+Weights!$C$21*IF(BO75="",0,1)+Weights!$C$22))</x:f>
      </x:c>
      <x:c r="CC75" s="10">
        <x:f>IF((Weights!$C$23*IF(BQ75="",0,1)+Weights!$C$24*IF(BN75="",0,1)+Weights!$C$25*IF(BS75="",0,1)+Weights!$C$26*IF(BY75="",0,1)+Weights!$C$27*IF(BX75="",0,1)+Weights!$C$28*IF(BT75="",0,1)+Weights!$C$29*IF(CA75="",0,1)+Weights!$C$30+Weights!$C$31*IF(BU75="",0,1))=0,"",(Weights!$C$23*IF(BQ75="",0,BQ75)+Weights!$C$24*IF(BN75="",0,BN75)+Weights!$C$25*IF(BS75="",0,BS75)+Weights!$C$26*IF(BY75="",0,BY75)+Weights!$C$27*IF(BX75="",0,BX75)+Weights!$C$28*IF(BT75="",0,BT75)+Weights!$C$29*IF(CA75="",0,CA75)+Weights!$C$30*BV75+Weights!$C$31*IF(BU75="",0,BU75))/(Weights!$C$23*IF(BQ75="",0,1)+Weights!$C$24*IF(BN75="",0,1)+Weights!$C$25*IF(BS75="",0,1)+Weights!$C$26*IF(BY75="",0,1)+Weights!$C$27*IF(BX75="",0,1)+Weights!$C$28*IF(BT75="",0,1)+Weights!$C$29*IF(CA75="",0,1)+Weights!$C$30+Weights!$C$31*IF(BU75="",0,1)))</x:f>
      </x:c>
      <x:c r="CD75" s="10">
        <x:f>IF(AND(CB75="",CC75=""),"",IF(CB75="",CC75,IF(CC75="",CB75,AVERAGE(CB75,CC75))))</x:f>
      </x:c>
      <x:c r="CE75" s="7">
        <x:f>ROUND(100*((IF(BP75&lt;&gt;"",1,0)+IF(BQ75&lt;&gt;"",1,0)+IF(BR75&lt;&gt;"",1,0)+IF(BS75&lt;&gt;"",1,0)+IF(BU75&lt;&gt;"",1,0)+IF(BT75&lt;&gt;"",1,0)+IF(BN75&lt;&gt;"",1,0)+IF(AW75&lt;&gt;"",1,0))/8),0)</x:f>
      </x:c>
      <x:c r="CF75">
        <x:f>IF(V75="","",LOG10(V75+1))</x:f>
      </x:c>
      <x:c r="CG75">
        <x:f>IF(CF75="","",IF(MAX($CF$2:$CF$252)-MIN($CF$2:$CF$252)=0,"",(CF75-MIN($CF$2:$CF$252))/(MAX($CF$2:$CF$252)-MIN($CF$2:$CF$252))*100))</x:f>
      </x:c>
    </x:row>
    <x:row r="76">
      <x:c r="A76" t="inlineStr">
        <x:is>
          <x:t xml:space="preserve">JPN</x:t>
        </x:is>
      </x:c>
      <x:c r="B76" t="inlineStr">
        <x:is>
          <x:t xml:space="preserve">Japan</x:t>
        </x:is>
      </x:c>
      <x:c r="C76" t="inlineStr">
        <x:is>
          <x:t xml:space="preserve">East Asia &amp; Pacific</x:t>
        </x:is>
      </x:c>
      <x:c r="D76" t="inlineStr">
        <x:is>
          <x:t xml:space="preserve">High income</x:t>
        </x:is>
      </x:c>
      <x:c r="E76" t="inlineStr">
        <x:is>
          <x:t xml:space="preserve">Asia</x:t>
        </x:is>
      </x:c>
      <x:c r="F76" t="n">
        <x:v>2024</x:v>
      </x:c>
      <x:c r="G76" t="n">
        <x:v>123975371</x:v>
      </x:c>
      <x:c r="H76" t="n">
        <x:v>2020</x:v>
      </x:c>
      <x:c r="I76" t="n">
        <x:v>261000</x:v>
      </x:c>
      <x:c r="J76" t="n">
        <x:v>169650</x:v>
      </x:c>
      <x:c r="K76" t="n">
        <x:v>52200</x:v>
      </x:c>
      <x:c r="L76" t="n">
        <x:v>31320</x:v>
      </x:c>
      <x:c r="M76" t="n">
        <x:v>2024</x:v>
      </x:c>
      <x:c r="N76" s="8" t="n">
        <x:v>55273904316.7083</x:v>
      </x:c>
      <x:c r="O76" s="9" t="n">
        <x:v>1.37139689580634</x:v>
      </x:c>
      <x:c r="P76" s="8" t="n">
        <x:v>211777.4111751276</x:v>
      </x:c>
      <x:c r="Q76" t="n">
        <x:v>2024</x:v>
      </x:c>
      <x:c r="R76" s="8" t="n">
        <x:v>4027597523550.58</x:v>
      </x:c>
      <x:c r="S76" t="n">
        <x:v>95</x:v>
      </x:c>
      <x:c r="T76" t="n">
        <x:v>2</x:v>
      </x:c>
      <x:c r="U76" t="inlineStr">
        <x:is>
          <x:t xml:space="preserve">No</x:t>
        </x:is>
      </x:c>
      <x:c r="W76" t="inlineStr">
        <x:is>
          <x:t xml:space="preserve">No</x:t>
        </x:is>
      </x:c>
      <x:c r="X76" t="n">
        <x:v>57.90828820477505</x:v>
      </x:c>
      <x:c r="Y76" t="n">
        <x:v>83.47553758636718</x:v>
      </x:c>
      <x:c r="Z76" t="n">
        <x:v>404619.9328536878</x:v>
      </x:c>
      <x:c r="AA76" t="n">
        <x:v>312.5189535477614</x:v>
      </x:c>
      <x:c r="AB76" s="8" t="n">
        <x:v>39003.127509907</x:v>
      </x:c>
      <x:c r="AC76" t="n">
        <x:v>155</x:v>
      </x:c>
      <x:c r="AD76" t="n">
        <x:v>4</x:v>
      </x:c>
      <x:c r="AE76" t="n">
        <x:v>0</x:v>
      </x:c>
      <x:c r="AF76" t="n">
        <x:v>121.3</x:v>
      </x:c>
      <x:c r="AG76" t="n">
        <x:v>107</x:v>
      </x:c>
      <x:c r="AH76" t="n">
        <x:v>6</x:v>
      </x:c>
      <x:c r="AI76" t="n">
        <x:v>38.8</x:v>
      </x:c>
      <x:c r="AJ76" t="n">
        <x:v>25.4</x:v>
      </x:c>
      <x:c r="AK76" t="n">
        <x:v>30.1</x:v>
      </x:c>
      <x:c r="AL76" t="n">
        <x:v>34.3</x:v>
      </x:c>
      <x:c r="AM76" t="n">
        <x:v>11.3</x:v>
      </x:c>
      <x:c r="AN76" t="n">
        <x:v>36.9</x:v>
      </x:c>
      <x:c r="AO76" t="n">
        <x:v>56.5</x:v>
      </x:c>
      <x:c r="AP76" t="n">
        <x:v>85.40000000000001</x:v>
      </x:c>
      <x:c r="AQ76" t="n">
        <x:v>48.5</x:v>
      </x:c>
      <x:c r="AR76">
        <x:f>IF(G76="","",LOG10(G76+1))</x:f>
      </x:c>
      <x:c r="AS76" s="10">
        <x:f>IF(AR76="","",IF(MAX($AR$2:$AR$252)-MIN($AR$2:$AR$252)=0,"",(AR76-MIN($AR$2:$AR$252))/(MAX($AR$2:$AR$252)-MIN($AR$2:$AR$252))*100))</x:f>
      </x:c>
      <x:c r="AT76">
        <x:f>IF(R76="","",LOG10(R76+1))</x:f>
      </x:c>
      <x:c r="AU76" s="10">
        <x:f>IF(AT76="","",IF(MAX($AT$2:$AT$252)-MIN($AT$2:$AT$252)=0,"",(AT76-MIN($AT$2:$AT$252))/(MAX($AT$2:$AT$252)-MIN($AT$2:$AT$252))*100))</x:f>
      </x:c>
      <x:c r="AV76">
        <x:f>IF(N76="","",LOG10(N76+1))</x:f>
      </x:c>
      <x:c r="AW76" s="10">
        <x:f>IF(AV76="","",IF(MAX($AV$2:$AV$252)-MIN($AV$2:$AV$252)=0,"",(AV76-MIN($AV$2:$AV$252))/(MAX($AV$2:$AV$252)-MIN($AV$2:$AV$252))*100))</x:f>
      </x:c>
      <x:c r="AX76">
        <x:f>IF(I76="","",LOG10(I76+1))</x:f>
      </x:c>
      <x:c r="AY76" s="10">
        <x:f>IF(AX76="","",IF(MAX($AX$2:$AX$252)-MIN($AX$2:$AX$252)=0,"",(AX76-MIN($AX$2:$AX$252))/(MAX($AX$2:$AX$252)-MIN($AX$2:$AX$252))*100))</x:f>
      </x:c>
      <x:c r="AZ76">
        <x:f>IF(J76="","",LOG10(J76+1))</x:f>
      </x:c>
      <x:c r="BA76" s="10">
        <x:f>IF(AZ76="","",IF(MAX($AZ$2:$AZ$252)-MIN($AZ$2:$AZ$252)=0,"",(AZ76-MIN($AZ$2:$AZ$252))/(MAX($AZ$2:$AZ$252)-MIN($AZ$2:$AZ$252))*100))</x:f>
      </x:c>
      <x:c r="BB76">
        <x:f>IF(K76="","",LOG10(K76+1))</x:f>
      </x:c>
      <x:c r="BC76" s="10">
        <x:f>IF(BB76="","",IF(MAX($BB$2:$BB$252)-MIN($BB$2:$BB$252)=0,"",(BB76-MIN($BB$2:$BB$252))/(MAX($BB$2:$BB$252)-MIN($BB$2:$BB$252))*100))</x:f>
      </x:c>
      <x:c r="BD76">
        <x:f>IF(L76="","",LOG10(L76+1))</x:f>
      </x:c>
      <x:c r="BE76" s="10">
        <x:f>IF(BD76="","",IF(MAX($BD$2:$BD$252)-MIN($BD$2:$BD$252)=0,"",(BD76-MIN($BD$2:$BD$252))/(MAX($BD$2:$BD$252)-MIN($BD$2:$BD$252))*100))</x:f>
      </x:c>
      <x:c r="BF76" s="10">
        <x:f>IF(P76="","",IF(MAX($P$2:$P$252)-MIN($P$2:$P$252)=0,"",(P76-MIN($P$2:$P$252))/(MAX($P$2:$P$252)-MIN($P$2:$P$252))*100))</x:f>
      </x:c>
      <x:c r="BG76">
        <x:f>IF(AF76="","",LOG10(AF76+1))</x:f>
      </x:c>
      <x:c r="BH76" s="10">
        <x:f>IF(BG76="","",IF(MAX($BG$2:$BG$252)-MIN($BG$2:$BG$252)=0,"",(BG76-MIN($BG$2:$BG$252))/(MAX($BG$2:$BG$252)-MIN($BG$2:$BG$252))*100))</x:f>
      </x:c>
      <x:c r="BI76">
        <x:f>IF(AC76="","",LOG10(AC76+1))</x:f>
      </x:c>
      <x:c r="BJ76" s="10">
        <x:f>IF(BI76="","",IF(MAX($BI$2:$BI$252)-MIN($BI$2:$BI$252)=0,"",(BI76-MIN($BI$2:$BI$252))/(MAX($BI$2:$BI$252)-MIN($BI$2:$BI$252))*100))</x:f>
      </x:c>
      <x:c r="BK76">
        <x:f>IF(AD76="","",(AD76*2)+(AE76*1))</x:f>
      </x:c>
      <x:c r="BL76" s="10">
        <x:f>IF(BK76="","",IF(MAX($BK$2:$BK$252)-MIN($BK$2:$BK$252)=0,"",(BK76-MIN($BK$2:$BK$252))/(MAX($BK$2:$BK$252)-MIN($BK$2:$BK$252))*100))</x:f>
      </x:c>
      <x:c r="BM76" s="10">
        <x:f>IF(AB76="","",IF(MAX($AB$2:$AB$252)-MIN($AB$2:$AB$252)=0,"",(AB76-MIN($AB$2:$AB$252))/(MAX($AB$2:$AB$252)-MIN($AB$2:$AB$252))*100))</x:f>
      </x:c>
      <x:c r="BN76" s="10">
        <x:f>IF(X76="","",X76)</x:f>
      </x:c>
      <x:c r="BO76" s="10">
        <x:f>IF(X76="","",100-X76)</x:f>
      </x:c>
      <x:c r="BP76" s="10">
        <x:f>IF((Weights!$C$2*IF(BH76="",0,1)+Weights!$C$3*IF(BJ76="",0,1)+Weights!$C$4*IF(BL76="",0,1))=0,"",(Weights!$C$2*IF(BH76="",0,BH76)+Weights!$C$3*IF(BJ76="",0,BJ76)+Weights!$C$4*IF(BL76="",0,BL76))/(Weights!$C$2*IF(BH76="",0,1)+Weights!$C$3*IF(BJ76="",0,1)+Weights!$C$4*IF(BL76="",0,1)))</x:f>
      </x:c>
      <x:c r="BQ76" s="10">
        <x:f>IF((Weights!$C$5*IF(BA76="",0,1)+Weights!$C$6*IF(AW76="",0,1)+Weights!$C$7*IF(AU76="",0,1))=0,"",(Weights!$C$5*IF(BA76="",0,BA76)+Weights!$C$6*IF(AW76="",0,AW76)+Weights!$C$7*IF(AU76="",0,AU76))/(Weights!$C$5*IF(BA76="",0,1)+Weights!$C$6*IF(AW76="",0,1)+Weights!$C$7*IF(AU76="",0,1)))</x:f>
      </x:c>
      <x:c r="BR76" s="10">
        <x:f>IF((Weights!$C$8*IF(AW76="",0,1)+Weights!$C$9*IF(BC76="",0,1)+Weights!$C$10*IF(BF76="",0,1))=0,"",(Weights!$C$8*IF(AW76="",0,AW76)+Weights!$C$9*IF(BC76="",0,BC76)+Weights!$C$10*IF(BF76="",0,BF76))/(Weights!$C$8*IF(AW76="",0,1)+Weights!$C$9*IF(BC76="",0,1)+Weights!$C$10*IF(BF76="",0,1)))</x:f>
      </x:c>
      <x:c r="BS76" s="10">
        <x:f>IF(Y76="","",Y76)</x:f>
      </x:c>
      <x:c r="BT76" s="10">
        <x:f>IF(AS76="","",AS76)</x:f>
      </x:c>
      <x:c r="BU76" s="10">
        <x:f>IF(AJ76&lt;&gt;"",(0.6*AJ76+0.4*AU76),IF((Weights!$C$11*IF(AU76="",0,1)+Weights!$C$12*IF(BM76="",0,1))=0,"",(Weights!$C$11*IF(AU76="",0,AU76)+Weights!$C$12*IF(BM76="",0,BM76))/(Weights!$C$11*IF(AU76="",0,1)+Weights!$C$12*IF(BM76="",0,1))))</x:f>
      </x:c>
      <x:c r="BV76" s="10">
        <x:f>IF(CG76="",0,CG76)</x:f>
      </x:c>
      <x:c r="BW76" s="10">
        <x:f>IF(AP76="","",AP76)</x:f>
      </x:c>
      <x:c r="BX76" s="10">
        <x:f>IF(AO76="","",AO76)</x:f>
      </x:c>
      <x:c r="BY76" s="10">
        <x:f>IF(AL76="","",AL76)</x:f>
      </x:c>
      <x:c r="BZ76" s="10">
        <x:f>IF(AM76="","",AM76)</x:f>
      </x:c>
      <x:c r="CA76" s="10">
        <x:f>IF(AK76&lt;&gt;"",AK76,AW76)</x:f>
      </x:c>
      <x:c r="CB76" s="10">
        <x:f>IF((Weights!$C$13*IF(BP76="",0,1)+Weights!$C$14*IF(BR76="",0,1)+Weights!$C$15*IF(BQ76="",0,1)+Weights!$C$16*IF(BS76="",0,1)+Weights!$C$17*IF(BU76="",0,1)+Weights!$C$18*IF(BT76="",0,1)+Weights!$C$19*IF(BW76="",0,1)+Weights!$C$20*IF(BZ76="",0,1)+Weights!$C$21*IF(BO76="",0,1)+Weights!$C$22)=0,"",(Weights!$C$13*IF(BP76="",0,BP76)+Weights!$C$14*IF(BR76="",0,BR76)+Weights!$C$15*IF(BQ76="",0,BQ76)+Weights!$C$16*IF(BS76="",0,BS76)+Weights!$C$17*IF(BU76="",0,BU76)+Weights!$C$18*IF(BT76="",0,BT76)+Weights!$C$19*IF(BW76="",0,BW76)+Weights!$C$20*IF(BZ76="",0,BZ76)+Weights!$C$21*IF(BO76="",0,BO76)+Weights!$C$22*BV76)/(Weights!$C$13*IF(BP76="",0,1)+Weights!$C$14*IF(BR76="",0,1)+Weights!$C$15*IF(BQ76="",0,1)+Weights!$C$16*IF(BS76="",0,1)+Weights!$C$17*IF(BU76="",0,1)+Weights!$C$18*IF(BT76="",0,1)+Weights!$C$19*IF(BW76="",0,1)+Weights!$C$20*IF(BZ76="",0,1)+Weights!$C$21*IF(BO76="",0,1)+Weights!$C$22))</x:f>
      </x:c>
      <x:c r="CC76" s="10">
        <x:f>IF((Weights!$C$23*IF(BQ76="",0,1)+Weights!$C$24*IF(BN76="",0,1)+Weights!$C$25*IF(BS76="",0,1)+Weights!$C$26*IF(BY76="",0,1)+Weights!$C$27*IF(BX76="",0,1)+Weights!$C$28*IF(BT76="",0,1)+Weights!$C$29*IF(CA76="",0,1)+Weights!$C$30+Weights!$C$31*IF(BU76="",0,1))=0,"",(Weights!$C$23*IF(BQ76="",0,BQ76)+Weights!$C$24*IF(BN76="",0,BN76)+Weights!$C$25*IF(BS76="",0,BS76)+Weights!$C$26*IF(BY76="",0,BY76)+Weights!$C$27*IF(BX76="",0,BX76)+Weights!$C$28*IF(BT76="",0,BT76)+Weights!$C$29*IF(CA76="",0,CA76)+Weights!$C$30*BV76+Weights!$C$31*IF(BU76="",0,BU76))/(Weights!$C$23*IF(BQ76="",0,1)+Weights!$C$24*IF(BN76="",0,1)+Weights!$C$25*IF(BS76="",0,1)+Weights!$C$26*IF(BY76="",0,1)+Weights!$C$27*IF(BX76="",0,1)+Weights!$C$28*IF(BT76="",0,1)+Weights!$C$29*IF(CA76="",0,1)+Weights!$C$30+Weights!$C$31*IF(BU76="",0,1)))</x:f>
      </x:c>
      <x:c r="CD76" s="10">
        <x:f>IF(AND(CB76="",CC76=""),"",IF(CB76="",CC76,IF(CC76="",CB76,AVERAGE(CB76,CC76))))</x:f>
      </x:c>
      <x:c r="CE76" s="7">
        <x:f>ROUND(100*((IF(BP76&lt;&gt;"",1,0)+IF(BQ76&lt;&gt;"",1,0)+IF(BR76&lt;&gt;"",1,0)+IF(BS76&lt;&gt;"",1,0)+IF(BU76&lt;&gt;"",1,0)+IF(BT76&lt;&gt;"",1,0)+IF(BN76&lt;&gt;"",1,0)+IF(AW76&lt;&gt;"",1,0))/8),0)</x:f>
      </x:c>
      <x:c r="CF76">
        <x:f>IF(V76="","",LOG10(V76+1))</x:f>
      </x:c>
      <x:c r="CG76">
        <x:f>IF(CF76="","",IF(MAX($CF$2:$CF$252)-MIN($CF$2:$CF$252)=0,"",(CF76-MIN($CF$2:$CF$252))/(MAX($CF$2:$CF$252)-MIN($CF$2:$CF$252))*100))</x:f>
      </x:c>
    </x:row>
    <x:row r="77">
      <x:c r="A77" t="inlineStr">
        <x:is>
          <x:t xml:space="preserve">JEY</x:t>
        </x:is>
      </x:c>
      <x:c r="B77" t="inlineStr">
        <x:is>
          <x:t xml:space="preserve">Jersey</x:t>
        </x:is>
      </x:c>
      <x:c r="N77" s="8" t="n"/>
      <x:c r="O77" s="9" t="n"/>
      <x:c r="P77" s="8" t="n"/>
      <x:c r="R77" s="8" t="n"/>
      <x:c r="AB77" s="8" t="n"/>
      <x:c r="AR77">
        <x:f>IF(G77="","",LOG10(G77+1))</x:f>
      </x:c>
      <x:c r="AS77" s="10">
        <x:f>IF(AR77="","",IF(MAX($AR$2:$AR$252)-MIN($AR$2:$AR$252)=0,"",(AR77-MIN($AR$2:$AR$252))/(MAX($AR$2:$AR$252)-MIN($AR$2:$AR$252))*100))</x:f>
      </x:c>
      <x:c r="AT77">
        <x:f>IF(R77="","",LOG10(R77+1))</x:f>
      </x:c>
      <x:c r="AU77" s="10">
        <x:f>IF(AT77="","",IF(MAX($AT$2:$AT$252)-MIN($AT$2:$AT$252)=0,"",(AT77-MIN($AT$2:$AT$252))/(MAX($AT$2:$AT$252)-MIN($AT$2:$AT$252))*100))</x:f>
      </x:c>
      <x:c r="AV77">
        <x:f>IF(N77="","",LOG10(N77+1))</x:f>
      </x:c>
      <x:c r="AW77" s="10">
        <x:f>IF(AV77="","",IF(MAX($AV$2:$AV$252)-MIN($AV$2:$AV$252)=0,"",(AV77-MIN($AV$2:$AV$252))/(MAX($AV$2:$AV$252)-MIN($AV$2:$AV$252))*100))</x:f>
      </x:c>
      <x:c r="AX77">
        <x:f>IF(I77="","",LOG10(I77+1))</x:f>
      </x:c>
      <x:c r="AY77" s="10">
        <x:f>IF(AX77="","",IF(MAX($AX$2:$AX$252)-MIN($AX$2:$AX$252)=0,"",(AX77-MIN($AX$2:$AX$252))/(MAX($AX$2:$AX$252)-MIN($AX$2:$AX$252))*100))</x:f>
      </x:c>
      <x:c r="AZ77">
        <x:f>IF(J77="","",LOG10(J77+1))</x:f>
      </x:c>
      <x:c r="BA77" s="10">
        <x:f>IF(AZ77="","",IF(MAX($AZ$2:$AZ$252)-MIN($AZ$2:$AZ$252)=0,"",(AZ77-MIN($AZ$2:$AZ$252))/(MAX($AZ$2:$AZ$252)-MIN($AZ$2:$AZ$252))*100))</x:f>
      </x:c>
      <x:c r="BB77">
        <x:f>IF(K77="","",LOG10(K77+1))</x:f>
      </x:c>
      <x:c r="BC77" s="10">
        <x:f>IF(BB77="","",IF(MAX($BB$2:$BB$252)-MIN($BB$2:$BB$252)=0,"",(BB77-MIN($BB$2:$BB$252))/(MAX($BB$2:$BB$252)-MIN($BB$2:$BB$252))*100))</x:f>
      </x:c>
      <x:c r="BD77">
        <x:f>IF(L77="","",LOG10(L77+1))</x:f>
      </x:c>
      <x:c r="BE77" s="10">
        <x:f>IF(BD77="","",IF(MAX($BD$2:$BD$252)-MIN($BD$2:$BD$252)=0,"",(BD77-MIN($BD$2:$BD$252))/(MAX($BD$2:$BD$252)-MIN($BD$2:$BD$252))*100))</x:f>
      </x:c>
      <x:c r="BF77" s="10">
        <x:f>IF(P77="","",IF(MAX($P$2:$P$252)-MIN($P$2:$P$252)=0,"",(P77-MIN($P$2:$P$252))/(MAX($P$2:$P$252)-MIN($P$2:$P$252))*100))</x:f>
      </x:c>
      <x:c r="BG77">
        <x:f>IF(AF77="","",LOG10(AF77+1))</x:f>
      </x:c>
      <x:c r="BH77" s="10">
        <x:f>IF(BG77="","",IF(MAX($BG$2:$BG$252)-MIN($BG$2:$BG$252)=0,"",(BG77-MIN($BG$2:$BG$252))/(MAX($BG$2:$BG$252)-MIN($BG$2:$BG$252))*100))</x:f>
      </x:c>
      <x:c r="BI77">
        <x:f>IF(AC77="","",LOG10(AC77+1))</x:f>
      </x:c>
      <x:c r="BJ77" s="10">
        <x:f>IF(BI77="","",IF(MAX($BI$2:$BI$252)-MIN($BI$2:$BI$252)=0,"",(BI77-MIN($BI$2:$BI$252))/(MAX($BI$2:$BI$252)-MIN($BI$2:$BI$252))*100))</x:f>
      </x:c>
      <x:c r="BK77">
        <x:f>IF(AD77="","",(AD77*2)+(AE77*1))</x:f>
      </x:c>
      <x:c r="BL77" s="10">
        <x:f>IF(BK77="","",IF(MAX($BK$2:$BK$252)-MIN($BK$2:$BK$252)=0,"",(BK77-MIN($BK$2:$BK$252))/(MAX($BK$2:$BK$252)-MIN($BK$2:$BK$252))*100))</x:f>
      </x:c>
      <x:c r="BM77" s="10">
        <x:f>IF(AB77="","",IF(MAX($AB$2:$AB$252)-MIN($AB$2:$AB$252)=0,"",(AB77-MIN($AB$2:$AB$252))/(MAX($AB$2:$AB$252)-MIN($AB$2:$AB$252))*100))</x:f>
      </x:c>
      <x:c r="BN77" s="10">
        <x:f>IF(X77="","",X77)</x:f>
      </x:c>
      <x:c r="BO77" s="10">
        <x:f>IF(X77="","",100-X77)</x:f>
      </x:c>
      <x:c r="BP77" s="10">
        <x:f>IF((Weights!$C$2*IF(BH77="",0,1)+Weights!$C$3*IF(BJ77="",0,1)+Weights!$C$4*IF(BL77="",0,1))=0,"",(Weights!$C$2*IF(BH77="",0,BH77)+Weights!$C$3*IF(BJ77="",0,BJ77)+Weights!$C$4*IF(BL77="",0,BL77))/(Weights!$C$2*IF(BH77="",0,1)+Weights!$C$3*IF(BJ77="",0,1)+Weights!$C$4*IF(BL77="",0,1)))</x:f>
      </x:c>
      <x:c r="BQ77" s="10">
        <x:f>IF((Weights!$C$5*IF(BA77="",0,1)+Weights!$C$6*IF(AW77="",0,1)+Weights!$C$7*IF(AU77="",0,1))=0,"",(Weights!$C$5*IF(BA77="",0,BA77)+Weights!$C$6*IF(AW77="",0,AW77)+Weights!$C$7*IF(AU77="",0,AU77))/(Weights!$C$5*IF(BA77="",0,1)+Weights!$C$6*IF(AW77="",0,1)+Weights!$C$7*IF(AU77="",0,1)))</x:f>
      </x:c>
      <x:c r="BR77" s="10">
        <x:f>IF((Weights!$C$8*IF(AW77="",0,1)+Weights!$C$9*IF(BC77="",0,1)+Weights!$C$10*IF(BF77="",0,1))=0,"",(Weights!$C$8*IF(AW77="",0,AW77)+Weights!$C$9*IF(BC77="",0,BC77)+Weights!$C$10*IF(BF77="",0,BF77))/(Weights!$C$8*IF(AW77="",0,1)+Weights!$C$9*IF(BC77="",0,1)+Weights!$C$10*IF(BF77="",0,1)))</x:f>
      </x:c>
      <x:c r="BS77" s="10">
        <x:f>IF(Y77="","",Y77)</x:f>
      </x:c>
      <x:c r="BT77" s="10">
        <x:f>IF(AS77="","",AS77)</x:f>
      </x:c>
      <x:c r="BU77" s="10">
        <x:f>IF(AJ77&lt;&gt;"",(0.6*AJ77+0.4*AU77),IF((Weights!$C$11*IF(AU77="",0,1)+Weights!$C$12*IF(BM77="",0,1))=0,"",(Weights!$C$11*IF(AU77="",0,AU77)+Weights!$C$12*IF(BM77="",0,BM77))/(Weights!$C$11*IF(AU77="",0,1)+Weights!$C$12*IF(BM77="",0,1))))</x:f>
      </x:c>
      <x:c r="BV77" s="10">
        <x:f>IF(CG77="",0,CG77)</x:f>
      </x:c>
      <x:c r="BW77" s="10">
        <x:f>IF(AP77="","",AP77)</x:f>
      </x:c>
      <x:c r="BX77" s="10">
        <x:f>IF(AO77="","",AO77)</x:f>
      </x:c>
      <x:c r="BY77" s="10">
        <x:f>IF(AL77="","",AL77)</x:f>
      </x:c>
      <x:c r="BZ77" s="10">
        <x:f>IF(AM77="","",AM77)</x:f>
      </x:c>
      <x:c r="CA77" s="10">
        <x:f>IF(AK77&lt;&gt;"",AK77,AW77)</x:f>
      </x:c>
      <x:c r="CB77" s="10">
        <x:f>IF((Weights!$C$13*IF(BP77="",0,1)+Weights!$C$14*IF(BR77="",0,1)+Weights!$C$15*IF(BQ77="",0,1)+Weights!$C$16*IF(BS77="",0,1)+Weights!$C$17*IF(BU77="",0,1)+Weights!$C$18*IF(BT77="",0,1)+Weights!$C$19*IF(BW77="",0,1)+Weights!$C$20*IF(BZ77="",0,1)+Weights!$C$21*IF(BO77="",0,1)+Weights!$C$22)=0,"",(Weights!$C$13*IF(BP77="",0,BP77)+Weights!$C$14*IF(BR77="",0,BR77)+Weights!$C$15*IF(BQ77="",0,BQ77)+Weights!$C$16*IF(BS77="",0,BS77)+Weights!$C$17*IF(BU77="",0,BU77)+Weights!$C$18*IF(BT77="",0,BT77)+Weights!$C$19*IF(BW77="",0,BW77)+Weights!$C$20*IF(BZ77="",0,BZ77)+Weights!$C$21*IF(BO77="",0,BO77)+Weights!$C$22*BV77)/(Weights!$C$13*IF(BP77="",0,1)+Weights!$C$14*IF(BR77="",0,1)+Weights!$C$15*IF(BQ77="",0,1)+Weights!$C$16*IF(BS77="",0,1)+Weights!$C$17*IF(BU77="",0,1)+Weights!$C$18*IF(BT77="",0,1)+Weights!$C$19*IF(BW77="",0,1)+Weights!$C$20*IF(BZ77="",0,1)+Weights!$C$21*IF(BO77="",0,1)+Weights!$C$22))</x:f>
      </x:c>
      <x:c r="CC77" s="10">
        <x:f>IF((Weights!$C$23*IF(BQ77="",0,1)+Weights!$C$24*IF(BN77="",0,1)+Weights!$C$25*IF(BS77="",0,1)+Weights!$C$26*IF(BY77="",0,1)+Weights!$C$27*IF(BX77="",0,1)+Weights!$C$28*IF(BT77="",0,1)+Weights!$C$29*IF(CA77="",0,1)+Weights!$C$30+Weights!$C$31*IF(BU77="",0,1))=0,"",(Weights!$C$23*IF(BQ77="",0,BQ77)+Weights!$C$24*IF(BN77="",0,BN77)+Weights!$C$25*IF(BS77="",0,BS77)+Weights!$C$26*IF(BY77="",0,BY77)+Weights!$C$27*IF(BX77="",0,BX77)+Weights!$C$28*IF(BT77="",0,BT77)+Weights!$C$29*IF(CA77="",0,CA77)+Weights!$C$30*BV77+Weights!$C$31*IF(BU77="",0,BU77))/(Weights!$C$23*IF(BQ77="",0,1)+Weights!$C$24*IF(BN77="",0,1)+Weights!$C$25*IF(BS77="",0,1)+Weights!$C$26*IF(BY77="",0,1)+Weights!$C$27*IF(BX77="",0,1)+Weights!$C$28*IF(BT77="",0,1)+Weights!$C$29*IF(CA77="",0,1)+Weights!$C$30+Weights!$C$31*IF(BU77="",0,1)))</x:f>
      </x:c>
      <x:c r="CD77" s="10">
        <x:f>IF(AND(CB77="",CC77=""),"",IF(CB77="",CC77,IF(CC77="",CB77,AVERAGE(CB77,CC77))))</x:f>
      </x:c>
      <x:c r="CE77" s="7">
        <x:f>ROUND(100*((IF(BP77&lt;&gt;"",1,0)+IF(BQ77&lt;&gt;"",1,0)+IF(BR77&lt;&gt;"",1,0)+IF(BS77&lt;&gt;"",1,0)+IF(BU77&lt;&gt;"",1,0)+IF(BT77&lt;&gt;"",1,0)+IF(BN77&lt;&gt;"",1,0)+IF(AW77&lt;&gt;"",1,0))/8),0)</x:f>
      </x:c>
      <x:c r="CF77">
        <x:f>IF(V77="","",LOG10(V77+1))</x:f>
      </x:c>
      <x:c r="CG77">
        <x:f>IF(CF77="","",IF(MAX($CF$2:$CF$252)-MIN($CF$2:$CF$252)=0,"",(CF77-MIN($CF$2:$CF$252))/(MAX($CF$2:$CF$252)-MIN($CF$2:$CF$252))*100))</x:f>
      </x:c>
    </x:row>
    <x:row r="78">
      <x:c r="A78" t="inlineStr">
        <x:is>
          <x:t xml:space="preserve">BHR</x:t>
        </x:is>
      </x:c>
      <x:c r="B78" t="inlineStr">
        <x:is>
          <x:t xml:space="preserve">Bahrain</x:t>
        </x:is>
      </x:c>
      <x:c r="C78" t="inlineStr">
        <x:is>
          <x:t xml:space="preserve">Middle East &amp; North Africa</x:t>
        </x:is>
      </x:c>
      <x:c r="D78" t="inlineStr">
        <x:is>
          <x:t xml:space="preserve">High income</x:t>
        </x:is>
      </x:c>
      <x:c r="F78" t="n">
        <x:v>2024</x:v>
      </x:c>
      <x:c r="G78" t="n">
        <x:v>1588670</x:v>
      </x:c>
      <x:c r="H78" t="n">
        <x:v>2020</x:v>
      </x:c>
      <x:c r="I78" t="n">
        <x:v>19000</x:v>
      </x:c>
      <x:c r="J78" t="n">
        <x:v>12350</x:v>
      </x:c>
      <x:c r="K78" t="n">
        <x:v>3800</x:v>
      </x:c>
      <x:c r="L78" t="n">
        <x:v>2280</x:v>
      </x:c>
      <x:c r="M78" t="n">
        <x:v>2024</x:v>
      </x:c>
      <x:c r="N78" s="8" t="n">
        <x:v>1383973404.25532</x:v>
      </x:c>
      <x:c r="O78" s="9" t="n">
        <x:v>2.8946654057963</x:v>
      </x:c>
      <x:c r="P78" s="8" t="n">
        <x:v>72840.7054871221</x:v>
      </x:c>
      <x:c r="Q78" t="n">
        <x:v>2024</x:v>
      </x:c>
      <x:c r="R78" s="8" t="n">
        <x:v>47109734308.5106</x:v>
      </x:c>
      <x:c r="S78" t="n">
        <x:v>0</x:v>
      </x:c>
      <x:c r="T78" t="n">
        <x:v>0</x:v>
      </x:c>
      <x:c r="U78" t="inlineStr">
        <x:is>
          <x:t xml:space="preserve">No</x:t>
        </x:is>
      </x:c>
      <x:c r="W78" t="inlineStr">
        <x:is>
          <x:t xml:space="preserve">No</x:t>
        </x:is>
      </x:c>
      <x:c r="AB78" s="8" t="n"/>
      <x:c r="AC78" t="n">
        <x:v>58</x:v>
      </x:c>
      <x:c r="AD78" t="n">
        <x:v>0</x:v>
      </x:c>
      <x:c r="AE78" t="n">
        <x:v>0</x:v>
      </x:c>
      <x:c r="AR78">
        <x:f>IF(G78="","",LOG10(G78+1))</x:f>
      </x:c>
      <x:c r="AS78" s="10">
        <x:f>IF(AR78="","",IF(MAX($AR$2:$AR$252)-MIN($AR$2:$AR$252)=0,"",(AR78-MIN($AR$2:$AR$252))/(MAX($AR$2:$AR$252)-MIN($AR$2:$AR$252))*100))</x:f>
      </x:c>
      <x:c r="AT78">
        <x:f>IF(R78="","",LOG10(R78+1))</x:f>
      </x:c>
      <x:c r="AU78" s="10">
        <x:f>IF(AT78="","",IF(MAX($AT$2:$AT$252)-MIN($AT$2:$AT$252)=0,"",(AT78-MIN($AT$2:$AT$252))/(MAX($AT$2:$AT$252)-MIN($AT$2:$AT$252))*100))</x:f>
      </x:c>
      <x:c r="AV78">
        <x:f>IF(N78="","",LOG10(N78+1))</x:f>
      </x:c>
      <x:c r="AW78" s="10">
        <x:f>IF(AV78="","",IF(MAX($AV$2:$AV$252)-MIN($AV$2:$AV$252)=0,"",(AV78-MIN($AV$2:$AV$252))/(MAX($AV$2:$AV$252)-MIN($AV$2:$AV$252))*100))</x:f>
      </x:c>
      <x:c r="AX78">
        <x:f>IF(I78="","",LOG10(I78+1))</x:f>
      </x:c>
      <x:c r="AY78" s="10">
        <x:f>IF(AX78="","",IF(MAX($AX$2:$AX$252)-MIN($AX$2:$AX$252)=0,"",(AX78-MIN($AX$2:$AX$252))/(MAX($AX$2:$AX$252)-MIN($AX$2:$AX$252))*100))</x:f>
      </x:c>
      <x:c r="AZ78">
        <x:f>IF(J78="","",LOG10(J78+1))</x:f>
      </x:c>
      <x:c r="BA78" s="10">
        <x:f>IF(AZ78="","",IF(MAX($AZ$2:$AZ$252)-MIN($AZ$2:$AZ$252)=0,"",(AZ78-MIN($AZ$2:$AZ$252))/(MAX($AZ$2:$AZ$252)-MIN($AZ$2:$AZ$252))*100))</x:f>
      </x:c>
      <x:c r="BB78">
        <x:f>IF(K78="","",LOG10(K78+1))</x:f>
      </x:c>
      <x:c r="BC78" s="10">
        <x:f>IF(BB78="","",IF(MAX($BB$2:$BB$252)-MIN($BB$2:$BB$252)=0,"",(BB78-MIN($BB$2:$BB$252))/(MAX($BB$2:$BB$252)-MIN($BB$2:$BB$252))*100))</x:f>
      </x:c>
      <x:c r="BD78">
        <x:f>IF(L78="","",LOG10(L78+1))</x:f>
      </x:c>
      <x:c r="BE78" s="10">
        <x:f>IF(BD78="","",IF(MAX($BD$2:$BD$252)-MIN($BD$2:$BD$252)=0,"",(BD78-MIN($BD$2:$BD$252))/(MAX($BD$2:$BD$252)-MIN($BD$2:$BD$252))*100))</x:f>
      </x:c>
      <x:c r="BF78" s="10">
        <x:f>IF(P78="","",IF(MAX($P$2:$P$252)-MIN($P$2:$P$252)=0,"",(P78-MIN($P$2:$P$252))/(MAX($P$2:$P$252)-MIN($P$2:$P$252))*100))</x:f>
      </x:c>
      <x:c r="BG78">
        <x:f>IF(AF78="","",LOG10(AF78+1))</x:f>
      </x:c>
      <x:c r="BH78" s="10">
        <x:f>IF(BG78="","",IF(MAX($BG$2:$BG$252)-MIN($BG$2:$BG$252)=0,"",(BG78-MIN($BG$2:$BG$252))/(MAX($BG$2:$BG$252)-MIN($BG$2:$BG$252))*100))</x:f>
      </x:c>
      <x:c r="BI78">
        <x:f>IF(AC78="","",LOG10(AC78+1))</x:f>
      </x:c>
      <x:c r="BJ78" s="10">
        <x:f>IF(BI78="","",IF(MAX($BI$2:$BI$252)-MIN($BI$2:$BI$252)=0,"",(BI78-MIN($BI$2:$BI$252))/(MAX($BI$2:$BI$252)-MIN($BI$2:$BI$252))*100))</x:f>
      </x:c>
      <x:c r="BK78">
        <x:f>IF(AD78="","",(AD78*2)+(AE78*1))</x:f>
      </x:c>
      <x:c r="BL78" s="10">
        <x:f>IF(BK78="","",IF(MAX($BK$2:$BK$252)-MIN($BK$2:$BK$252)=0,"",(BK78-MIN($BK$2:$BK$252))/(MAX($BK$2:$BK$252)-MIN($BK$2:$BK$252))*100))</x:f>
      </x:c>
      <x:c r="BM78" s="10">
        <x:f>IF(AB78="","",IF(MAX($AB$2:$AB$252)-MIN($AB$2:$AB$252)=0,"",(AB78-MIN($AB$2:$AB$252))/(MAX($AB$2:$AB$252)-MIN($AB$2:$AB$252))*100))</x:f>
      </x:c>
      <x:c r="BN78" s="10">
        <x:f>IF(X78="","",X78)</x:f>
      </x:c>
      <x:c r="BO78" s="10">
        <x:f>IF(X78="","",100-X78)</x:f>
      </x:c>
      <x:c r="BP78" s="10">
        <x:f>IF((Weights!$C$2*IF(BH78="",0,1)+Weights!$C$3*IF(BJ78="",0,1)+Weights!$C$4*IF(BL78="",0,1))=0,"",(Weights!$C$2*IF(BH78="",0,BH78)+Weights!$C$3*IF(BJ78="",0,BJ78)+Weights!$C$4*IF(BL78="",0,BL78))/(Weights!$C$2*IF(BH78="",0,1)+Weights!$C$3*IF(BJ78="",0,1)+Weights!$C$4*IF(BL78="",0,1)))</x:f>
      </x:c>
      <x:c r="BQ78" s="10">
        <x:f>IF((Weights!$C$5*IF(BA78="",0,1)+Weights!$C$6*IF(AW78="",0,1)+Weights!$C$7*IF(AU78="",0,1))=0,"",(Weights!$C$5*IF(BA78="",0,BA78)+Weights!$C$6*IF(AW78="",0,AW78)+Weights!$C$7*IF(AU78="",0,AU78))/(Weights!$C$5*IF(BA78="",0,1)+Weights!$C$6*IF(AW78="",0,1)+Weights!$C$7*IF(AU78="",0,1)))</x:f>
      </x:c>
      <x:c r="BR78" s="10">
        <x:f>IF((Weights!$C$8*IF(AW78="",0,1)+Weights!$C$9*IF(BC78="",0,1)+Weights!$C$10*IF(BF78="",0,1))=0,"",(Weights!$C$8*IF(AW78="",0,AW78)+Weights!$C$9*IF(BC78="",0,BC78)+Weights!$C$10*IF(BF78="",0,BF78))/(Weights!$C$8*IF(AW78="",0,1)+Weights!$C$9*IF(BC78="",0,1)+Weights!$C$10*IF(BF78="",0,1)))</x:f>
      </x:c>
      <x:c r="BS78" s="10">
        <x:f>IF(Y78="","",Y78)</x:f>
      </x:c>
      <x:c r="BT78" s="10">
        <x:f>IF(AS78="","",AS78)</x:f>
      </x:c>
      <x:c r="BU78" s="10">
        <x:f>IF(AJ78&lt;&gt;"",(0.6*AJ78+0.4*AU78),IF((Weights!$C$11*IF(AU78="",0,1)+Weights!$C$12*IF(BM78="",0,1))=0,"",(Weights!$C$11*IF(AU78="",0,AU78)+Weights!$C$12*IF(BM78="",0,BM78))/(Weights!$C$11*IF(AU78="",0,1)+Weights!$C$12*IF(BM78="",0,1))))</x:f>
      </x:c>
      <x:c r="BV78" s="10">
        <x:f>IF(CG78="",0,CG78)</x:f>
      </x:c>
      <x:c r="BW78" s="10">
        <x:f>IF(AP78="","",AP78)</x:f>
      </x:c>
      <x:c r="BX78" s="10">
        <x:f>IF(AO78="","",AO78)</x:f>
      </x:c>
      <x:c r="BY78" s="10">
        <x:f>IF(AL78="","",AL78)</x:f>
      </x:c>
      <x:c r="BZ78" s="10">
        <x:f>IF(AM78="","",AM78)</x:f>
      </x:c>
      <x:c r="CA78" s="10">
        <x:f>IF(AK78&lt;&gt;"",AK78,AW78)</x:f>
      </x:c>
      <x:c r="CB78" s="10">
        <x:f>IF((Weights!$C$13*IF(BP78="",0,1)+Weights!$C$14*IF(BR78="",0,1)+Weights!$C$15*IF(BQ78="",0,1)+Weights!$C$16*IF(BS78="",0,1)+Weights!$C$17*IF(BU78="",0,1)+Weights!$C$18*IF(BT78="",0,1)+Weights!$C$19*IF(BW78="",0,1)+Weights!$C$20*IF(BZ78="",0,1)+Weights!$C$21*IF(BO78="",0,1)+Weights!$C$22)=0,"",(Weights!$C$13*IF(BP78="",0,BP78)+Weights!$C$14*IF(BR78="",0,BR78)+Weights!$C$15*IF(BQ78="",0,BQ78)+Weights!$C$16*IF(BS78="",0,BS78)+Weights!$C$17*IF(BU78="",0,BU78)+Weights!$C$18*IF(BT78="",0,BT78)+Weights!$C$19*IF(BW78="",0,BW78)+Weights!$C$20*IF(BZ78="",0,BZ78)+Weights!$C$21*IF(BO78="",0,BO78)+Weights!$C$22*BV78)/(Weights!$C$13*IF(BP78="",0,1)+Weights!$C$14*IF(BR78="",0,1)+Weights!$C$15*IF(BQ78="",0,1)+Weights!$C$16*IF(BS78="",0,1)+Weights!$C$17*IF(BU78="",0,1)+Weights!$C$18*IF(BT78="",0,1)+Weights!$C$19*IF(BW78="",0,1)+Weights!$C$20*IF(BZ78="",0,1)+Weights!$C$21*IF(BO78="",0,1)+Weights!$C$22))</x:f>
      </x:c>
      <x:c r="CC78" s="10">
        <x:f>IF((Weights!$C$23*IF(BQ78="",0,1)+Weights!$C$24*IF(BN78="",0,1)+Weights!$C$25*IF(BS78="",0,1)+Weights!$C$26*IF(BY78="",0,1)+Weights!$C$27*IF(BX78="",0,1)+Weights!$C$28*IF(BT78="",0,1)+Weights!$C$29*IF(CA78="",0,1)+Weights!$C$30+Weights!$C$31*IF(BU78="",0,1))=0,"",(Weights!$C$23*IF(BQ78="",0,BQ78)+Weights!$C$24*IF(BN78="",0,BN78)+Weights!$C$25*IF(BS78="",0,BS78)+Weights!$C$26*IF(BY78="",0,BY78)+Weights!$C$27*IF(BX78="",0,BX78)+Weights!$C$28*IF(BT78="",0,BT78)+Weights!$C$29*IF(CA78="",0,CA78)+Weights!$C$30*BV78+Weights!$C$31*IF(BU78="",0,BU78))/(Weights!$C$23*IF(BQ78="",0,1)+Weights!$C$24*IF(BN78="",0,1)+Weights!$C$25*IF(BS78="",0,1)+Weights!$C$26*IF(BY78="",0,1)+Weights!$C$27*IF(BX78="",0,1)+Weights!$C$28*IF(BT78="",0,1)+Weights!$C$29*IF(CA78="",0,1)+Weights!$C$30+Weights!$C$31*IF(BU78="",0,1)))</x:f>
      </x:c>
      <x:c r="CD78" s="10">
        <x:f>IF(AND(CB78="",CC78=""),"",IF(CB78="",CC78,IF(CC78="",CB78,AVERAGE(CB78,CC78))))</x:f>
      </x:c>
      <x:c r="CE78" s="7">
        <x:f>ROUND(100*((IF(BP78&lt;&gt;"",1,0)+IF(BQ78&lt;&gt;"",1,0)+IF(BR78&lt;&gt;"",1,0)+IF(BS78&lt;&gt;"",1,0)+IF(BU78&lt;&gt;"",1,0)+IF(BT78&lt;&gt;"",1,0)+IF(BN78&lt;&gt;"",1,0)+IF(AW78&lt;&gt;"",1,0))/8),0)</x:f>
      </x:c>
      <x:c r="CF78">
        <x:f>IF(V78="","",LOG10(V78+1))</x:f>
      </x:c>
      <x:c r="CG78">
        <x:f>IF(CF78="","",IF(MAX($CF$2:$CF$252)-MIN($CF$2:$CF$252)=0,"",(CF78-MIN($CF$2:$CF$252))/(MAX($CF$2:$CF$252)-MIN($CF$2:$CF$252))*100))</x:f>
      </x:c>
    </x:row>
    <x:row r="79">
      <x:c r="A79" t="inlineStr">
        <x:is>
          <x:t xml:space="preserve">BEL</x:t>
        </x:is>
      </x:c>
      <x:c r="B79" t="inlineStr">
        <x:is>
          <x:t xml:space="preserve">Belgium</x:t>
        </x:is>
      </x:c>
      <x:c r="C79" t="inlineStr">
        <x:is>
          <x:t xml:space="preserve">Europe &amp; Central Asia</x:t>
        </x:is>
      </x:c>
      <x:c r="D79" t="inlineStr">
        <x:is>
          <x:t xml:space="preserve">High income</x:t>
        </x:is>
      </x:c>
      <x:c r="E79" t="inlineStr">
        <x:is>
          <x:t xml:space="preserve">Europe</x:t>
        </x:is>
      </x:c>
      <x:c r="F79" t="n">
        <x:v>2024</x:v>
      </x:c>
      <x:c r="G79" t="n">
        <x:v>11858610</x:v>
      </x:c>
      <x:c r="H79" t="n">
        <x:v>2020</x:v>
      </x:c>
      <x:c r="I79" t="n">
        <x:v>24000</x:v>
      </x:c>
      <x:c r="J79" t="n">
        <x:v>15600</x:v>
      </x:c>
      <x:c r="K79" t="n">
        <x:v>4800</x:v>
      </x:c>
      <x:c r="L79" t="n">
        <x:v>2880</x:v>
      </x:c>
      <x:c r="M79" t="n">
        <x:v>2024</x:v>
      </x:c>
      <x:c r="N79" s="8" t="n">
        <x:v>8561520105.74799</x:v>
      </x:c>
      <x:c r="O79" s="9" t="n">
        <x:v>1.2770531266155</x:v>
      </x:c>
      <x:c r="P79" s="8" t="n">
        <x:v>356730.0044061663</x:v>
      </x:c>
      <x:c r="Q79" t="n">
        <x:v>2024</x:v>
      </x:c>
      <x:c r="R79" s="8" t="n">
        <x:v>671370081636.406</x:v>
      </x:c>
      <x:c r="S79" t="n">
        <x:v>6</x:v>
      </x:c>
      <x:c r="T79" t="n">
        <x:v>2</x:v>
      </x:c>
      <x:c r="U79" t="inlineStr">
        <x:is>
          <x:t xml:space="preserve">No</x:t>
        </x:is>
      </x:c>
      <x:c r="W79" t="inlineStr">
        <x:is>
          <x:t xml:space="preserve">No</x:t>
        </x:is>
      </x:c>
      <x:c r="X79" t="n">
        <x:v>8.393446052880662</x:v>
      </x:c>
      <x:c r="Y79" t="n">
        <x:v>86.57399984334322</x:v>
      </x:c>
      <x:c r="Z79" t="n">
        <x:v>30126.03788592326</x:v>
      </x:c>
      <x:c r="AA79" t="n">
        <x:v>381.4423271826749</x:v>
      </x:c>
      <x:c r="AB79" s="8" t="n">
        <x:v>44259.39311199924</x:v>
      </x:c>
      <x:c r="AC79" t="n">
        <x:v>9</x:v>
      </x:c>
      <x:c r="AD79" t="n">
        <x:v>0</x:v>
      </x:c>
      <x:c r="AE79" t="n">
        <x:v>0</x:v>
      </x:c>
      <x:c r="AF79" t="n">
        <x:v>7.6</x:v>
      </x:c>
      <x:c r="AG79" t="n">
        <x:v>9</x:v>
      </x:c>
      <x:c r="AH79" t="n">
        <x:v>38</x:v>
      </x:c>
      <x:c r="AR79">
        <x:f>IF(G79="","",LOG10(G79+1))</x:f>
      </x:c>
      <x:c r="AS79" s="10">
        <x:f>IF(AR79="","",IF(MAX($AR$2:$AR$252)-MIN($AR$2:$AR$252)=0,"",(AR79-MIN($AR$2:$AR$252))/(MAX($AR$2:$AR$252)-MIN($AR$2:$AR$252))*100))</x:f>
      </x:c>
      <x:c r="AT79">
        <x:f>IF(R79="","",LOG10(R79+1))</x:f>
      </x:c>
      <x:c r="AU79" s="10">
        <x:f>IF(AT79="","",IF(MAX($AT$2:$AT$252)-MIN($AT$2:$AT$252)=0,"",(AT79-MIN($AT$2:$AT$252))/(MAX($AT$2:$AT$252)-MIN($AT$2:$AT$252))*100))</x:f>
      </x:c>
      <x:c r="AV79">
        <x:f>IF(N79="","",LOG10(N79+1))</x:f>
      </x:c>
      <x:c r="AW79" s="10">
        <x:f>IF(AV79="","",IF(MAX($AV$2:$AV$252)-MIN($AV$2:$AV$252)=0,"",(AV79-MIN($AV$2:$AV$252))/(MAX($AV$2:$AV$252)-MIN($AV$2:$AV$252))*100))</x:f>
      </x:c>
      <x:c r="AX79">
        <x:f>IF(I79="","",LOG10(I79+1))</x:f>
      </x:c>
      <x:c r="AY79" s="10">
        <x:f>IF(AX79="","",IF(MAX($AX$2:$AX$252)-MIN($AX$2:$AX$252)=0,"",(AX79-MIN($AX$2:$AX$252))/(MAX($AX$2:$AX$252)-MIN($AX$2:$AX$252))*100))</x:f>
      </x:c>
      <x:c r="AZ79">
        <x:f>IF(J79="","",LOG10(J79+1))</x:f>
      </x:c>
      <x:c r="BA79" s="10">
        <x:f>IF(AZ79="","",IF(MAX($AZ$2:$AZ$252)-MIN($AZ$2:$AZ$252)=0,"",(AZ79-MIN($AZ$2:$AZ$252))/(MAX($AZ$2:$AZ$252)-MIN($AZ$2:$AZ$252))*100))</x:f>
      </x:c>
      <x:c r="BB79">
        <x:f>IF(K79="","",LOG10(K79+1))</x:f>
      </x:c>
      <x:c r="BC79" s="10">
        <x:f>IF(BB79="","",IF(MAX($BB$2:$BB$252)-MIN($BB$2:$BB$252)=0,"",(BB79-MIN($BB$2:$BB$252))/(MAX($BB$2:$BB$252)-MIN($BB$2:$BB$252))*100))</x:f>
      </x:c>
      <x:c r="BD79">
        <x:f>IF(L79="","",LOG10(L79+1))</x:f>
      </x:c>
      <x:c r="BE79" s="10">
        <x:f>IF(BD79="","",IF(MAX($BD$2:$BD$252)-MIN($BD$2:$BD$252)=0,"",(BD79-MIN($BD$2:$BD$252))/(MAX($BD$2:$BD$252)-MIN($BD$2:$BD$252))*100))</x:f>
      </x:c>
      <x:c r="BF79" s="10">
        <x:f>IF(P79="","",IF(MAX($P$2:$P$252)-MIN($P$2:$P$252)=0,"",(P79-MIN($P$2:$P$252))/(MAX($P$2:$P$252)-MIN($P$2:$P$252))*100))</x:f>
      </x:c>
      <x:c r="BG79">
        <x:f>IF(AF79="","",LOG10(AF79+1))</x:f>
      </x:c>
      <x:c r="BH79" s="10">
        <x:f>IF(BG79="","",IF(MAX($BG$2:$BG$252)-MIN($BG$2:$BG$252)=0,"",(BG79-MIN($BG$2:$BG$252))/(MAX($BG$2:$BG$252)-MIN($BG$2:$BG$252))*100))</x:f>
      </x:c>
      <x:c r="BI79">
        <x:f>IF(AC79="","",LOG10(AC79+1))</x:f>
      </x:c>
      <x:c r="BJ79" s="10">
        <x:f>IF(BI79="","",IF(MAX($BI$2:$BI$252)-MIN($BI$2:$BI$252)=0,"",(BI79-MIN($BI$2:$BI$252))/(MAX($BI$2:$BI$252)-MIN($BI$2:$BI$252))*100))</x:f>
      </x:c>
      <x:c r="BK79">
        <x:f>IF(AD79="","",(AD79*2)+(AE79*1))</x:f>
      </x:c>
      <x:c r="BL79" s="10">
        <x:f>IF(BK79="","",IF(MAX($BK$2:$BK$252)-MIN($BK$2:$BK$252)=0,"",(BK79-MIN($BK$2:$BK$252))/(MAX($BK$2:$BK$252)-MIN($BK$2:$BK$252))*100))</x:f>
      </x:c>
      <x:c r="BM79" s="10">
        <x:f>IF(AB79="","",IF(MAX($AB$2:$AB$252)-MIN($AB$2:$AB$252)=0,"",(AB79-MIN($AB$2:$AB$252))/(MAX($AB$2:$AB$252)-MIN($AB$2:$AB$252))*100))</x:f>
      </x:c>
      <x:c r="BN79" s="10">
        <x:f>IF(X79="","",X79)</x:f>
      </x:c>
      <x:c r="BO79" s="10">
        <x:f>IF(X79="","",100-X79)</x:f>
      </x:c>
      <x:c r="BP79" s="10">
        <x:f>IF((Weights!$C$2*IF(BH79="",0,1)+Weights!$C$3*IF(BJ79="",0,1)+Weights!$C$4*IF(BL79="",0,1))=0,"",(Weights!$C$2*IF(BH79="",0,BH79)+Weights!$C$3*IF(BJ79="",0,BJ79)+Weights!$C$4*IF(BL79="",0,BL79))/(Weights!$C$2*IF(BH79="",0,1)+Weights!$C$3*IF(BJ79="",0,1)+Weights!$C$4*IF(BL79="",0,1)))</x:f>
      </x:c>
      <x:c r="BQ79" s="10">
        <x:f>IF((Weights!$C$5*IF(BA79="",0,1)+Weights!$C$6*IF(AW79="",0,1)+Weights!$C$7*IF(AU79="",0,1))=0,"",(Weights!$C$5*IF(BA79="",0,BA79)+Weights!$C$6*IF(AW79="",0,AW79)+Weights!$C$7*IF(AU79="",0,AU79))/(Weights!$C$5*IF(BA79="",0,1)+Weights!$C$6*IF(AW79="",0,1)+Weights!$C$7*IF(AU79="",0,1)))</x:f>
      </x:c>
      <x:c r="BR79" s="10">
        <x:f>IF((Weights!$C$8*IF(AW79="",0,1)+Weights!$C$9*IF(BC79="",0,1)+Weights!$C$10*IF(BF79="",0,1))=0,"",(Weights!$C$8*IF(AW79="",0,AW79)+Weights!$C$9*IF(BC79="",0,BC79)+Weights!$C$10*IF(BF79="",0,BF79))/(Weights!$C$8*IF(AW79="",0,1)+Weights!$C$9*IF(BC79="",0,1)+Weights!$C$10*IF(BF79="",0,1)))</x:f>
      </x:c>
      <x:c r="BS79" s="10">
        <x:f>IF(Y79="","",Y79)</x:f>
      </x:c>
      <x:c r="BT79" s="10">
        <x:f>IF(AS79="","",AS79)</x:f>
      </x:c>
      <x:c r="BU79" s="10">
        <x:f>IF(AJ79&lt;&gt;"",(0.6*AJ79+0.4*AU79),IF((Weights!$C$11*IF(AU79="",0,1)+Weights!$C$12*IF(BM79="",0,1))=0,"",(Weights!$C$11*IF(AU79="",0,AU79)+Weights!$C$12*IF(BM79="",0,BM79))/(Weights!$C$11*IF(AU79="",0,1)+Weights!$C$12*IF(BM79="",0,1))))</x:f>
      </x:c>
      <x:c r="BV79" s="10">
        <x:f>IF(CG79="",0,CG79)</x:f>
      </x:c>
      <x:c r="BW79" s="10">
        <x:f>IF(AP79="","",AP79)</x:f>
      </x:c>
      <x:c r="BX79" s="10">
        <x:f>IF(AO79="","",AO79)</x:f>
      </x:c>
      <x:c r="BY79" s="10">
        <x:f>IF(AL79="","",AL79)</x:f>
      </x:c>
      <x:c r="BZ79" s="10">
        <x:f>IF(AM79="","",AM79)</x:f>
      </x:c>
      <x:c r="CA79" s="10">
        <x:f>IF(AK79&lt;&gt;"",AK79,AW79)</x:f>
      </x:c>
      <x:c r="CB79" s="10">
        <x:f>IF((Weights!$C$13*IF(BP79="",0,1)+Weights!$C$14*IF(BR79="",0,1)+Weights!$C$15*IF(BQ79="",0,1)+Weights!$C$16*IF(BS79="",0,1)+Weights!$C$17*IF(BU79="",0,1)+Weights!$C$18*IF(BT79="",0,1)+Weights!$C$19*IF(BW79="",0,1)+Weights!$C$20*IF(BZ79="",0,1)+Weights!$C$21*IF(BO79="",0,1)+Weights!$C$22)=0,"",(Weights!$C$13*IF(BP79="",0,BP79)+Weights!$C$14*IF(BR79="",0,BR79)+Weights!$C$15*IF(BQ79="",0,BQ79)+Weights!$C$16*IF(BS79="",0,BS79)+Weights!$C$17*IF(BU79="",0,BU79)+Weights!$C$18*IF(BT79="",0,BT79)+Weights!$C$19*IF(BW79="",0,BW79)+Weights!$C$20*IF(BZ79="",0,BZ79)+Weights!$C$21*IF(BO79="",0,BO79)+Weights!$C$22*BV79)/(Weights!$C$13*IF(BP79="",0,1)+Weights!$C$14*IF(BR79="",0,1)+Weights!$C$15*IF(BQ79="",0,1)+Weights!$C$16*IF(BS79="",0,1)+Weights!$C$17*IF(BU79="",0,1)+Weights!$C$18*IF(BT79="",0,1)+Weights!$C$19*IF(BW79="",0,1)+Weights!$C$20*IF(BZ79="",0,1)+Weights!$C$21*IF(BO79="",0,1)+Weights!$C$22))</x:f>
      </x:c>
      <x:c r="CC79" s="10">
        <x:f>IF((Weights!$C$23*IF(BQ79="",0,1)+Weights!$C$24*IF(BN79="",0,1)+Weights!$C$25*IF(BS79="",0,1)+Weights!$C$26*IF(BY79="",0,1)+Weights!$C$27*IF(BX79="",0,1)+Weights!$C$28*IF(BT79="",0,1)+Weights!$C$29*IF(CA79="",0,1)+Weights!$C$30+Weights!$C$31*IF(BU79="",0,1))=0,"",(Weights!$C$23*IF(BQ79="",0,BQ79)+Weights!$C$24*IF(BN79="",0,BN79)+Weights!$C$25*IF(BS79="",0,BS79)+Weights!$C$26*IF(BY79="",0,BY79)+Weights!$C$27*IF(BX79="",0,BX79)+Weights!$C$28*IF(BT79="",0,BT79)+Weights!$C$29*IF(CA79="",0,CA79)+Weights!$C$30*BV79+Weights!$C$31*IF(BU79="",0,BU79))/(Weights!$C$23*IF(BQ79="",0,1)+Weights!$C$24*IF(BN79="",0,1)+Weights!$C$25*IF(BS79="",0,1)+Weights!$C$26*IF(BY79="",0,1)+Weights!$C$27*IF(BX79="",0,1)+Weights!$C$28*IF(BT79="",0,1)+Weights!$C$29*IF(CA79="",0,1)+Weights!$C$30+Weights!$C$31*IF(BU79="",0,1)))</x:f>
      </x:c>
      <x:c r="CD79" s="10">
        <x:f>IF(AND(CB79="",CC79=""),"",IF(CB79="",CC79,IF(CC79="",CB79,AVERAGE(CB79,CC79))))</x:f>
      </x:c>
      <x:c r="CE79" s="7">
        <x:f>ROUND(100*((IF(BP79&lt;&gt;"",1,0)+IF(BQ79&lt;&gt;"",1,0)+IF(BR79&lt;&gt;"",1,0)+IF(BS79&lt;&gt;"",1,0)+IF(BU79&lt;&gt;"",1,0)+IF(BT79&lt;&gt;"",1,0)+IF(BN79&lt;&gt;"",1,0)+IF(AW79&lt;&gt;"",1,0))/8),0)</x:f>
      </x:c>
      <x:c r="CF79">
        <x:f>IF(V79="","",LOG10(V79+1))</x:f>
      </x:c>
      <x:c r="CG79">
        <x:f>IF(CF79="","",IF(MAX($CF$2:$CF$252)-MIN($CF$2:$CF$252)=0,"",(CF79-MIN($CF$2:$CF$252))/(MAX($CF$2:$CF$252)-MIN($CF$2:$CF$252))*100))</x:f>
      </x:c>
    </x:row>
    <x:row r="80">
      <x:c r="A80" t="inlineStr">
        <x:is>
          <x:t xml:space="preserve">BTN</x:t>
        </x:is>
      </x:c>
      <x:c r="B80" t="inlineStr">
        <x:is>
          <x:t xml:space="preserve">Bhutan</x:t>
        </x:is>
      </x:c>
      <x:c r="C80" t="inlineStr">
        <x:is>
          <x:t xml:space="preserve">South Asia</x:t>
        </x:is>
      </x:c>
      <x:c r="D80" t="inlineStr">
        <x:is>
          <x:t xml:space="preserve">Lower middle income</x:t>
        </x:is>
      </x:c>
      <x:c r="E80" t="inlineStr">
        <x:is>
          <x:t xml:space="preserve">Asia</x:t>
        </x:is>
      </x:c>
      <x:c r="F80" t="n">
        <x:v>2024</x:v>
      </x:c>
      <x:c r="G80" t="n">
        <x:v>791524</x:v>
      </x:c>
      <x:c r="H80" t="n">
        <x:v>2000</x:v>
      </x:c>
      <x:c r="I80" t="n">
        <x:v>6000</x:v>
      </x:c>
      <x:c r="J80" t="n">
        <x:v>3900</x:v>
      </x:c>
      <x:c r="K80" t="n">
        <x:v>1200</x:v>
      </x:c>
      <x:c r="L80" t="n">
        <x:v>720</x:v>
      </x:c>
      <x:c r="N80" s="8" t="n"/>
      <x:c r="O80" s="9" t="n"/>
      <x:c r="P80" s="8" t="n"/>
      <x:c r="Q80" t="n">
        <x:v>2023</x:v>
      </x:c>
      <x:c r="R80" s="8" t="n">
        <x:v>3012896789.24928</x:v>
      </x:c>
      <x:c r="S80" t="n">
        <x:v>0</x:v>
      </x:c>
      <x:c r="T80" t="n">
        <x:v>0</x:v>
      </x:c>
      <x:c r="U80" t="inlineStr">
        <x:is>
          <x:t xml:space="preserve">No</x:t>
        </x:is>
      </x:c>
      <x:c r="W80" t="inlineStr">
        <x:is>
          <x:t xml:space="preserve">No</x:t>
        </x:is>
      </x:c>
      <x:c r="X80" t="n">
        <x:v>4.749917931967153</x:v>
      </x:c>
      <x:c r="Y80" t="n">
        <x:v>43.94238090802725</x:v>
      </x:c>
      <x:c r="Z80" t="n">
        <x:v>39377.40200573441</x:v>
      </x:c>
      <x:c r="AA80" t="n">
        <x:v>19.25693319964514</x:v>
      </x:c>
      <x:c r="AB80" s="8" t="n">
        <x:v>8482.265313442913</x:v>
      </x:c>
      <x:c r="AR80">
        <x:f>IF(G80="","",LOG10(G80+1))</x:f>
      </x:c>
      <x:c r="AS80" s="10">
        <x:f>IF(AR80="","",IF(MAX($AR$2:$AR$252)-MIN($AR$2:$AR$252)=0,"",(AR80-MIN($AR$2:$AR$252))/(MAX($AR$2:$AR$252)-MIN($AR$2:$AR$252))*100))</x:f>
      </x:c>
      <x:c r="AT80">
        <x:f>IF(R80="","",LOG10(R80+1))</x:f>
      </x:c>
      <x:c r="AU80" s="10">
        <x:f>IF(AT80="","",IF(MAX($AT$2:$AT$252)-MIN($AT$2:$AT$252)=0,"",(AT80-MIN($AT$2:$AT$252))/(MAX($AT$2:$AT$252)-MIN($AT$2:$AT$252))*100))</x:f>
      </x:c>
      <x:c r="AV80">
        <x:f>IF(N80="","",LOG10(N80+1))</x:f>
      </x:c>
      <x:c r="AW80" s="10">
        <x:f>IF(AV80="","",IF(MAX($AV$2:$AV$252)-MIN($AV$2:$AV$252)=0,"",(AV80-MIN($AV$2:$AV$252))/(MAX($AV$2:$AV$252)-MIN($AV$2:$AV$252))*100))</x:f>
      </x:c>
      <x:c r="AX80">
        <x:f>IF(I80="","",LOG10(I80+1))</x:f>
      </x:c>
      <x:c r="AY80" s="10">
        <x:f>IF(AX80="","",IF(MAX($AX$2:$AX$252)-MIN($AX$2:$AX$252)=0,"",(AX80-MIN($AX$2:$AX$252))/(MAX($AX$2:$AX$252)-MIN($AX$2:$AX$252))*100))</x:f>
      </x:c>
      <x:c r="AZ80">
        <x:f>IF(J80="","",LOG10(J80+1))</x:f>
      </x:c>
      <x:c r="BA80" s="10">
        <x:f>IF(AZ80="","",IF(MAX($AZ$2:$AZ$252)-MIN($AZ$2:$AZ$252)=0,"",(AZ80-MIN($AZ$2:$AZ$252))/(MAX($AZ$2:$AZ$252)-MIN($AZ$2:$AZ$252))*100))</x:f>
      </x:c>
      <x:c r="BB80">
        <x:f>IF(K80="","",LOG10(K80+1))</x:f>
      </x:c>
      <x:c r="BC80" s="10">
        <x:f>IF(BB80="","",IF(MAX($BB$2:$BB$252)-MIN($BB$2:$BB$252)=0,"",(BB80-MIN($BB$2:$BB$252))/(MAX($BB$2:$BB$252)-MIN($BB$2:$BB$252))*100))</x:f>
      </x:c>
      <x:c r="BD80">
        <x:f>IF(L80="","",LOG10(L80+1))</x:f>
      </x:c>
      <x:c r="BE80" s="10">
        <x:f>IF(BD80="","",IF(MAX($BD$2:$BD$252)-MIN($BD$2:$BD$252)=0,"",(BD80-MIN($BD$2:$BD$252))/(MAX($BD$2:$BD$252)-MIN($BD$2:$BD$252))*100))</x:f>
      </x:c>
      <x:c r="BF80" s="10">
        <x:f>IF(P80="","",IF(MAX($P$2:$P$252)-MIN($P$2:$P$252)=0,"",(P80-MIN($P$2:$P$252))/(MAX($P$2:$P$252)-MIN($P$2:$P$252))*100))</x:f>
      </x:c>
      <x:c r="BG80">
        <x:f>IF(AF80="","",LOG10(AF80+1))</x:f>
      </x:c>
      <x:c r="BH80" s="10">
        <x:f>IF(BG80="","",IF(MAX($BG$2:$BG$252)-MIN($BG$2:$BG$252)=0,"",(BG80-MIN($BG$2:$BG$252))/(MAX($BG$2:$BG$252)-MIN($BG$2:$BG$252))*100))</x:f>
      </x:c>
      <x:c r="BI80">
        <x:f>IF(AC80="","",LOG10(AC80+1))</x:f>
      </x:c>
      <x:c r="BJ80" s="10">
        <x:f>IF(BI80="","",IF(MAX($BI$2:$BI$252)-MIN($BI$2:$BI$252)=0,"",(BI80-MIN($BI$2:$BI$252))/(MAX($BI$2:$BI$252)-MIN($BI$2:$BI$252))*100))</x:f>
      </x:c>
      <x:c r="BK80">
        <x:f>IF(AD80="","",(AD80*2)+(AE80*1))</x:f>
      </x:c>
      <x:c r="BL80" s="10">
        <x:f>IF(BK80="","",IF(MAX($BK$2:$BK$252)-MIN($BK$2:$BK$252)=0,"",(BK80-MIN($BK$2:$BK$252))/(MAX($BK$2:$BK$252)-MIN($BK$2:$BK$252))*100))</x:f>
      </x:c>
      <x:c r="BM80" s="10">
        <x:f>IF(AB80="","",IF(MAX($AB$2:$AB$252)-MIN($AB$2:$AB$252)=0,"",(AB80-MIN($AB$2:$AB$252))/(MAX($AB$2:$AB$252)-MIN($AB$2:$AB$252))*100))</x:f>
      </x:c>
      <x:c r="BN80" s="10">
        <x:f>IF(X80="","",X80)</x:f>
      </x:c>
      <x:c r="BO80" s="10">
        <x:f>IF(X80="","",100-X80)</x:f>
      </x:c>
      <x:c r="BP80" s="10">
        <x:f>IF((Weights!$C$2*IF(BH80="",0,1)+Weights!$C$3*IF(BJ80="",0,1)+Weights!$C$4*IF(BL80="",0,1))=0,"",(Weights!$C$2*IF(BH80="",0,BH80)+Weights!$C$3*IF(BJ80="",0,BJ80)+Weights!$C$4*IF(BL80="",0,BL80))/(Weights!$C$2*IF(BH80="",0,1)+Weights!$C$3*IF(BJ80="",0,1)+Weights!$C$4*IF(BL80="",0,1)))</x:f>
      </x:c>
      <x:c r="BQ80" s="10">
        <x:f>IF((Weights!$C$5*IF(BA80="",0,1)+Weights!$C$6*IF(AW80="",0,1)+Weights!$C$7*IF(AU80="",0,1))=0,"",(Weights!$C$5*IF(BA80="",0,BA80)+Weights!$C$6*IF(AW80="",0,AW80)+Weights!$C$7*IF(AU80="",0,AU80))/(Weights!$C$5*IF(BA80="",0,1)+Weights!$C$6*IF(AW80="",0,1)+Weights!$C$7*IF(AU80="",0,1)))</x:f>
      </x:c>
      <x:c r="BR80" s="10">
        <x:f>IF((Weights!$C$8*IF(AW80="",0,1)+Weights!$C$9*IF(BC80="",0,1)+Weights!$C$10*IF(BF80="",0,1))=0,"",(Weights!$C$8*IF(AW80="",0,AW80)+Weights!$C$9*IF(BC80="",0,BC80)+Weights!$C$10*IF(BF80="",0,BF80))/(Weights!$C$8*IF(AW80="",0,1)+Weights!$C$9*IF(BC80="",0,1)+Weights!$C$10*IF(BF80="",0,1)))</x:f>
      </x:c>
      <x:c r="BS80" s="10">
        <x:f>IF(Y80="","",Y80)</x:f>
      </x:c>
      <x:c r="BT80" s="10">
        <x:f>IF(AS80="","",AS80)</x:f>
      </x:c>
      <x:c r="BU80" s="10">
        <x:f>IF(AJ80&lt;&gt;"",(0.6*AJ80+0.4*AU80),IF((Weights!$C$11*IF(AU80="",0,1)+Weights!$C$12*IF(BM80="",0,1))=0,"",(Weights!$C$11*IF(AU80="",0,AU80)+Weights!$C$12*IF(BM80="",0,BM80))/(Weights!$C$11*IF(AU80="",0,1)+Weights!$C$12*IF(BM80="",0,1))))</x:f>
      </x:c>
      <x:c r="BV80" s="10">
        <x:f>IF(CG80="",0,CG80)</x:f>
      </x:c>
      <x:c r="BW80" s="10">
        <x:f>IF(AP80="","",AP80)</x:f>
      </x:c>
      <x:c r="BX80" s="10">
        <x:f>IF(AO80="","",AO80)</x:f>
      </x:c>
      <x:c r="BY80" s="10">
        <x:f>IF(AL80="","",AL80)</x:f>
      </x:c>
      <x:c r="BZ80" s="10">
        <x:f>IF(AM80="","",AM80)</x:f>
      </x:c>
      <x:c r="CA80" s="10">
        <x:f>IF(AK80&lt;&gt;"",AK80,AW80)</x:f>
      </x:c>
      <x:c r="CB80" s="10">
        <x:f>IF((Weights!$C$13*IF(BP80="",0,1)+Weights!$C$14*IF(BR80="",0,1)+Weights!$C$15*IF(BQ80="",0,1)+Weights!$C$16*IF(BS80="",0,1)+Weights!$C$17*IF(BU80="",0,1)+Weights!$C$18*IF(BT80="",0,1)+Weights!$C$19*IF(BW80="",0,1)+Weights!$C$20*IF(BZ80="",0,1)+Weights!$C$21*IF(BO80="",0,1)+Weights!$C$22)=0,"",(Weights!$C$13*IF(BP80="",0,BP80)+Weights!$C$14*IF(BR80="",0,BR80)+Weights!$C$15*IF(BQ80="",0,BQ80)+Weights!$C$16*IF(BS80="",0,BS80)+Weights!$C$17*IF(BU80="",0,BU80)+Weights!$C$18*IF(BT80="",0,BT80)+Weights!$C$19*IF(BW80="",0,BW80)+Weights!$C$20*IF(BZ80="",0,BZ80)+Weights!$C$21*IF(BO80="",0,BO80)+Weights!$C$22*BV80)/(Weights!$C$13*IF(BP80="",0,1)+Weights!$C$14*IF(BR80="",0,1)+Weights!$C$15*IF(BQ80="",0,1)+Weights!$C$16*IF(BS80="",0,1)+Weights!$C$17*IF(BU80="",0,1)+Weights!$C$18*IF(BT80="",0,1)+Weights!$C$19*IF(BW80="",0,1)+Weights!$C$20*IF(BZ80="",0,1)+Weights!$C$21*IF(BO80="",0,1)+Weights!$C$22))</x:f>
      </x:c>
      <x:c r="CC80" s="10">
        <x:f>IF((Weights!$C$23*IF(BQ80="",0,1)+Weights!$C$24*IF(BN80="",0,1)+Weights!$C$25*IF(BS80="",0,1)+Weights!$C$26*IF(BY80="",0,1)+Weights!$C$27*IF(BX80="",0,1)+Weights!$C$28*IF(BT80="",0,1)+Weights!$C$29*IF(CA80="",0,1)+Weights!$C$30+Weights!$C$31*IF(BU80="",0,1))=0,"",(Weights!$C$23*IF(BQ80="",0,BQ80)+Weights!$C$24*IF(BN80="",0,BN80)+Weights!$C$25*IF(BS80="",0,BS80)+Weights!$C$26*IF(BY80="",0,BY80)+Weights!$C$27*IF(BX80="",0,BX80)+Weights!$C$28*IF(BT80="",0,BT80)+Weights!$C$29*IF(CA80="",0,CA80)+Weights!$C$30*BV80+Weights!$C$31*IF(BU80="",0,BU80))/(Weights!$C$23*IF(BQ80="",0,1)+Weights!$C$24*IF(BN80="",0,1)+Weights!$C$25*IF(BS80="",0,1)+Weights!$C$26*IF(BY80="",0,1)+Weights!$C$27*IF(BX80="",0,1)+Weights!$C$28*IF(BT80="",0,1)+Weights!$C$29*IF(CA80="",0,1)+Weights!$C$30+Weights!$C$31*IF(BU80="",0,1)))</x:f>
      </x:c>
      <x:c r="CD80" s="10">
        <x:f>IF(AND(CB80="",CC80=""),"",IF(CB80="",CC80,IF(CC80="",CB80,AVERAGE(CB80,CC80))))</x:f>
      </x:c>
      <x:c r="CE80" s="7">
        <x:f>ROUND(100*((IF(BP80&lt;&gt;"",1,0)+IF(BQ80&lt;&gt;"",1,0)+IF(BR80&lt;&gt;"",1,0)+IF(BS80&lt;&gt;"",1,0)+IF(BU80&lt;&gt;"",1,0)+IF(BT80&lt;&gt;"",1,0)+IF(BN80&lt;&gt;"",1,0)+IF(AW80&lt;&gt;"",1,0))/8),0)</x:f>
      </x:c>
      <x:c r="CF80">
        <x:f>IF(V80="","",LOG10(V80+1))</x:f>
      </x:c>
      <x:c r="CG80">
        <x:f>IF(CF80="","",IF(MAX($CF$2:$CF$252)-MIN($CF$2:$CF$252)=0,"",(CF80-MIN($CF$2:$CF$252))/(MAX($CF$2:$CF$252)-MIN($CF$2:$CF$252))*100))</x:f>
      </x:c>
    </x:row>
    <x:row r="81">
      <x:c r="A81" t="inlineStr">
        <x:is>
          <x:t xml:space="preserve">KHM</x:t>
        </x:is>
      </x:c>
      <x:c r="B81" t="inlineStr">
        <x:is>
          <x:t xml:space="preserve">Cambodia</x:t>
        </x:is>
      </x:c>
      <x:c r="C81" t="inlineStr">
        <x:is>
          <x:t xml:space="preserve">East Asia &amp; Pacific</x:t>
        </x:is>
      </x:c>
      <x:c r="D81" t="inlineStr">
        <x:is>
          <x:t xml:space="preserve">Lower middle income</x:t>
        </x:is>
      </x:c>
      <x:c r="E81" t="inlineStr">
        <x:is>
          <x:t xml:space="preserve">Asia</x:t>
        </x:is>
      </x:c>
      <x:c r="F81" t="n">
        <x:v>2024</x:v>
      </x:c>
      <x:c r="G81" t="n">
        <x:v>17638801</x:v>
      </x:c>
      <x:c r="H81" t="n">
        <x:v>2020</x:v>
      </x:c>
      <x:c r="I81" t="n">
        <x:v>191000</x:v>
      </x:c>
      <x:c r="J81" t="n">
        <x:v>124150</x:v>
      </x:c>
      <x:c r="K81" t="n">
        <x:v>38200</x:v>
      </x:c>
      <x:c r="L81" t="n">
        <x:v>22920</x:v>
      </x:c>
      <x:c r="M81" t="n">
        <x:v>2024</x:v>
      </x:c>
      <x:c r="N81" s="8" t="n">
        <x:v>720543532.1733921</x:v>
      </x:c>
      <x:c r="O81" s="9" t="n">
        <x:v>1.52066451977199</x:v>
      </x:c>
      <x:c r="P81" s="8" t="n">
        <x:v>3772.479226038702</x:v>
      </x:c>
      <x:c r="Q81" t="n">
        <x:v>2024</x:v>
      </x:c>
      <x:c r="R81" s="8" t="n">
        <x:v>46352647037.2406</x:v>
      </x:c>
      <x:c r="S81" t="n">
        <x:v>0</x:v>
      </x:c>
      <x:c r="T81" t="n">
        <x:v>0</x:v>
      </x:c>
      <x:c r="U81" t="inlineStr">
        <x:is>
          <x:t xml:space="preserve">No</x:t>
        </x:is>
      </x:c>
      <x:c r="W81" t="inlineStr">
        <x:is>
          <x:t xml:space="preserve">No</x:t>
        </x:is>
      </x:c>
      <x:c r="X81" t="n">
        <x:v>5.742520059798357</x:v>
      </x:c>
      <x:c r="Y81" t="n">
        <x:v>40.89662775987565</x:v>
      </x:c>
      <x:c r="Z81" t="n">
        <x:v>182235.9777820445</x:v>
      </x:c>
      <x:c r="AA81" t="n">
        <x:v>88.92034491334459</x:v>
      </x:c>
      <x:c r="AB81" s="8" t="n">
        <x:v>3637.264397031785</x:v>
      </x:c>
      <x:c r="AC81" t="n">
        <x:v>31</x:v>
      </x:c>
      <x:c r="AD81" t="n">
        <x:v>0</x:v>
      </x:c>
      <x:c r="AE81" t="n">
        <x:v>0</x:v>
      </x:c>
      <x:c r="AI81" t="n">
        <x:v>9.5</x:v>
      </x:c>
      <x:c r="AJ81" t="n">
        <x:v>2.4</x:v>
      </x:c>
      <x:c r="AK81" t="n">
        <x:v>5.6</x:v>
      </x:c>
      <x:c r="AL81" t="n">
        <x:v>15.3</x:v>
      </x:c>
      <x:c r="AM81" t="n">
        <x:v>2</x:v>
      </x:c>
      <x:c r="AN81" t="n">
        <x:v>8.699999999999999</x:v>
      </x:c>
      <x:c r="AO81" t="n">
        <x:v>9.4</x:v>
      </x:c>
      <x:c r="AP81" t="n">
        <x:v>34.8</x:v>
      </x:c>
      <x:c r="AQ81" t="n">
        <x:v>7</x:v>
      </x:c>
      <x:c r="AR81">
        <x:f>IF(G81="","",LOG10(G81+1))</x:f>
      </x:c>
      <x:c r="AS81" s="10">
        <x:f>IF(AR81="","",IF(MAX($AR$2:$AR$252)-MIN($AR$2:$AR$252)=0,"",(AR81-MIN($AR$2:$AR$252))/(MAX($AR$2:$AR$252)-MIN($AR$2:$AR$252))*100))</x:f>
      </x:c>
      <x:c r="AT81">
        <x:f>IF(R81="","",LOG10(R81+1))</x:f>
      </x:c>
      <x:c r="AU81" s="10">
        <x:f>IF(AT81="","",IF(MAX($AT$2:$AT$252)-MIN($AT$2:$AT$252)=0,"",(AT81-MIN($AT$2:$AT$252))/(MAX($AT$2:$AT$252)-MIN($AT$2:$AT$252))*100))</x:f>
      </x:c>
      <x:c r="AV81">
        <x:f>IF(N81="","",LOG10(N81+1))</x:f>
      </x:c>
      <x:c r="AW81" s="10">
        <x:f>IF(AV81="","",IF(MAX($AV$2:$AV$252)-MIN($AV$2:$AV$252)=0,"",(AV81-MIN($AV$2:$AV$252))/(MAX($AV$2:$AV$252)-MIN($AV$2:$AV$252))*100))</x:f>
      </x:c>
      <x:c r="AX81">
        <x:f>IF(I81="","",LOG10(I81+1))</x:f>
      </x:c>
      <x:c r="AY81" s="10">
        <x:f>IF(AX81="","",IF(MAX($AX$2:$AX$252)-MIN($AX$2:$AX$252)=0,"",(AX81-MIN($AX$2:$AX$252))/(MAX($AX$2:$AX$252)-MIN($AX$2:$AX$252))*100))</x:f>
      </x:c>
      <x:c r="AZ81">
        <x:f>IF(J81="","",LOG10(J81+1))</x:f>
      </x:c>
      <x:c r="BA81" s="10">
        <x:f>IF(AZ81="","",IF(MAX($AZ$2:$AZ$252)-MIN($AZ$2:$AZ$252)=0,"",(AZ81-MIN($AZ$2:$AZ$252))/(MAX($AZ$2:$AZ$252)-MIN($AZ$2:$AZ$252))*100))</x:f>
      </x:c>
      <x:c r="BB81">
        <x:f>IF(K81="","",LOG10(K81+1))</x:f>
      </x:c>
      <x:c r="BC81" s="10">
        <x:f>IF(BB81="","",IF(MAX($BB$2:$BB$252)-MIN($BB$2:$BB$252)=0,"",(BB81-MIN($BB$2:$BB$252))/(MAX($BB$2:$BB$252)-MIN($BB$2:$BB$252))*100))</x:f>
      </x:c>
      <x:c r="BD81">
        <x:f>IF(L81="","",LOG10(L81+1))</x:f>
      </x:c>
      <x:c r="BE81" s="10">
        <x:f>IF(BD81="","",IF(MAX($BD$2:$BD$252)-MIN($BD$2:$BD$252)=0,"",(BD81-MIN($BD$2:$BD$252))/(MAX($BD$2:$BD$252)-MIN($BD$2:$BD$252))*100))</x:f>
      </x:c>
      <x:c r="BF81" s="10">
        <x:f>IF(P81="","",IF(MAX($P$2:$P$252)-MIN($P$2:$P$252)=0,"",(P81-MIN($P$2:$P$252))/(MAX($P$2:$P$252)-MIN($P$2:$P$252))*100))</x:f>
      </x:c>
      <x:c r="BG81">
        <x:f>IF(AF81="","",LOG10(AF81+1))</x:f>
      </x:c>
      <x:c r="BH81" s="10">
        <x:f>IF(BG81="","",IF(MAX($BG$2:$BG$252)-MIN($BG$2:$BG$252)=0,"",(BG81-MIN($BG$2:$BG$252))/(MAX($BG$2:$BG$252)-MIN($BG$2:$BG$252))*100))</x:f>
      </x:c>
      <x:c r="BI81">
        <x:f>IF(AC81="","",LOG10(AC81+1))</x:f>
      </x:c>
      <x:c r="BJ81" s="10">
        <x:f>IF(BI81="","",IF(MAX($BI$2:$BI$252)-MIN($BI$2:$BI$252)=0,"",(BI81-MIN($BI$2:$BI$252))/(MAX($BI$2:$BI$252)-MIN($BI$2:$BI$252))*100))</x:f>
      </x:c>
      <x:c r="BK81">
        <x:f>IF(AD81="","",(AD81*2)+(AE81*1))</x:f>
      </x:c>
      <x:c r="BL81" s="10">
        <x:f>IF(BK81="","",IF(MAX($BK$2:$BK$252)-MIN($BK$2:$BK$252)=0,"",(BK81-MIN($BK$2:$BK$252))/(MAX($BK$2:$BK$252)-MIN($BK$2:$BK$252))*100))</x:f>
      </x:c>
      <x:c r="BM81" s="10">
        <x:f>IF(AB81="","",IF(MAX($AB$2:$AB$252)-MIN($AB$2:$AB$252)=0,"",(AB81-MIN($AB$2:$AB$252))/(MAX($AB$2:$AB$252)-MIN($AB$2:$AB$252))*100))</x:f>
      </x:c>
      <x:c r="BN81" s="10">
        <x:f>IF(X81="","",X81)</x:f>
      </x:c>
      <x:c r="BO81" s="10">
        <x:f>IF(X81="","",100-X81)</x:f>
      </x:c>
      <x:c r="BP81" s="10">
        <x:f>IF((Weights!$C$2*IF(BH81="",0,1)+Weights!$C$3*IF(BJ81="",0,1)+Weights!$C$4*IF(BL81="",0,1))=0,"",(Weights!$C$2*IF(BH81="",0,BH81)+Weights!$C$3*IF(BJ81="",0,BJ81)+Weights!$C$4*IF(BL81="",0,BL81))/(Weights!$C$2*IF(BH81="",0,1)+Weights!$C$3*IF(BJ81="",0,1)+Weights!$C$4*IF(BL81="",0,1)))</x:f>
      </x:c>
      <x:c r="BQ81" s="10">
        <x:f>IF((Weights!$C$5*IF(BA81="",0,1)+Weights!$C$6*IF(AW81="",0,1)+Weights!$C$7*IF(AU81="",0,1))=0,"",(Weights!$C$5*IF(BA81="",0,BA81)+Weights!$C$6*IF(AW81="",0,AW81)+Weights!$C$7*IF(AU81="",0,AU81))/(Weights!$C$5*IF(BA81="",0,1)+Weights!$C$6*IF(AW81="",0,1)+Weights!$C$7*IF(AU81="",0,1)))</x:f>
      </x:c>
      <x:c r="BR81" s="10">
        <x:f>IF((Weights!$C$8*IF(AW81="",0,1)+Weights!$C$9*IF(BC81="",0,1)+Weights!$C$10*IF(BF81="",0,1))=0,"",(Weights!$C$8*IF(AW81="",0,AW81)+Weights!$C$9*IF(BC81="",0,BC81)+Weights!$C$10*IF(BF81="",0,BF81))/(Weights!$C$8*IF(AW81="",0,1)+Weights!$C$9*IF(BC81="",0,1)+Weights!$C$10*IF(BF81="",0,1)))</x:f>
      </x:c>
      <x:c r="BS81" s="10">
        <x:f>IF(Y81="","",Y81)</x:f>
      </x:c>
      <x:c r="BT81" s="10">
        <x:f>IF(AS81="","",AS81)</x:f>
      </x:c>
      <x:c r="BU81" s="10">
        <x:f>IF(AJ81&lt;&gt;"",(0.6*AJ81+0.4*AU81),IF((Weights!$C$11*IF(AU81="",0,1)+Weights!$C$12*IF(BM81="",0,1))=0,"",(Weights!$C$11*IF(AU81="",0,AU81)+Weights!$C$12*IF(BM81="",0,BM81))/(Weights!$C$11*IF(AU81="",0,1)+Weights!$C$12*IF(BM81="",0,1))))</x:f>
      </x:c>
      <x:c r="BV81" s="10">
        <x:f>IF(CG81="",0,CG81)</x:f>
      </x:c>
      <x:c r="BW81" s="10">
        <x:f>IF(AP81="","",AP81)</x:f>
      </x:c>
      <x:c r="BX81" s="10">
        <x:f>IF(AO81="","",AO81)</x:f>
      </x:c>
      <x:c r="BY81" s="10">
        <x:f>IF(AL81="","",AL81)</x:f>
      </x:c>
      <x:c r="BZ81" s="10">
        <x:f>IF(AM81="","",AM81)</x:f>
      </x:c>
      <x:c r="CA81" s="10">
        <x:f>IF(AK81&lt;&gt;"",AK81,AW81)</x:f>
      </x:c>
      <x:c r="CB81" s="10">
        <x:f>IF((Weights!$C$13*IF(BP81="",0,1)+Weights!$C$14*IF(BR81="",0,1)+Weights!$C$15*IF(BQ81="",0,1)+Weights!$C$16*IF(BS81="",0,1)+Weights!$C$17*IF(BU81="",0,1)+Weights!$C$18*IF(BT81="",0,1)+Weights!$C$19*IF(BW81="",0,1)+Weights!$C$20*IF(BZ81="",0,1)+Weights!$C$21*IF(BO81="",0,1)+Weights!$C$22)=0,"",(Weights!$C$13*IF(BP81="",0,BP81)+Weights!$C$14*IF(BR81="",0,BR81)+Weights!$C$15*IF(BQ81="",0,BQ81)+Weights!$C$16*IF(BS81="",0,BS81)+Weights!$C$17*IF(BU81="",0,BU81)+Weights!$C$18*IF(BT81="",0,BT81)+Weights!$C$19*IF(BW81="",0,BW81)+Weights!$C$20*IF(BZ81="",0,BZ81)+Weights!$C$21*IF(BO81="",0,BO81)+Weights!$C$22*BV81)/(Weights!$C$13*IF(BP81="",0,1)+Weights!$C$14*IF(BR81="",0,1)+Weights!$C$15*IF(BQ81="",0,1)+Weights!$C$16*IF(BS81="",0,1)+Weights!$C$17*IF(BU81="",0,1)+Weights!$C$18*IF(BT81="",0,1)+Weights!$C$19*IF(BW81="",0,1)+Weights!$C$20*IF(BZ81="",0,1)+Weights!$C$21*IF(BO81="",0,1)+Weights!$C$22))</x:f>
      </x:c>
      <x:c r="CC81" s="10">
        <x:f>IF((Weights!$C$23*IF(BQ81="",0,1)+Weights!$C$24*IF(BN81="",0,1)+Weights!$C$25*IF(BS81="",0,1)+Weights!$C$26*IF(BY81="",0,1)+Weights!$C$27*IF(BX81="",0,1)+Weights!$C$28*IF(BT81="",0,1)+Weights!$C$29*IF(CA81="",0,1)+Weights!$C$30+Weights!$C$31*IF(BU81="",0,1))=0,"",(Weights!$C$23*IF(BQ81="",0,BQ81)+Weights!$C$24*IF(BN81="",0,BN81)+Weights!$C$25*IF(BS81="",0,BS81)+Weights!$C$26*IF(BY81="",0,BY81)+Weights!$C$27*IF(BX81="",0,BX81)+Weights!$C$28*IF(BT81="",0,BT81)+Weights!$C$29*IF(CA81="",0,CA81)+Weights!$C$30*BV81+Weights!$C$31*IF(BU81="",0,BU81))/(Weights!$C$23*IF(BQ81="",0,1)+Weights!$C$24*IF(BN81="",0,1)+Weights!$C$25*IF(BS81="",0,1)+Weights!$C$26*IF(BY81="",0,1)+Weights!$C$27*IF(BX81="",0,1)+Weights!$C$28*IF(BT81="",0,1)+Weights!$C$29*IF(CA81="",0,1)+Weights!$C$30+Weights!$C$31*IF(BU81="",0,1)))</x:f>
      </x:c>
      <x:c r="CD81" s="10">
        <x:f>IF(AND(CB81="",CC81=""),"",IF(CB81="",CC81,IF(CC81="",CB81,AVERAGE(CB81,CC81))))</x:f>
      </x:c>
      <x:c r="CE81" s="7">
        <x:f>ROUND(100*((IF(BP81&lt;&gt;"",1,0)+IF(BQ81&lt;&gt;"",1,0)+IF(BR81&lt;&gt;"",1,0)+IF(BS81&lt;&gt;"",1,0)+IF(BU81&lt;&gt;"",1,0)+IF(BT81&lt;&gt;"",1,0)+IF(BN81&lt;&gt;"",1,0)+IF(AW81&lt;&gt;"",1,0))/8),0)</x:f>
      </x:c>
      <x:c r="CF81">
        <x:f>IF(V81="","",LOG10(V81+1))</x:f>
      </x:c>
      <x:c r="CG81">
        <x:f>IF(CF81="","",IF(MAX($CF$2:$CF$252)-MIN($CF$2:$CF$252)=0,"",(CF81-MIN($CF$2:$CF$252))/(MAX($CF$2:$CF$252)-MIN($CF$2:$CF$252))*100))</x:f>
      </x:c>
    </x:row>
    <x:row r="82">
      <x:c r="A82" t="inlineStr">
        <x:is>
          <x:t xml:space="preserve">DNK</x:t>
        </x:is>
      </x:c>
      <x:c r="B82" t="inlineStr">
        <x:is>
          <x:t xml:space="preserve">Denmark</x:t>
        </x:is>
      </x:c>
      <x:c r="C82" t="inlineStr">
        <x:is>
          <x:t xml:space="preserve">Europe &amp; Central Asia</x:t>
        </x:is>
      </x:c>
      <x:c r="D82" t="inlineStr">
        <x:is>
          <x:t xml:space="preserve">High income</x:t>
        </x:is>
      </x:c>
      <x:c r="E82" t="inlineStr">
        <x:is>
          <x:t xml:space="preserve">Europe</x:t>
        </x:is>
      </x:c>
      <x:c r="F82" t="n">
        <x:v>2024</x:v>
      </x:c>
      <x:c r="G82" t="n">
        <x:v>5976992</x:v>
      </x:c>
      <x:c r="H82" t="n">
        <x:v>2020</x:v>
      </x:c>
      <x:c r="I82" t="n">
        <x:v>15000</x:v>
      </x:c>
      <x:c r="J82" t="n">
        <x:v>9750</x:v>
      </x:c>
      <x:c r="K82" t="n">
        <x:v>3000</x:v>
      </x:c>
      <x:c r="L82" t="n">
        <x:v>1800</x:v>
      </x:c>
      <x:c r="M82" t="n">
        <x:v>2024</x:v>
      </x:c>
      <x:c r="N82" s="8" t="n">
        <x:v>9958899778.69112</x:v>
      </x:c>
      <x:c r="O82" s="9" t="n">
        <x:v>2.41617454160591</x:v>
      </x:c>
      <x:c r="P82" s="8" t="n">
        <x:v>663926.6519127414</x:v>
      </x:c>
      <x:c r="Q82" t="n">
        <x:v>2024</x:v>
      </x:c>
      <x:c r="R82" s="8" t="n">
        <x:v>424524722037.047</x:v>
      </x:c>
      <x:c r="S82" t="n">
        <x:v>6</x:v>
      </x:c>
      <x:c r="T82" t="n">
        <x:v>1</x:v>
      </x:c>
      <x:c r="U82" t="inlineStr">
        <x:is>
          <x:t xml:space="preserve">No</x:t>
        </x:is>
      </x:c>
      <x:c r="W82" t="inlineStr">
        <x:is>
          <x:t xml:space="preserve">No</x:t>
        </x:is>
      </x:c>
      <x:c r="X82" t="n">
        <x:v>29.8008487250239</x:v>
      </x:c>
      <x:c r="Y82" t="n">
        <x:v>80.85577882152603</x:v>
      </x:c>
      <x:c r="Z82" t="n">
        <x:v>42759.92770319229</x:v>
      </x:c>
      <x:c r="AA82" t="n">
        <x:v>131.1028409335098</x:v>
      </x:c>
      <x:c r="AB82" s="8" t="n">
        <x:v>47235.54339069859</x:v>
      </x:c>
      <x:c r="AC82" t="n">
        <x:v>91</x:v>
      </x:c>
      <x:c r="AD82" t="n">
        <x:v>0</x:v>
      </x:c>
      <x:c r="AE82" t="n">
        <x:v>0</x:v>
      </x:c>
      <x:c r="AR82">
        <x:f>IF(G82="","",LOG10(G82+1))</x:f>
      </x:c>
      <x:c r="AS82" s="10">
        <x:f>IF(AR82="","",IF(MAX($AR$2:$AR$252)-MIN($AR$2:$AR$252)=0,"",(AR82-MIN($AR$2:$AR$252))/(MAX($AR$2:$AR$252)-MIN($AR$2:$AR$252))*100))</x:f>
      </x:c>
      <x:c r="AT82">
        <x:f>IF(R82="","",LOG10(R82+1))</x:f>
      </x:c>
      <x:c r="AU82" s="10">
        <x:f>IF(AT82="","",IF(MAX($AT$2:$AT$252)-MIN($AT$2:$AT$252)=0,"",(AT82-MIN($AT$2:$AT$252))/(MAX($AT$2:$AT$252)-MIN($AT$2:$AT$252))*100))</x:f>
      </x:c>
      <x:c r="AV82">
        <x:f>IF(N82="","",LOG10(N82+1))</x:f>
      </x:c>
      <x:c r="AW82" s="10">
        <x:f>IF(AV82="","",IF(MAX($AV$2:$AV$252)-MIN($AV$2:$AV$252)=0,"",(AV82-MIN($AV$2:$AV$252))/(MAX($AV$2:$AV$252)-MIN($AV$2:$AV$252))*100))</x:f>
      </x:c>
      <x:c r="AX82">
        <x:f>IF(I82="","",LOG10(I82+1))</x:f>
      </x:c>
      <x:c r="AY82" s="10">
        <x:f>IF(AX82="","",IF(MAX($AX$2:$AX$252)-MIN($AX$2:$AX$252)=0,"",(AX82-MIN($AX$2:$AX$252))/(MAX($AX$2:$AX$252)-MIN($AX$2:$AX$252))*100))</x:f>
      </x:c>
      <x:c r="AZ82">
        <x:f>IF(J82="","",LOG10(J82+1))</x:f>
      </x:c>
      <x:c r="BA82" s="10">
        <x:f>IF(AZ82="","",IF(MAX($AZ$2:$AZ$252)-MIN($AZ$2:$AZ$252)=0,"",(AZ82-MIN($AZ$2:$AZ$252))/(MAX($AZ$2:$AZ$252)-MIN($AZ$2:$AZ$252))*100))</x:f>
      </x:c>
      <x:c r="BB82">
        <x:f>IF(K82="","",LOG10(K82+1))</x:f>
      </x:c>
      <x:c r="BC82" s="10">
        <x:f>IF(BB82="","",IF(MAX($BB$2:$BB$252)-MIN($BB$2:$BB$252)=0,"",(BB82-MIN($BB$2:$BB$252))/(MAX($BB$2:$BB$252)-MIN($BB$2:$BB$252))*100))</x:f>
      </x:c>
      <x:c r="BD82">
        <x:f>IF(L82="","",LOG10(L82+1))</x:f>
      </x:c>
      <x:c r="BE82" s="10">
        <x:f>IF(BD82="","",IF(MAX($BD$2:$BD$252)-MIN($BD$2:$BD$252)=0,"",(BD82-MIN($BD$2:$BD$252))/(MAX($BD$2:$BD$252)-MIN($BD$2:$BD$252))*100))</x:f>
      </x:c>
      <x:c r="BF82" s="10">
        <x:f>IF(P82="","",IF(MAX($P$2:$P$252)-MIN($P$2:$P$252)=0,"",(P82-MIN($P$2:$P$252))/(MAX($P$2:$P$252)-MIN($P$2:$P$252))*100))</x:f>
      </x:c>
      <x:c r="BG82">
        <x:f>IF(AF82="","",LOG10(AF82+1))</x:f>
      </x:c>
      <x:c r="BH82" s="10">
        <x:f>IF(BG82="","",IF(MAX($BG$2:$BG$252)-MIN($BG$2:$BG$252)=0,"",(BG82-MIN($BG$2:$BG$252))/(MAX($BG$2:$BG$252)-MIN($BG$2:$BG$252))*100))</x:f>
      </x:c>
      <x:c r="BI82">
        <x:f>IF(AC82="","",LOG10(AC82+1))</x:f>
      </x:c>
      <x:c r="BJ82" s="10">
        <x:f>IF(BI82="","",IF(MAX($BI$2:$BI$252)-MIN($BI$2:$BI$252)=0,"",(BI82-MIN($BI$2:$BI$252))/(MAX($BI$2:$BI$252)-MIN($BI$2:$BI$252))*100))</x:f>
      </x:c>
      <x:c r="BK82">
        <x:f>IF(AD82="","",(AD82*2)+(AE82*1))</x:f>
      </x:c>
      <x:c r="BL82" s="10">
        <x:f>IF(BK82="","",IF(MAX($BK$2:$BK$252)-MIN($BK$2:$BK$252)=0,"",(BK82-MIN($BK$2:$BK$252))/(MAX($BK$2:$BK$252)-MIN($BK$2:$BK$252))*100))</x:f>
      </x:c>
      <x:c r="BM82" s="10">
        <x:f>IF(AB82="","",IF(MAX($AB$2:$AB$252)-MIN($AB$2:$AB$252)=0,"",(AB82-MIN($AB$2:$AB$252))/(MAX($AB$2:$AB$252)-MIN($AB$2:$AB$252))*100))</x:f>
      </x:c>
      <x:c r="BN82" s="10">
        <x:f>IF(X82="","",X82)</x:f>
      </x:c>
      <x:c r="BO82" s="10">
        <x:f>IF(X82="","",100-X82)</x:f>
      </x:c>
      <x:c r="BP82" s="10">
        <x:f>IF((Weights!$C$2*IF(BH82="",0,1)+Weights!$C$3*IF(BJ82="",0,1)+Weights!$C$4*IF(BL82="",0,1))=0,"",(Weights!$C$2*IF(BH82="",0,BH82)+Weights!$C$3*IF(BJ82="",0,BJ82)+Weights!$C$4*IF(BL82="",0,BL82))/(Weights!$C$2*IF(BH82="",0,1)+Weights!$C$3*IF(BJ82="",0,1)+Weights!$C$4*IF(BL82="",0,1)))</x:f>
      </x:c>
      <x:c r="BQ82" s="10">
        <x:f>IF((Weights!$C$5*IF(BA82="",0,1)+Weights!$C$6*IF(AW82="",0,1)+Weights!$C$7*IF(AU82="",0,1))=0,"",(Weights!$C$5*IF(BA82="",0,BA82)+Weights!$C$6*IF(AW82="",0,AW82)+Weights!$C$7*IF(AU82="",0,AU82))/(Weights!$C$5*IF(BA82="",0,1)+Weights!$C$6*IF(AW82="",0,1)+Weights!$C$7*IF(AU82="",0,1)))</x:f>
      </x:c>
      <x:c r="BR82" s="10">
        <x:f>IF((Weights!$C$8*IF(AW82="",0,1)+Weights!$C$9*IF(BC82="",0,1)+Weights!$C$10*IF(BF82="",0,1))=0,"",(Weights!$C$8*IF(AW82="",0,AW82)+Weights!$C$9*IF(BC82="",0,BC82)+Weights!$C$10*IF(BF82="",0,BF82))/(Weights!$C$8*IF(AW82="",0,1)+Weights!$C$9*IF(BC82="",0,1)+Weights!$C$10*IF(BF82="",0,1)))</x:f>
      </x:c>
      <x:c r="BS82" s="10">
        <x:f>IF(Y82="","",Y82)</x:f>
      </x:c>
      <x:c r="BT82" s="10">
        <x:f>IF(AS82="","",AS82)</x:f>
      </x:c>
      <x:c r="BU82" s="10">
        <x:f>IF(AJ82&lt;&gt;"",(0.6*AJ82+0.4*AU82),IF((Weights!$C$11*IF(AU82="",0,1)+Weights!$C$12*IF(BM82="",0,1))=0,"",(Weights!$C$11*IF(AU82="",0,AU82)+Weights!$C$12*IF(BM82="",0,BM82))/(Weights!$C$11*IF(AU82="",0,1)+Weights!$C$12*IF(BM82="",0,1))))</x:f>
      </x:c>
      <x:c r="BV82" s="10">
        <x:f>IF(CG82="",0,CG82)</x:f>
      </x:c>
      <x:c r="BW82" s="10">
        <x:f>IF(AP82="","",AP82)</x:f>
      </x:c>
      <x:c r="BX82" s="10">
        <x:f>IF(AO82="","",AO82)</x:f>
      </x:c>
      <x:c r="BY82" s="10">
        <x:f>IF(AL82="","",AL82)</x:f>
      </x:c>
      <x:c r="BZ82" s="10">
        <x:f>IF(AM82="","",AM82)</x:f>
      </x:c>
      <x:c r="CA82" s="10">
        <x:f>IF(AK82&lt;&gt;"",AK82,AW82)</x:f>
      </x:c>
      <x:c r="CB82" s="10">
        <x:f>IF((Weights!$C$13*IF(BP82="",0,1)+Weights!$C$14*IF(BR82="",0,1)+Weights!$C$15*IF(BQ82="",0,1)+Weights!$C$16*IF(BS82="",0,1)+Weights!$C$17*IF(BU82="",0,1)+Weights!$C$18*IF(BT82="",0,1)+Weights!$C$19*IF(BW82="",0,1)+Weights!$C$20*IF(BZ82="",0,1)+Weights!$C$21*IF(BO82="",0,1)+Weights!$C$22)=0,"",(Weights!$C$13*IF(BP82="",0,BP82)+Weights!$C$14*IF(BR82="",0,BR82)+Weights!$C$15*IF(BQ82="",0,BQ82)+Weights!$C$16*IF(BS82="",0,BS82)+Weights!$C$17*IF(BU82="",0,BU82)+Weights!$C$18*IF(BT82="",0,BT82)+Weights!$C$19*IF(BW82="",0,BW82)+Weights!$C$20*IF(BZ82="",0,BZ82)+Weights!$C$21*IF(BO82="",0,BO82)+Weights!$C$22*BV82)/(Weights!$C$13*IF(BP82="",0,1)+Weights!$C$14*IF(BR82="",0,1)+Weights!$C$15*IF(BQ82="",0,1)+Weights!$C$16*IF(BS82="",0,1)+Weights!$C$17*IF(BU82="",0,1)+Weights!$C$18*IF(BT82="",0,1)+Weights!$C$19*IF(BW82="",0,1)+Weights!$C$20*IF(BZ82="",0,1)+Weights!$C$21*IF(BO82="",0,1)+Weights!$C$22))</x:f>
      </x:c>
      <x:c r="CC82" s="10">
        <x:f>IF((Weights!$C$23*IF(BQ82="",0,1)+Weights!$C$24*IF(BN82="",0,1)+Weights!$C$25*IF(BS82="",0,1)+Weights!$C$26*IF(BY82="",0,1)+Weights!$C$27*IF(BX82="",0,1)+Weights!$C$28*IF(BT82="",0,1)+Weights!$C$29*IF(CA82="",0,1)+Weights!$C$30+Weights!$C$31*IF(BU82="",0,1))=0,"",(Weights!$C$23*IF(BQ82="",0,BQ82)+Weights!$C$24*IF(BN82="",0,BN82)+Weights!$C$25*IF(BS82="",0,BS82)+Weights!$C$26*IF(BY82="",0,BY82)+Weights!$C$27*IF(BX82="",0,BX82)+Weights!$C$28*IF(BT82="",0,BT82)+Weights!$C$29*IF(CA82="",0,CA82)+Weights!$C$30*BV82+Weights!$C$31*IF(BU82="",0,BU82))/(Weights!$C$23*IF(BQ82="",0,1)+Weights!$C$24*IF(BN82="",0,1)+Weights!$C$25*IF(BS82="",0,1)+Weights!$C$26*IF(BY82="",0,1)+Weights!$C$27*IF(BX82="",0,1)+Weights!$C$28*IF(BT82="",0,1)+Weights!$C$29*IF(CA82="",0,1)+Weights!$C$30+Weights!$C$31*IF(BU82="",0,1)))</x:f>
      </x:c>
      <x:c r="CD82" s="10">
        <x:f>IF(AND(CB82="",CC82=""),"",IF(CB82="",CC82,IF(CC82="",CB82,AVERAGE(CB82,CC82))))</x:f>
      </x:c>
      <x:c r="CE82" s="7">
        <x:f>ROUND(100*((IF(BP82&lt;&gt;"",1,0)+IF(BQ82&lt;&gt;"",1,0)+IF(BR82&lt;&gt;"",1,0)+IF(BS82&lt;&gt;"",1,0)+IF(BU82&lt;&gt;"",1,0)+IF(BT82&lt;&gt;"",1,0)+IF(BN82&lt;&gt;"",1,0)+IF(AW82&lt;&gt;"",1,0))/8),0)</x:f>
      </x:c>
      <x:c r="CF82">
        <x:f>IF(V82="","",LOG10(V82+1))</x:f>
      </x:c>
      <x:c r="CG82">
        <x:f>IF(CF82="","",IF(MAX($CF$2:$CF$252)-MIN($CF$2:$CF$252)=0,"",(CF82-MIN($CF$2:$CF$252))/(MAX($CF$2:$CF$252)-MIN($CF$2:$CF$252))*100))</x:f>
      </x:c>
    </x:row>
    <x:row r="83">
      <x:c r="A83" t="inlineStr">
        <x:is>
          <x:t xml:space="preserve">SWZ</x:t>
        </x:is>
      </x:c>
      <x:c r="B83" t="inlineStr">
        <x:is>
          <x:t xml:space="preserve">Eswatini</x:t>
        </x:is>
      </x:c>
      <x:c r="C83" t="inlineStr">
        <x:is>
          <x:t xml:space="preserve">Sub-Saharan Africa</x:t>
        </x:is>
      </x:c>
      <x:c r="D83" t="inlineStr">
        <x:is>
          <x:t xml:space="preserve">Lower middle income</x:t>
        </x:is>
      </x:c>
      <x:c r="E83" t="inlineStr">
        <x:is>
          <x:t xml:space="preserve">Africa</x:t>
        </x:is>
      </x:c>
      <x:c r="F83" t="n">
        <x:v>2024</x:v>
      </x:c>
      <x:c r="G83" t="n">
        <x:v>1242822</x:v>
      </x:c>
      <x:c r="H83" t="n">
        <x:v>1999</x:v>
      </x:c>
      <x:c r="I83" t="n">
        <x:v>3000</x:v>
      </x:c>
      <x:c r="J83" t="n">
        <x:v>1950</x:v>
      </x:c>
      <x:c r="K83" t="n">
        <x:v>600</x:v>
      </x:c>
      <x:c r="L83" t="n">
        <x:v>360</x:v>
      </x:c>
      <x:c r="M83" t="n">
        <x:v>2024</x:v>
      </x:c>
      <x:c r="N83" s="8" t="n">
        <x:v>79655264.6081486</x:v>
      </x:c>
      <x:c r="O83" s="9" t="n">
        <x:v>1.4440675502379</x:v>
      </x:c>
      <x:c r="P83" s="8" t="n">
        <x:v>26551.75486938287</x:v>
      </x:c>
      <x:c r="Q83" t="n">
        <x:v>2024</x:v>
      </x:c>
      <x:c r="R83" s="8" t="n">
        <x:v>4858885840.77236</x:v>
      </x:c>
      <x:c r="S83" t="n">
        <x:v>0</x:v>
      </x:c>
      <x:c r="T83" t="n">
        <x:v>0</x:v>
      </x:c>
      <x:c r="U83" t="inlineStr">
        <x:is>
          <x:t xml:space="preserve">No</x:t>
        </x:is>
      </x:c>
      <x:c r="W83" t="inlineStr">
        <x:is>
          <x:t xml:space="preserve">No</x:t>
        </x:is>
      </x:c>
      <x:c r="X83" t="n">
        <x:v>0</x:v>
      </x:c>
      <x:c r="Y83" t="n">
        <x:v>50.98803914597477</x:v>
      </x:c>
      <x:c r="Z83" t="n">
        <x:v>18118.63412828495</x:v>
      </x:c>
      <x:c r="AA83" t="n">
        <x:v>80.97475723678491</x:v>
      </x:c>
      <x:c r="AB83" s="8" t="n">
        <x:v>7538.414560999815</x:v>
      </x:c>
      <x:c r="AR83">
        <x:f>IF(G83="","",LOG10(G83+1))</x:f>
      </x:c>
      <x:c r="AS83" s="10">
        <x:f>IF(AR83="","",IF(MAX($AR$2:$AR$252)-MIN($AR$2:$AR$252)=0,"",(AR83-MIN($AR$2:$AR$252))/(MAX($AR$2:$AR$252)-MIN($AR$2:$AR$252))*100))</x:f>
      </x:c>
      <x:c r="AT83">
        <x:f>IF(R83="","",LOG10(R83+1))</x:f>
      </x:c>
      <x:c r="AU83" s="10">
        <x:f>IF(AT83="","",IF(MAX($AT$2:$AT$252)-MIN($AT$2:$AT$252)=0,"",(AT83-MIN($AT$2:$AT$252))/(MAX($AT$2:$AT$252)-MIN($AT$2:$AT$252))*100))</x:f>
      </x:c>
      <x:c r="AV83">
        <x:f>IF(N83="","",LOG10(N83+1))</x:f>
      </x:c>
      <x:c r="AW83" s="10">
        <x:f>IF(AV83="","",IF(MAX($AV$2:$AV$252)-MIN($AV$2:$AV$252)=0,"",(AV83-MIN($AV$2:$AV$252))/(MAX($AV$2:$AV$252)-MIN($AV$2:$AV$252))*100))</x:f>
      </x:c>
      <x:c r="AX83">
        <x:f>IF(I83="","",LOG10(I83+1))</x:f>
      </x:c>
      <x:c r="AY83" s="10">
        <x:f>IF(AX83="","",IF(MAX($AX$2:$AX$252)-MIN($AX$2:$AX$252)=0,"",(AX83-MIN($AX$2:$AX$252))/(MAX($AX$2:$AX$252)-MIN($AX$2:$AX$252))*100))</x:f>
      </x:c>
      <x:c r="AZ83">
        <x:f>IF(J83="","",LOG10(J83+1))</x:f>
      </x:c>
      <x:c r="BA83" s="10">
        <x:f>IF(AZ83="","",IF(MAX($AZ$2:$AZ$252)-MIN($AZ$2:$AZ$252)=0,"",(AZ83-MIN($AZ$2:$AZ$252))/(MAX($AZ$2:$AZ$252)-MIN($AZ$2:$AZ$252))*100))</x:f>
      </x:c>
      <x:c r="BB83">
        <x:f>IF(K83="","",LOG10(K83+1))</x:f>
      </x:c>
      <x:c r="BC83" s="10">
        <x:f>IF(BB83="","",IF(MAX($BB$2:$BB$252)-MIN($BB$2:$BB$252)=0,"",(BB83-MIN($BB$2:$BB$252))/(MAX($BB$2:$BB$252)-MIN($BB$2:$BB$252))*100))</x:f>
      </x:c>
      <x:c r="BD83">
        <x:f>IF(L83="","",LOG10(L83+1))</x:f>
      </x:c>
      <x:c r="BE83" s="10">
        <x:f>IF(BD83="","",IF(MAX($BD$2:$BD$252)-MIN($BD$2:$BD$252)=0,"",(BD83-MIN($BD$2:$BD$252))/(MAX($BD$2:$BD$252)-MIN($BD$2:$BD$252))*100))</x:f>
      </x:c>
      <x:c r="BF83" s="10">
        <x:f>IF(P83="","",IF(MAX($P$2:$P$252)-MIN($P$2:$P$252)=0,"",(P83-MIN($P$2:$P$252))/(MAX($P$2:$P$252)-MIN($P$2:$P$252))*100))</x:f>
      </x:c>
      <x:c r="BG83">
        <x:f>IF(AF83="","",LOG10(AF83+1))</x:f>
      </x:c>
      <x:c r="BH83" s="10">
        <x:f>IF(BG83="","",IF(MAX($BG$2:$BG$252)-MIN($BG$2:$BG$252)=0,"",(BG83-MIN($BG$2:$BG$252))/(MAX($BG$2:$BG$252)-MIN($BG$2:$BG$252))*100))</x:f>
      </x:c>
      <x:c r="BI83">
        <x:f>IF(AC83="","",LOG10(AC83+1))</x:f>
      </x:c>
      <x:c r="BJ83" s="10">
        <x:f>IF(BI83="","",IF(MAX($BI$2:$BI$252)-MIN($BI$2:$BI$252)=0,"",(BI83-MIN($BI$2:$BI$252))/(MAX($BI$2:$BI$252)-MIN($BI$2:$BI$252))*100))</x:f>
      </x:c>
      <x:c r="BK83">
        <x:f>IF(AD83="","",(AD83*2)+(AE83*1))</x:f>
      </x:c>
      <x:c r="BL83" s="10">
        <x:f>IF(BK83="","",IF(MAX($BK$2:$BK$252)-MIN($BK$2:$BK$252)=0,"",(BK83-MIN($BK$2:$BK$252))/(MAX($BK$2:$BK$252)-MIN($BK$2:$BK$252))*100))</x:f>
      </x:c>
      <x:c r="BM83" s="10">
        <x:f>IF(AB83="","",IF(MAX($AB$2:$AB$252)-MIN($AB$2:$AB$252)=0,"",(AB83-MIN($AB$2:$AB$252))/(MAX($AB$2:$AB$252)-MIN($AB$2:$AB$252))*100))</x:f>
      </x:c>
      <x:c r="BN83" s="10">
        <x:f>IF(X83="","",X83)</x:f>
      </x:c>
      <x:c r="BO83" s="10">
        <x:f>IF(X83="","",100-X83)</x:f>
      </x:c>
      <x:c r="BP83" s="10">
        <x:f>IF((Weights!$C$2*IF(BH83="",0,1)+Weights!$C$3*IF(BJ83="",0,1)+Weights!$C$4*IF(BL83="",0,1))=0,"",(Weights!$C$2*IF(BH83="",0,BH83)+Weights!$C$3*IF(BJ83="",0,BJ83)+Weights!$C$4*IF(BL83="",0,BL83))/(Weights!$C$2*IF(BH83="",0,1)+Weights!$C$3*IF(BJ83="",0,1)+Weights!$C$4*IF(BL83="",0,1)))</x:f>
      </x:c>
      <x:c r="BQ83" s="10">
        <x:f>IF((Weights!$C$5*IF(BA83="",0,1)+Weights!$C$6*IF(AW83="",0,1)+Weights!$C$7*IF(AU83="",0,1))=0,"",(Weights!$C$5*IF(BA83="",0,BA83)+Weights!$C$6*IF(AW83="",0,AW83)+Weights!$C$7*IF(AU83="",0,AU83))/(Weights!$C$5*IF(BA83="",0,1)+Weights!$C$6*IF(AW83="",0,1)+Weights!$C$7*IF(AU83="",0,1)))</x:f>
      </x:c>
      <x:c r="BR83" s="10">
        <x:f>IF((Weights!$C$8*IF(AW83="",0,1)+Weights!$C$9*IF(BC83="",0,1)+Weights!$C$10*IF(BF83="",0,1))=0,"",(Weights!$C$8*IF(AW83="",0,AW83)+Weights!$C$9*IF(BC83="",0,BC83)+Weights!$C$10*IF(BF83="",0,BF83))/(Weights!$C$8*IF(AW83="",0,1)+Weights!$C$9*IF(BC83="",0,1)+Weights!$C$10*IF(BF83="",0,1)))</x:f>
      </x:c>
      <x:c r="BS83" s="10">
        <x:f>IF(Y83="","",Y83)</x:f>
      </x:c>
      <x:c r="BT83" s="10">
        <x:f>IF(AS83="","",AS83)</x:f>
      </x:c>
      <x:c r="BU83" s="10">
        <x:f>IF(AJ83&lt;&gt;"",(0.6*AJ83+0.4*AU83),IF((Weights!$C$11*IF(AU83="",0,1)+Weights!$C$12*IF(BM83="",0,1))=0,"",(Weights!$C$11*IF(AU83="",0,AU83)+Weights!$C$12*IF(BM83="",0,BM83))/(Weights!$C$11*IF(AU83="",0,1)+Weights!$C$12*IF(BM83="",0,1))))</x:f>
      </x:c>
      <x:c r="BV83" s="10">
        <x:f>IF(CG83="",0,CG83)</x:f>
      </x:c>
      <x:c r="BW83" s="10">
        <x:f>IF(AP83="","",AP83)</x:f>
      </x:c>
      <x:c r="BX83" s="10">
        <x:f>IF(AO83="","",AO83)</x:f>
      </x:c>
      <x:c r="BY83" s="10">
        <x:f>IF(AL83="","",AL83)</x:f>
      </x:c>
      <x:c r="BZ83" s="10">
        <x:f>IF(AM83="","",AM83)</x:f>
      </x:c>
      <x:c r="CA83" s="10">
        <x:f>IF(AK83&lt;&gt;"",AK83,AW83)</x:f>
      </x:c>
      <x:c r="CB83" s="10">
        <x:f>IF((Weights!$C$13*IF(BP83="",0,1)+Weights!$C$14*IF(BR83="",0,1)+Weights!$C$15*IF(BQ83="",0,1)+Weights!$C$16*IF(BS83="",0,1)+Weights!$C$17*IF(BU83="",0,1)+Weights!$C$18*IF(BT83="",0,1)+Weights!$C$19*IF(BW83="",0,1)+Weights!$C$20*IF(BZ83="",0,1)+Weights!$C$21*IF(BO83="",0,1)+Weights!$C$22)=0,"",(Weights!$C$13*IF(BP83="",0,BP83)+Weights!$C$14*IF(BR83="",0,BR83)+Weights!$C$15*IF(BQ83="",0,BQ83)+Weights!$C$16*IF(BS83="",0,BS83)+Weights!$C$17*IF(BU83="",0,BU83)+Weights!$C$18*IF(BT83="",0,BT83)+Weights!$C$19*IF(BW83="",0,BW83)+Weights!$C$20*IF(BZ83="",0,BZ83)+Weights!$C$21*IF(BO83="",0,BO83)+Weights!$C$22*BV83)/(Weights!$C$13*IF(BP83="",0,1)+Weights!$C$14*IF(BR83="",0,1)+Weights!$C$15*IF(BQ83="",0,1)+Weights!$C$16*IF(BS83="",0,1)+Weights!$C$17*IF(BU83="",0,1)+Weights!$C$18*IF(BT83="",0,1)+Weights!$C$19*IF(BW83="",0,1)+Weights!$C$20*IF(BZ83="",0,1)+Weights!$C$21*IF(BO83="",0,1)+Weights!$C$22))</x:f>
      </x:c>
      <x:c r="CC83" s="10">
        <x:f>IF((Weights!$C$23*IF(BQ83="",0,1)+Weights!$C$24*IF(BN83="",0,1)+Weights!$C$25*IF(BS83="",0,1)+Weights!$C$26*IF(BY83="",0,1)+Weights!$C$27*IF(BX83="",0,1)+Weights!$C$28*IF(BT83="",0,1)+Weights!$C$29*IF(CA83="",0,1)+Weights!$C$30+Weights!$C$31*IF(BU83="",0,1))=0,"",(Weights!$C$23*IF(BQ83="",0,BQ83)+Weights!$C$24*IF(BN83="",0,BN83)+Weights!$C$25*IF(BS83="",0,BS83)+Weights!$C$26*IF(BY83="",0,BY83)+Weights!$C$27*IF(BX83="",0,BX83)+Weights!$C$28*IF(BT83="",0,BT83)+Weights!$C$29*IF(CA83="",0,CA83)+Weights!$C$30*BV83+Weights!$C$31*IF(BU83="",0,BU83))/(Weights!$C$23*IF(BQ83="",0,1)+Weights!$C$24*IF(BN83="",0,1)+Weights!$C$25*IF(BS83="",0,1)+Weights!$C$26*IF(BY83="",0,1)+Weights!$C$27*IF(BX83="",0,1)+Weights!$C$28*IF(BT83="",0,1)+Weights!$C$29*IF(CA83="",0,1)+Weights!$C$30+Weights!$C$31*IF(BU83="",0,1)))</x:f>
      </x:c>
      <x:c r="CD83" s="10">
        <x:f>IF(AND(CB83="",CC83=""),"",IF(CB83="",CC83,IF(CC83="",CB83,AVERAGE(CB83,CC83))))</x:f>
      </x:c>
      <x:c r="CE83" s="7">
        <x:f>ROUND(100*((IF(BP83&lt;&gt;"",1,0)+IF(BQ83&lt;&gt;"",1,0)+IF(BR83&lt;&gt;"",1,0)+IF(BS83&lt;&gt;"",1,0)+IF(BU83&lt;&gt;"",1,0)+IF(BT83&lt;&gt;"",1,0)+IF(BN83&lt;&gt;"",1,0)+IF(AW83&lt;&gt;"",1,0))/8),0)</x:f>
      </x:c>
      <x:c r="CF83">
        <x:f>IF(V83="","",LOG10(V83+1))</x:f>
      </x:c>
      <x:c r="CG83">
        <x:f>IF(CF83="","",IF(MAX($CF$2:$CF$252)-MIN($CF$2:$CF$252)=0,"",(CF83-MIN($CF$2:$CF$252))/(MAX($CF$2:$CF$252)-MIN($CF$2:$CF$252))*100))</x:f>
      </x:c>
    </x:row>
    <x:row r="84">
      <x:c r="A84" t="inlineStr">
        <x:is>
          <x:t xml:space="preserve">LSO</x:t>
        </x:is>
      </x:c>
      <x:c r="B84" t="inlineStr">
        <x:is>
          <x:t xml:space="preserve">Lesotho</x:t>
        </x:is>
      </x:c>
      <x:c r="C84" t="inlineStr">
        <x:is>
          <x:t xml:space="preserve">Sub-Saharan Africa</x:t>
        </x:is>
      </x:c>
      <x:c r="D84" t="inlineStr">
        <x:is>
          <x:t xml:space="preserve">Lower middle income</x:t>
        </x:is>
      </x:c>
      <x:c r="E84" t="inlineStr">
        <x:is>
          <x:t xml:space="preserve">Africa</x:t>
        </x:is>
      </x:c>
      <x:c r="F84" t="n">
        <x:v>2024</x:v>
      </x:c>
      <x:c r="G84" t="n">
        <x:v>2337423</x:v>
      </x:c>
      <x:c r="H84" t="n">
        <x:v>2020</x:v>
      </x:c>
      <x:c r="I84" t="n">
        <x:v>2000</x:v>
      </x:c>
      <x:c r="J84" t="n">
        <x:v>1300</x:v>
      </x:c>
      <x:c r="K84" t="n">
        <x:v>400</x:v>
      </x:c>
      <x:c r="L84" t="n">
        <x:v>240</x:v>
      </x:c>
      <x:c r="M84" t="n">
        <x:v>2024</x:v>
      </x:c>
      <x:c r="N84" s="8" t="n">
        <x:v>36295976.9958149</x:v>
      </x:c>
      <x:c r="O84" s="9" t="n">
        <x:v>1.56745014441231</x:v>
      </x:c>
      <x:c r="P84" s="8" t="n">
        <x:v>18147.98849790745</x:v>
      </x:c>
      <x:c r="Q84" t="n">
        <x:v>2024</x:v>
      </x:c>
      <x:c r="R84" s="8" t="n">
        <x:v>2271759454.51107</x:v>
      </x:c>
      <x:c r="S84" t="n">
        <x:v>0</x:v>
      </x:c>
      <x:c r="T84" t="n">
        <x:v>0</x:v>
      </x:c>
      <x:c r="U84" t="inlineStr">
        <x:is>
          <x:t xml:space="preserve">No</x:t>
        </x:is>
      </x:c>
      <x:c r="W84" t="inlineStr">
        <x:is>
          <x:t xml:space="preserve">No</x:t>
        </x:is>
      </x:c>
      <x:c r="X84" t="n">
        <x:v>2.48775634411943</x:v>
      </x:c>
      <x:c r="Y84" t="n">
        <x:v>37.05415706665605</x:v>
      </x:c>
      <x:c r="Z84" t="n">
        <x:v>27505.65497869093</x:v>
      </x:c>
      <x:c r="AA84" t="n">
        <x:v>71.18688871495431</x:v>
      </x:c>
      <x:c r="AB84" s="8" t="n">
        <x:v>3073.989219843088</x:v>
      </x:c>
      <x:c r="AR84">
        <x:f>IF(G84="","",LOG10(G84+1))</x:f>
      </x:c>
      <x:c r="AS84" s="10">
        <x:f>IF(AR84="","",IF(MAX($AR$2:$AR$252)-MIN($AR$2:$AR$252)=0,"",(AR84-MIN($AR$2:$AR$252))/(MAX($AR$2:$AR$252)-MIN($AR$2:$AR$252))*100))</x:f>
      </x:c>
      <x:c r="AT84">
        <x:f>IF(R84="","",LOG10(R84+1))</x:f>
      </x:c>
      <x:c r="AU84" s="10">
        <x:f>IF(AT84="","",IF(MAX($AT$2:$AT$252)-MIN($AT$2:$AT$252)=0,"",(AT84-MIN($AT$2:$AT$252))/(MAX($AT$2:$AT$252)-MIN($AT$2:$AT$252))*100))</x:f>
      </x:c>
      <x:c r="AV84">
        <x:f>IF(N84="","",LOG10(N84+1))</x:f>
      </x:c>
      <x:c r="AW84" s="10">
        <x:f>IF(AV84="","",IF(MAX($AV$2:$AV$252)-MIN($AV$2:$AV$252)=0,"",(AV84-MIN($AV$2:$AV$252))/(MAX($AV$2:$AV$252)-MIN($AV$2:$AV$252))*100))</x:f>
      </x:c>
      <x:c r="AX84">
        <x:f>IF(I84="","",LOG10(I84+1))</x:f>
      </x:c>
      <x:c r="AY84" s="10">
        <x:f>IF(AX84="","",IF(MAX($AX$2:$AX$252)-MIN($AX$2:$AX$252)=0,"",(AX84-MIN($AX$2:$AX$252))/(MAX($AX$2:$AX$252)-MIN($AX$2:$AX$252))*100))</x:f>
      </x:c>
      <x:c r="AZ84">
        <x:f>IF(J84="","",LOG10(J84+1))</x:f>
      </x:c>
      <x:c r="BA84" s="10">
        <x:f>IF(AZ84="","",IF(MAX($AZ$2:$AZ$252)-MIN($AZ$2:$AZ$252)=0,"",(AZ84-MIN($AZ$2:$AZ$252))/(MAX($AZ$2:$AZ$252)-MIN($AZ$2:$AZ$252))*100))</x:f>
      </x:c>
      <x:c r="BB84">
        <x:f>IF(K84="","",LOG10(K84+1))</x:f>
      </x:c>
      <x:c r="BC84" s="10">
        <x:f>IF(BB84="","",IF(MAX($BB$2:$BB$252)-MIN($BB$2:$BB$252)=0,"",(BB84-MIN($BB$2:$BB$252))/(MAX($BB$2:$BB$252)-MIN($BB$2:$BB$252))*100))</x:f>
      </x:c>
      <x:c r="BD84">
        <x:f>IF(L84="","",LOG10(L84+1))</x:f>
      </x:c>
      <x:c r="BE84" s="10">
        <x:f>IF(BD84="","",IF(MAX($BD$2:$BD$252)-MIN($BD$2:$BD$252)=0,"",(BD84-MIN($BD$2:$BD$252))/(MAX($BD$2:$BD$252)-MIN($BD$2:$BD$252))*100))</x:f>
      </x:c>
      <x:c r="BF84" s="10">
        <x:f>IF(P84="","",IF(MAX($P$2:$P$252)-MIN($P$2:$P$252)=0,"",(P84-MIN($P$2:$P$252))/(MAX($P$2:$P$252)-MIN($P$2:$P$252))*100))</x:f>
      </x:c>
      <x:c r="BG84">
        <x:f>IF(AF84="","",LOG10(AF84+1))</x:f>
      </x:c>
      <x:c r="BH84" s="10">
        <x:f>IF(BG84="","",IF(MAX($BG$2:$BG$252)-MIN($BG$2:$BG$252)=0,"",(BG84-MIN($BG$2:$BG$252))/(MAX($BG$2:$BG$252)-MIN($BG$2:$BG$252))*100))</x:f>
      </x:c>
      <x:c r="BI84">
        <x:f>IF(AC84="","",LOG10(AC84+1))</x:f>
      </x:c>
      <x:c r="BJ84" s="10">
        <x:f>IF(BI84="","",IF(MAX($BI$2:$BI$252)-MIN($BI$2:$BI$252)=0,"",(BI84-MIN($BI$2:$BI$252))/(MAX($BI$2:$BI$252)-MIN($BI$2:$BI$252))*100))</x:f>
      </x:c>
      <x:c r="BK84">
        <x:f>IF(AD84="","",(AD84*2)+(AE84*1))</x:f>
      </x:c>
      <x:c r="BL84" s="10">
        <x:f>IF(BK84="","",IF(MAX($BK$2:$BK$252)-MIN($BK$2:$BK$252)=0,"",(BK84-MIN($BK$2:$BK$252))/(MAX($BK$2:$BK$252)-MIN($BK$2:$BK$252))*100))</x:f>
      </x:c>
      <x:c r="BM84" s="10">
        <x:f>IF(AB84="","",IF(MAX($AB$2:$AB$252)-MIN($AB$2:$AB$252)=0,"",(AB84-MIN($AB$2:$AB$252))/(MAX($AB$2:$AB$252)-MIN($AB$2:$AB$252))*100))</x:f>
      </x:c>
      <x:c r="BN84" s="10">
        <x:f>IF(X84="","",X84)</x:f>
      </x:c>
      <x:c r="BO84" s="10">
        <x:f>IF(X84="","",100-X84)</x:f>
      </x:c>
      <x:c r="BP84" s="10">
        <x:f>IF((Weights!$C$2*IF(BH84="",0,1)+Weights!$C$3*IF(BJ84="",0,1)+Weights!$C$4*IF(BL84="",0,1))=0,"",(Weights!$C$2*IF(BH84="",0,BH84)+Weights!$C$3*IF(BJ84="",0,BJ84)+Weights!$C$4*IF(BL84="",0,BL84))/(Weights!$C$2*IF(BH84="",0,1)+Weights!$C$3*IF(BJ84="",0,1)+Weights!$C$4*IF(BL84="",0,1)))</x:f>
      </x:c>
      <x:c r="BQ84" s="10">
        <x:f>IF((Weights!$C$5*IF(BA84="",0,1)+Weights!$C$6*IF(AW84="",0,1)+Weights!$C$7*IF(AU84="",0,1))=0,"",(Weights!$C$5*IF(BA84="",0,BA84)+Weights!$C$6*IF(AW84="",0,AW84)+Weights!$C$7*IF(AU84="",0,AU84))/(Weights!$C$5*IF(BA84="",0,1)+Weights!$C$6*IF(AW84="",0,1)+Weights!$C$7*IF(AU84="",0,1)))</x:f>
      </x:c>
      <x:c r="BR84" s="10">
        <x:f>IF((Weights!$C$8*IF(AW84="",0,1)+Weights!$C$9*IF(BC84="",0,1)+Weights!$C$10*IF(BF84="",0,1))=0,"",(Weights!$C$8*IF(AW84="",0,AW84)+Weights!$C$9*IF(BC84="",0,BC84)+Weights!$C$10*IF(BF84="",0,BF84))/(Weights!$C$8*IF(AW84="",0,1)+Weights!$C$9*IF(BC84="",0,1)+Weights!$C$10*IF(BF84="",0,1)))</x:f>
      </x:c>
      <x:c r="BS84" s="10">
        <x:f>IF(Y84="","",Y84)</x:f>
      </x:c>
      <x:c r="BT84" s="10">
        <x:f>IF(AS84="","",AS84)</x:f>
      </x:c>
      <x:c r="BU84" s="10">
        <x:f>IF(AJ84&lt;&gt;"",(0.6*AJ84+0.4*AU84),IF((Weights!$C$11*IF(AU84="",0,1)+Weights!$C$12*IF(BM84="",0,1))=0,"",(Weights!$C$11*IF(AU84="",0,AU84)+Weights!$C$12*IF(BM84="",0,BM84))/(Weights!$C$11*IF(AU84="",0,1)+Weights!$C$12*IF(BM84="",0,1))))</x:f>
      </x:c>
      <x:c r="BV84" s="10">
        <x:f>IF(CG84="",0,CG84)</x:f>
      </x:c>
      <x:c r="BW84" s="10">
        <x:f>IF(AP84="","",AP84)</x:f>
      </x:c>
      <x:c r="BX84" s="10">
        <x:f>IF(AO84="","",AO84)</x:f>
      </x:c>
      <x:c r="BY84" s="10">
        <x:f>IF(AL84="","",AL84)</x:f>
      </x:c>
      <x:c r="BZ84" s="10">
        <x:f>IF(AM84="","",AM84)</x:f>
      </x:c>
      <x:c r="CA84" s="10">
        <x:f>IF(AK84&lt;&gt;"",AK84,AW84)</x:f>
      </x:c>
      <x:c r="CB84" s="10">
        <x:f>IF((Weights!$C$13*IF(BP84="",0,1)+Weights!$C$14*IF(BR84="",0,1)+Weights!$C$15*IF(BQ84="",0,1)+Weights!$C$16*IF(BS84="",0,1)+Weights!$C$17*IF(BU84="",0,1)+Weights!$C$18*IF(BT84="",0,1)+Weights!$C$19*IF(BW84="",0,1)+Weights!$C$20*IF(BZ84="",0,1)+Weights!$C$21*IF(BO84="",0,1)+Weights!$C$22)=0,"",(Weights!$C$13*IF(BP84="",0,BP84)+Weights!$C$14*IF(BR84="",0,BR84)+Weights!$C$15*IF(BQ84="",0,BQ84)+Weights!$C$16*IF(BS84="",0,BS84)+Weights!$C$17*IF(BU84="",0,BU84)+Weights!$C$18*IF(BT84="",0,BT84)+Weights!$C$19*IF(BW84="",0,BW84)+Weights!$C$20*IF(BZ84="",0,BZ84)+Weights!$C$21*IF(BO84="",0,BO84)+Weights!$C$22*BV84)/(Weights!$C$13*IF(BP84="",0,1)+Weights!$C$14*IF(BR84="",0,1)+Weights!$C$15*IF(BQ84="",0,1)+Weights!$C$16*IF(BS84="",0,1)+Weights!$C$17*IF(BU84="",0,1)+Weights!$C$18*IF(BT84="",0,1)+Weights!$C$19*IF(BW84="",0,1)+Weights!$C$20*IF(BZ84="",0,1)+Weights!$C$21*IF(BO84="",0,1)+Weights!$C$22))</x:f>
      </x:c>
      <x:c r="CC84" s="10">
        <x:f>IF((Weights!$C$23*IF(BQ84="",0,1)+Weights!$C$24*IF(BN84="",0,1)+Weights!$C$25*IF(BS84="",0,1)+Weights!$C$26*IF(BY84="",0,1)+Weights!$C$27*IF(BX84="",0,1)+Weights!$C$28*IF(BT84="",0,1)+Weights!$C$29*IF(CA84="",0,1)+Weights!$C$30+Weights!$C$31*IF(BU84="",0,1))=0,"",(Weights!$C$23*IF(BQ84="",0,BQ84)+Weights!$C$24*IF(BN84="",0,BN84)+Weights!$C$25*IF(BS84="",0,BS84)+Weights!$C$26*IF(BY84="",0,BY84)+Weights!$C$27*IF(BX84="",0,BX84)+Weights!$C$28*IF(BT84="",0,BT84)+Weights!$C$29*IF(CA84="",0,CA84)+Weights!$C$30*BV84+Weights!$C$31*IF(BU84="",0,BU84))/(Weights!$C$23*IF(BQ84="",0,1)+Weights!$C$24*IF(BN84="",0,1)+Weights!$C$25*IF(BS84="",0,1)+Weights!$C$26*IF(BY84="",0,1)+Weights!$C$27*IF(BX84="",0,1)+Weights!$C$28*IF(BT84="",0,1)+Weights!$C$29*IF(CA84="",0,1)+Weights!$C$30+Weights!$C$31*IF(BU84="",0,1)))</x:f>
      </x:c>
      <x:c r="CD84" s="10">
        <x:f>IF(AND(CB84="",CC84=""),"",IF(CB84="",CC84,IF(CC84="",CB84,AVERAGE(CB84,CC84))))</x:f>
      </x:c>
      <x:c r="CE84" s="7">
        <x:f>ROUND(100*((IF(BP84&lt;&gt;"",1,0)+IF(BQ84&lt;&gt;"",1,0)+IF(BR84&lt;&gt;"",1,0)+IF(BS84&lt;&gt;"",1,0)+IF(BU84&lt;&gt;"",1,0)+IF(BT84&lt;&gt;"",1,0)+IF(BN84&lt;&gt;"",1,0)+IF(AW84&lt;&gt;"",1,0))/8),0)</x:f>
      </x:c>
      <x:c r="CF84">
        <x:f>IF(V84="","",LOG10(V84+1))</x:f>
      </x:c>
      <x:c r="CG84">
        <x:f>IF(CF84="","",IF(MAX($CF$2:$CF$252)-MIN($CF$2:$CF$252)=0,"",(CF84-MIN($CF$2:$CF$252))/(MAX($CF$2:$CF$252)-MIN($CF$2:$CF$252))*100))</x:f>
      </x:c>
    </x:row>
    <x:row r="85">
      <x:c r="A85" t="inlineStr">
        <x:is>
          <x:t xml:space="preserve">MAR</x:t>
        </x:is>
      </x:c>
      <x:c r="B85" t="inlineStr">
        <x:is>
          <x:t xml:space="preserve">Morocco</x:t>
        </x:is>
      </x:c>
      <x:c r="C85" t="inlineStr">
        <x:is>
          <x:t xml:space="preserve">Middle East &amp; North Africa</x:t>
        </x:is>
      </x:c>
      <x:c r="D85" t="inlineStr">
        <x:is>
          <x:t xml:space="preserve">Lower middle income</x:t>
        </x:is>
      </x:c>
      <x:c r="E85" t="inlineStr">
        <x:is>
          <x:t xml:space="preserve">Africa</x:t>
        </x:is>
      </x:c>
      <x:c r="F85" t="n">
        <x:v>2024</x:v>
      </x:c>
      <x:c r="G85" t="n">
        <x:v>38081173</x:v>
      </x:c>
      <x:c r="H85" t="n">
        <x:v>2020</x:v>
      </x:c>
      <x:c r="I85" t="n">
        <x:v>246000</x:v>
      </x:c>
      <x:c r="J85" t="n">
        <x:v>159900</x:v>
      </x:c>
      <x:c r="K85" t="n">
        <x:v>49200</x:v>
      </x:c>
      <x:c r="L85" t="n">
        <x:v>29520</x:v>
      </x:c>
      <x:c r="M85" t="n">
        <x:v>2024</x:v>
      </x:c>
      <x:c r="N85" s="8" t="n">
        <x:v>5517924399.23385</x:v>
      </x:c>
      <x:c r="O85" s="9" t="n">
        <x:v>3.51575374206256</x:v>
      </x:c>
      <x:c r="P85" s="8" t="n">
        <x:v>22430.58698875549</x:v>
      </x:c>
      <x:c r="Q85" t="n">
        <x:v>2024</x:v>
      </x:c>
      <x:c r="R85" s="8" t="n">
        <x:v>160610994054.734</x:v>
      </x:c>
      <x:c r="S85" t="n">
        <x:v>3</x:v>
      </x:c>
      <x:c r="T85" t="n">
        <x:v>0</x:v>
      </x:c>
      <x:c r="U85" t="inlineStr">
        <x:is>
          <x:t xml:space="preserve">No</x:t>
        </x:is>
      </x:c>
      <x:c r="W85" t="inlineStr">
        <x:is>
          <x:t xml:space="preserve">No</x:t>
        </x:is>
      </x:c>
      <x:c r="X85" t="n">
        <x:v>28.22553950057061</x:v>
      </x:c>
      <x:c r="Y85" t="n">
        <x:v>50.31012601993886</x:v>
      </x:c>
      <x:c r="Z85" t="n">
        <x:v>591718.98943203</x:v>
      </x:c>
      <x:c r="AA85" t="n">
        <x:v>57.43715447196072</x:v>
      </x:c>
      <x:c r="AB85" s="8" t="n">
        <x:v>8320.913017182773</x:v>
      </x:c>
      <x:c r="AC85" t="n">
        <x:v>121</x:v>
      </x:c>
      <x:c r="AD85" t="n">
        <x:v>0</x:v>
      </x:c>
      <x:c r="AE85" t="n">
        <x:v>0</x:v>
      </x:c>
      <x:c r="AR85">
        <x:f>IF(G85="","",LOG10(G85+1))</x:f>
      </x:c>
      <x:c r="AS85" s="10">
        <x:f>IF(AR85="","",IF(MAX($AR$2:$AR$252)-MIN($AR$2:$AR$252)=0,"",(AR85-MIN($AR$2:$AR$252))/(MAX($AR$2:$AR$252)-MIN($AR$2:$AR$252))*100))</x:f>
      </x:c>
      <x:c r="AT85">
        <x:f>IF(R85="","",LOG10(R85+1))</x:f>
      </x:c>
      <x:c r="AU85" s="10">
        <x:f>IF(AT85="","",IF(MAX($AT$2:$AT$252)-MIN($AT$2:$AT$252)=0,"",(AT85-MIN($AT$2:$AT$252))/(MAX($AT$2:$AT$252)-MIN($AT$2:$AT$252))*100))</x:f>
      </x:c>
      <x:c r="AV85">
        <x:f>IF(N85="","",LOG10(N85+1))</x:f>
      </x:c>
      <x:c r="AW85" s="10">
        <x:f>IF(AV85="","",IF(MAX($AV$2:$AV$252)-MIN($AV$2:$AV$252)=0,"",(AV85-MIN($AV$2:$AV$252))/(MAX($AV$2:$AV$252)-MIN($AV$2:$AV$252))*100))</x:f>
      </x:c>
      <x:c r="AX85">
        <x:f>IF(I85="","",LOG10(I85+1))</x:f>
      </x:c>
      <x:c r="AY85" s="10">
        <x:f>IF(AX85="","",IF(MAX($AX$2:$AX$252)-MIN($AX$2:$AX$252)=0,"",(AX85-MIN($AX$2:$AX$252))/(MAX($AX$2:$AX$252)-MIN($AX$2:$AX$252))*100))</x:f>
      </x:c>
      <x:c r="AZ85">
        <x:f>IF(J85="","",LOG10(J85+1))</x:f>
      </x:c>
      <x:c r="BA85" s="10">
        <x:f>IF(AZ85="","",IF(MAX($AZ$2:$AZ$252)-MIN($AZ$2:$AZ$252)=0,"",(AZ85-MIN($AZ$2:$AZ$252))/(MAX($AZ$2:$AZ$252)-MIN($AZ$2:$AZ$252))*100))</x:f>
      </x:c>
      <x:c r="BB85">
        <x:f>IF(K85="","",LOG10(K85+1))</x:f>
      </x:c>
      <x:c r="BC85" s="10">
        <x:f>IF(BB85="","",IF(MAX($BB$2:$BB$252)-MIN($BB$2:$BB$252)=0,"",(BB85-MIN($BB$2:$BB$252))/(MAX($BB$2:$BB$252)-MIN($BB$2:$BB$252))*100))</x:f>
      </x:c>
      <x:c r="BD85">
        <x:f>IF(L85="","",LOG10(L85+1))</x:f>
      </x:c>
      <x:c r="BE85" s="10">
        <x:f>IF(BD85="","",IF(MAX($BD$2:$BD$252)-MIN($BD$2:$BD$252)=0,"",(BD85-MIN($BD$2:$BD$252))/(MAX($BD$2:$BD$252)-MIN($BD$2:$BD$252))*100))</x:f>
      </x:c>
      <x:c r="BF85" s="10">
        <x:f>IF(P85="","",IF(MAX($P$2:$P$252)-MIN($P$2:$P$252)=0,"",(P85-MIN($P$2:$P$252))/(MAX($P$2:$P$252)-MIN($P$2:$P$252))*100))</x:f>
      </x:c>
      <x:c r="BG85">
        <x:f>IF(AF85="","",LOG10(AF85+1))</x:f>
      </x:c>
      <x:c r="BH85" s="10">
        <x:f>IF(BG85="","",IF(MAX($BG$2:$BG$252)-MIN($BG$2:$BG$252)=0,"",(BG85-MIN($BG$2:$BG$252))/(MAX($BG$2:$BG$252)-MIN($BG$2:$BG$252))*100))</x:f>
      </x:c>
      <x:c r="BI85">
        <x:f>IF(AC85="","",LOG10(AC85+1))</x:f>
      </x:c>
      <x:c r="BJ85" s="10">
        <x:f>IF(BI85="","",IF(MAX($BI$2:$BI$252)-MIN($BI$2:$BI$252)=0,"",(BI85-MIN($BI$2:$BI$252))/(MAX($BI$2:$BI$252)-MIN($BI$2:$BI$252))*100))</x:f>
      </x:c>
      <x:c r="BK85">
        <x:f>IF(AD85="","",(AD85*2)+(AE85*1))</x:f>
      </x:c>
      <x:c r="BL85" s="10">
        <x:f>IF(BK85="","",IF(MAX($BK$2:$BK$252)-MIN($BK$2:$BK$252)=0,"",(BK85-MIN($BK$2:$BK$252))/(MAX($BK$2:$BK$252)-MIN($BK$2:$BK$252))*100))</x:f>
      </x:c>
      <x:c r="BM85" s="10">
        <x:f>IF(AB85="","",IF(MAX($AB$2:$AB$252)-MIN($AB$2:$AB$252)=0,"",(AB85-MIN($AB$2:$AB$252))/(MAX($AB$2:$AB$252)-MIN($AB$2:$AB$252))*100))</x:f>
      </x:c>
      <x:c r="BN85" s="10">
        <x:f>IF(X85="","",X85)</x:f>
      </x:c>
      <x:c r="BO85" s="10">
        <x:f>IF(X85="","",100-X85)</x:f>
      </x:c>
      <x:c r="BP85" s="10">
        <x:f>IF((Weights!$C$2*IF(BH85="",0,1)+Weights!$C$3*IF(BJ85="",0,1)+Weights!$C$4*IF(BL85="",0,1))=0,"",(Weights!$C$2*IF(BH85="",0,BH85)+Weights!$C$3*IF(BJ85="",0,BJ85)+Weights!$C$4*IF(BL85="",0,BL85))/(Weights!$C$2*IF(BH85="",0,1)+Weights!$C$3*IF(BJ85="",0,1)+Weights!$C$4*IF(BL85="",0,1)))</x:f>
      </x:c>
      <x:c r="BQ85" s="10">
        <x:f>IF((Weights!$C$5*IF(BA85="",0,1)+Weights!$C$6*IF(AW85="",0,1)+Weights!$C$7*IF(AU85="",0,1))=0,"",(Weights!$C$5*IF(BA85="",0,BA85)+Weights!$C$6*IF(AW85="",0,AW85)+Weights!$C$7*IF(AU85="",0,AU85))/(Weights!$C$5*IF(BA85="",0,1)+Weights!$C$6*IF(AW85="",0,1)+Weights!$C$7*IF(AU85="",0,1)))</x:f>
      </x:c>
      <x:c r="BR85" s="10">
        <x:f>IF((Weights!$C$8*IF(AW85="",0,1)+Weights!$C$9*IF(BC85="",0,1)+Weights!$C$10*IF(BF85="",0,1))=0,"",(Weights!$C$8*IF(AW85="",0,AW85)+Weights!$C$9*IF(BC85="",0,BC85)+Weights!$C$10*IF(BF85="",0,BF85))/(Weights!$C$8*IF(AW85="",0,1)+Weights!$C$9*IF(BC85="",0,1)+Weights!$C$10*IF(BF85="",0,1)))</x:f>
      </x:c>
      <x:c r="BS85" s="10">
        <x:f>IF(Y85="","",Y85)</x:f>
      </x:c>
      <x:c r="BT85" s="10">
        <x:f>IF(AS85="","",AS85)</x:f>
      </x:c>
      <x:c r="BU85" s="10">
        <x:f>IF(AJ85&lt;&gt;"",(0.6*AJ85+0.4*AU85),IF((Weights!$C$11*IF(AU85="",0,1)+Weights!$C$12*IF(BM85="",0,1))=0,"",(Weights!$C$11*IF(AU85="",0,AU85)+Weights!$C$12*IF(BM85="",0,BM85))/(Weights!$C$11*IF(AU85="",0,1)+Weights!$C$12*IF(BM85="",0,1))))</x:f>
      </x:c>
      <x:c r="BV85" s="10">
        <x:f>IF(CG85="",0,CG85)</x:f>
      </x:c>
      <x:c r="BW85" s="10">
        <x:f>IF(AP85="","",AP85)</x:f>
      </x:c>
      <x:c r="BX85" s="10">
        <x:f>IF(AO85="","",AO85)</x:f>
      </x:c>
      <x:c r="BY85" s="10">
        <x:f>IF(AL85="","",AL85)</x:f>
      </x:c>
      <x:c r="BZ85" s="10">
        <x:f>IF(AM85="","",AM85)</x:f>
      </x:c>
      <x:c r="CA85" s="10">
        <x:f>IF(AK85&lt;&gt;"",AK85,AW85)</x:f>
      </x:c>
      <x:c r="CB85" s="10">
        <x:f>IF((Weights!$C$13*IF(BP85="",0,1)+Weights!$C$14*IF(BR85="",0,1)+Weights!$C$15*IF(BQ85="",0,1)+Weights!$C$16*IF(BS85="",0,1)+Weights!$C$17*IF(BU85="",0,1)+Weights!$C$18*IF(BT85="",0,1)+Weights!$C$19*IF(BW85="",0,1)+Weights!$C$20*IF(BZ85="",0,1)+Weights!$C$21*IF(BO85="",0,1)+Weights!$C$22)=0,"",(Weights!$C$13*IF(BP85="",0,BP85)+Weights!$C$14*IF(BR85="",0,BR85)+Weights!$C$15*IF(BQ85="",0,BQ85)+Weights!$C$16*IF(BS85="",0,BS85)+Weights!$C$17*IF(BU85="",0,BU85)+Weights!$C$18*IF(BT85="",0,BT85)+Weights!$C$19*IF(BW85="",0,BW85)+Weights!$C$20*IF(BZ85="",0,BZ85)+Weights!$C$21*IF(BO85="",0,BO85)+Weights!$C$22*BV85)/(Weights!$C$13*IF(BP85="",0,1)+Weights!$C$14*IF(BR85="",0,1)+Weights!$C$15*IF(BQ85="",0,1)+Weights!$C$16*IF(BS85="",0,1)+Weights!$C$17*IF(BU85="",0,1)+Weights!$C$18*IF(BT85="",0,1)+Weights!$C$19*IF(BW85="",0,1)+Weights!$C$20*IF(BZ85="",0,1)+Weights!$C$21*IF(BO85="",0,1)+Weights!$C$22))</x:f>
      </x:c>
      <x:c r="CC85" s="10">
        <x:f>IF((Weights!$C$23*IF(BQ85="",0,1)+Weights!$C$24*IF(BN85="",0,1)+Weights!$C$25*IF(BS85="",0,1)+Weights!$C$26*IF(BY85="",0,1)+Weights!$C$27*IF(BX85="",0,1)+Weights!$C$28*IF(BT85="",0,1)+Weights!$C$29*IF(CA85="",0,1)+Weights!$C$30+Weights!$C$31*IF(BU85="",0,1))=0,"",(Weights!$C$23*IF(BQ85="",0,BQ85)+Weights!$C$24*IF(BN85="",0,BN85)+Weights!$C$25*IF(BS85="",0,BS85)+Weights!$C$26*IF(BY85="",0,BY85)+Weights!$C$27*IF(BX85="",0,BX85)+Weights!$C$28*IF(BT85="",0,BT85)+Weights!$C$29*IF(CA85="",0,CA85)+Weights!$C$30*BV85+Weights!$C$31*IF(BU85="",0,BU85))/(Weights!$C$23*IF(BQ85="",0,1)+Weights!$C$24*IF(BN85="",0,1)+Weights!$C$25*IF(BS85="",0,1)+Weights!$C$26*IF(BY85="",0,1)+Weights!$C$27*IF(BX85="",0,1)+Weights!$C$28*IF(BT85="",0,1)+Weights!$C$29*IF(CA85="",0,1)+Weights!$C$30+Weights!$C$31*IF(BU85="",0,1)))</x:f>
      </x:c>
      <x:c r="CD85" s="10">
        <x:f>IF(AND(CB85="",CC85=""),"",IF(CB85="",CC85,IF(CC85="",CB85,AVERAGE(CB85,CC85))))</x:f>
      </x:c>
      <x:c r="CE85" s="7">
        <x:f>ROUND(100*((IF(BP85&lt;&gt;"",1,0)+IF(BQ85&lt;&gt;"",1,0)+IF(BR85&lt;&gt;"",1,0)+IF(BS85&lt;&gt;"",1,0)+IF(BU85&lt;&gt;"",1,0)+IF(BT85&lt;&gt;"",1,0)+IF(BN85&lt;&gt;"",1,0)+IF(AW85&lt;&gt;"",1,0))/8),0)</x:f>
      </x:c>
      <x:c r="CF85">
        <x:f>IF(V85="","",LOG10(V85+1))</x:f>
      </x:c>
      <x:c r="CG85">
        <x:f>IF(CF85="","",IF(MAX($CF$2:$CF$252)-MIN($CF$2:$CF$252)=0,"",(CF85-MIN($CF$2:$CF$252))/(MAX($CF$2:$CF$252)-MIN($CF$2:$CF$252))*100))</x:f>
      </x:c>
    </x:row>
    <x:row r="86">
      <x:c r="A86" t="inlineStr">
        <x:is>
          <x:t xml:space="preserve">NOR</x:t>
        </x:is>
      </x:c>
      <x:c r="B86" t="inlineStr">
        <x:is>
          <x:t xml:space="preserve">Norway</x:t>
        </x:is>
      </x:c>
      <x:c r="C86" t="inlineStr">
        <x:is>
          <x:t xml:space="preserve">Europe &amp; Central Asia</x:t>
        </x:is>
      </x:c>
      <x:c r="D86" t="inlineStr">
        <x:is>
          <x:t xml:space="preserve">High income</x:t>
        </x:is>
      </x:c>
      <x:c r="E86" t="inlineStr">
        <x:is>
          <x:t xml:space="preserve">Europe</x:t>
        </x:is>
      </x:c>
      <x:c r="F86" t="n">
        <x:v>2024</x:v>
      </x:c>
      <x:c r="G86" t="n">
        <x:v>5572279</x:v>
      </x:c>
      <x:c r="H86" t="n">
        <x:v>2020</x:v>
      </x:c>
      <x:c r="I86" t="n">
        <x:v>25000</x:v>
      </x:c>
      <x:c r="J86" t="n">
        <x:v>16250</x:v>
      </x:c>
      <x:c r="K86" t="n">
        <x:v>5000</x:v>
      </x:c>
      <x:c r="L86" t="n">
        <x:v>3000</x:v>
      </x:c>
      <x:c r="M86" t="n">
        <x:v>2024</x:v>
      </x:c>
      <x:c r="N86" s="8" t="n">
        <x:v>10435320375.7091</x:v>
      </x:c>
      <x:c r="O86" s="9" t="n">
        <x:v>2.09124111193175</x:v>
      </x:c>
      <x:c r="P86" s="8" t="n">
        <x:v>417412.815028364</x:v>
      </x:c>
      <x:c r="Q86" t="n">
        <x:v>2024</x:v>
      </x:c>
      <x:c r="R86" s="8" t="n">
        <x:v>483592648313.301</x:v>
      </x:c>
      <x:c r="S86" t="n">
        <x:v>12</x:v>
      </x:c>
      <x:c r="T86" t="n">
        <x:v>3</x:v>
      </x:c>
      <x:c r="U86" t="inlineStr">
        <x:is>
          <x:t xml:space="preserve">No</x:t>
        </x:is>
      </x:c>
      <x:c r="W86" t="inlineStr">
        <x:is>
          <x:t xml:space="preserve">No</x:t>
        </x:is>
      </x:c>
      <x:c r="X86" t="n">
        <x:v>61.64273582109077</x:v>
      </x:c>
      <x:c r="Y86" t="n">
        <x:v>72.38591179084136</x:v>
      </x:c>
      <x:c r="Z86" t="n">
        <x:v>397994.6289809768</x:v>
      </x:c>
      <x:c r="AA86" t="n">
        <x:v>13.36712762587127</x:v>
      </x:c>
      <x:c r="AB86" s="8" t="n">
        <x:v>68552.05172136702</x:v>
      </x:c>
      <x:c r="AC86" t="n">
        <x:v>25</x:v>
      </x:c>
      <x:c r="AD86" t="n">
        <x:v>0</x:v>
      </x:c>
      <x:c r="AE86" t="n">
        <x:v>0</x:v>
      </x:c>
      <x:c r="AR86">
        <x:f>IF(G86="","",LOG10(G86+1))</x:f>
      </x:c>
      <x:c r="AS86" s="10">
        <x:f>IF(AR86="","",IF(MAX($AR$2:$AR$252)-MIN($AR$2:$AR$252)=0,"",(AR86-MIN($AR$2:$AR$252))/(MAX($AR$2:$AR$252)-MIN($AR$2:$AR$252))*100))</x:f>
      </x:c>
      <x:c r="AT86">
        <x:f>IF(R86="","",LOG10(R86+1))</x:f>
      </x:c>
      <x:c r="AU86" s="10">
        <x:f>IF(AT86="","",IF(MAX($AT$2:$AT$252)-MIN($AT$2:$AT$252)=0,"",(AT86-MIN($AT$2:$AT$252))/(MAX($AT$2:$AT$252)-MIN($AT$2:$AT$252))*100))</x:f>
      </x:c>
      <x:c r="AV86">
        <x:f>IF(N86="","",LOG10(N86+1))</x:f>
      </x:c>
      <x:c r="AW86" s="10">
        <x:f>IF(AV86="","",IF(MAX($AV$2:$AV$252)-MIN($AV$2:$AV$252)=0,"",(AV86-MIN($AV$2:$AV$252))/(MAX($AV$2:$AV$252)-MIN($AV$2:$AV$252))*100))</x:f>
      </x:c>
      <x:c r="AX86">
        <x:f>IF(I86="","",LOG10(I86+1))</x:f>
      </x:c>
      <x:c r="AY86" s="10">
        <x:f>IF(AX86="","",IF(MAX($AX$2:$AX$252)-MIN($AX$2:$AX$252)=0,"",(AX86-MIN($AX$2:$AX$252))/(MAX($AX$2:$AX$252)-MIN($AX$2:$AX$252))*100))</x:f>
      </x:c>
      <x:c r="AZ86">
        <x:f>IF(J86="","",LOG10(J86+1))</x:f>
      </x:c>
      <x:c r="BA86" s="10">
        <x:f>IF(AZ86="","",IF(MAX($AZ$2:$AZ$252)-MIN($AZ$2:$AZ$252)=0,"",(AZ86-MIN($AZ$2:$AZ$252))/(MAX($AZ$2:$AZ$252)-MIN($AZ$2:$AZ$252))*100))</x:f>
      </x:c>
      <x:c r="BB86">
        <x:f>IF(K86="","",LOG10(K86+1))</x:f>
      </x:c>
      <x:c r="BC86" s="10">
        <x:f>IF(BB86="","",IF(MAX($BB$2:$BB$252)-MIN($BB$2:$BB$252)=0,"",(BB86-MIN($BB$2:$BB$252))/(MAX($BB$2:$BB$252)-MIN($BB$2:$BB$252))*100))</x:f>
      </x:c>
      <x:c r="BD86">
        <x:f>IF(L86="","",LOG10(L86+1))</x:f>
      </x:c>
      <x:c r="BE86" s="10">
        <x:f>IF(BD86="","",IF(MAX($BD$2:$BD$252)-MIN($BD$2:$BD$252)=0,"",(BD86-MIN($BD$2:$BD$252))/(MAX($BD$2:$BD$252)-MIN($BD$2:$BD$252))*100))</x:f>
      </x:c>
      <x:c r="BF86" s="10">
        <x:f>IF(P86="","",IF(MAX($P$2:$P$252)-MIN($P$2:$P$252)=0,"",(P86-MIN($P$2:$P$252))/(MAX($P$2:$P$252)-MIN($P$2:$P$252))*100))</x:f>
      </x:c>
      <x:c r="BG86">
        <x:f>IF(AF86="","",LOG10(AF86+1))</x:f>
      </x:c>
      <x:c r="BH86" s="10">
        <x:f>IF(BG86="","",IF(MAX($BG$2:$BG$252)-MIN($BG$2:$BG$252)=0,"",(BG86-MIN($BG$2:$BG$252))/(MAX($BG$2:$BG$252)-MIN($BG$2:$BG$252))*100))</x:f>
      </x:c>
      <x:c r="BI86">
        <x:f>IF(AC86="","",LOG10(AC86+1))</x:f>
      </x:c>
      <x:c r="BJ86" s="10">
        <x:f>IF(BI86="","",IF(MAX($BI$2:$BI$252)-MIN($BI$2:$BI$252)=0,"",(BI86-MIN($BI$2:$BI$252))/(MAX($BI$2:$BI$252)-MIN($BI$2:$BI$252))*100))</x:f>
      </x:c>
      <x:c r="BK86">
        <x:f>IF(AD86="","",(AD86*2)+(AE86*1))</x:f>
      </x:c>
      <x:c r="BL86" s="10">
        <x:f>IF(BK86="","",IF(MAX($BK$2:$BK$252)-MIN($BK$2:$BK$252)=0,"",(BK86-MIN($BK$2:$BK$252))/(MAX($BK$2:$BK$252)-MIN($BK$2:$BK$252))*100))</x:f>
      </x:c>
      <x:c r="BM86" s="10">
        <x:f>IF(AB86="","",IF(MAX($AB$2:$AB$252)-MIN($AB$2:$AB$252)=0,"",(AB86-MIN($AB$2:$AB$252))/(MAX($AB$2:$AB$252)-MIN($AB$2:$AB$252))*100))</x:f>
      </x:c>
      <x:c r="BN86" s="10">
        <x:f>IF(X86="","",X86)</x:f>
      </x:c>
      <x:c r="BO86" s="10">
        <x:f>IF(X86="","",100-X86)</x:f>
      </x:c>
      <x:c r="BP86" s="10">
        <x:f>IF((Weights!$C$2*IF(BH86="",0,1)+Weights!$C$3*IF(BJ86="",0,1)+Weights!$C$4*IF(BL86="",0,1))=0,"",(Weights!$C$2*IF(BH86="",0,BH86)+Weights!$C$3*IF(BJ86="",0,BJ86)+Weights!$C$4*IF(BL86="",0,BL86))/(Weights!$C$2*IF(BH86="",0,1)+Weights!$C$3*IF(BJ86="",0,1)+Weights!$C$4*IF(BL86="",0,1)))</x:f>
      </x:c>
      <x:c r="BQ86" s="10">
        <x:f>IF((Weights!$C$5*IF(BA86="",0,1)+Weights!$C$6*IF(AW86="",0,1)+Weights!$C$7*IF(AU86="",0,1))=0,"",(Weights!$C$5*IF(BA86="",0,BA86)+Weights!$C$6*IF(AW86="",0,AW86)+Weights!$C$7*IF(AU86="",0,AU86))/(Weights!$C$5*IF(BA86="",0,1)+Weights!$C$6*IF(AW86="",0,1)+Weights!$C$7*IF(AU86="",0,1)))</x:f>
      </x:c>
      <x:c r="BR86" s="10">
        <x:f>IF((Weights!$C$8*IF(AW86="",0,1)+Weights!$C$9*IF(BC86="",0,1)+Weights!$C$10*IF(BF86="",0,1))=0,"",(Weights!$C$8*IF(AW86="",0,AW86)+Weights!$C$9*IF(BC86="",0,BC86)+Weights!$C$10*IF(BF86="",0,BF86))/(Weights!$C$8*IF(AW86="",0,1)+Weights!$C$9*IF(BC86="",0,1)+Weights!$C$10*IF(BF86="",0,1)))</x:f>
      </x:c>
      <x:c r="BS86" s="10">
        <x:f>IF(Y86="","",Y86)</x:f>
      </x:c>
      <x:c r="BT86" s="10">
        <x:f>IF(AS86="","",AS86)</x:f>
      </x:c>
      <x:c r="BU86" s="10">
        <x:f>IF(AJ86&lt;&gt;"",(0.6*AJ86+0.4*AU86),IF((Weights!$C$11*IF(AU86="",0,1)+Weights!$C$12*IF(BM86="",0,1))=0,"",(Weights!$C$11*IF(AU86="",0,AU86)+Weights!$C$12*IF(BM86="",0,BM86))/(Weights!$C$11*IF(AU86="",0,1)+Weights!$C$12*IF(BM86="",0,1))))</x:f>
      </x:c>
      <x:c r="BV86" s="10">
        <x:f>IF(CG86="",0,CG86)</x:f>
      </x:c>
      <x:c r="BW86" s="10">
        <x:f>IF(AP86="","",AP86)</x:f>
      </x:c>
      <x:c r="BX86" s="10">
        <x:f>IF(AO86="","",AO86)</x:f>
      </x:c>
      <x:c r="BY86" s="10">
        <x:f>IF(AL86="","",AL86)</x:f>
      </x:c>
      <x:c r="BZ86" s="10">
        <x:f>IF(AM86="","",AM86)</x:f>
      </x:c>
      <x:c r="CA86" s="10">
        <x:f>IF(AK86&lt;&gt;"",AK86,AW86)</x:f>
      </x:c>
      <x:c r="CB86" s="10">
        <x:f>IF((Weights!$C$13*IF(BP86="",0,1)+Weights!$C$14*IF(BR86="",0,1)+Weights!$C$15*IF(BQ86="",0,1)+Weights!$C$16*IF(BS86="",0,1)+Weights!$C$17*IF(BU86="",0,1)+Weights!$C$18*IF(BT86="",0,1)+Weights!$C$19*IF(BW86="",0,1)+Weights!$C$20*IF(BZ86="",0,1)+Weights!$C$21*IF(BO86="",0,1)+Weights!$C$22)=0,"",(Weights!$C$13*IF(BP86="",0,BP86)+Weights!$C$14*IF(BR86="",0,BR86)+Weights!$C$15*IF(BQ86="",0,BQ86)+Weights!$C$16*IF(BS86="",0,BS86)+Weights!$C$17*IF(BU86="",0,BU86)+Weights!$C$18*IF(BT86="",0,BT86)+Weights!$C$19*IF(BW86="",0,BW86)+Weights!$C$20*IF(BZ86="",0,BZ86)+Weights!$C$21*IF(BO86="",0,BO86)+Weights!$C$22*BV86)/(Weights!$C$13*IF(BP86="",0,1)+Weights!$C$14*IF(BR86="",0,1)+Weights!$C$15*IF(BQ86="",0,1)+Weights!$C$16*IF(BS86="",0,1)+Weights!$C$17*IF(BU86="",0,1)+Weights!$C$18*IF(BT86="",0,1)+Weights!$C$19*IF(BW86="",0,1)+Weights!$C$20*IF(BZ86="",0,1)+Weights!$C$21*IF(BO86="",0,1)+Weights!$C$22))</x:f>
      </x:c>
      <x:c r="CC86" s="10">
        <x:f>IF((Weights!$C$23*IF(BQ86="",0,1)+Weights!$C$24*IF(BN86="",0,1)+Weights!$C$25*IF(BS86="",0,1)+Weights!$C$26*IF(BY86="",0,1)+Weights!$C$27*IF(BX86="",0,1)+Weights!$C$28*IF(BT86="",0,1)+Weights!$C$29*IF(CA86="",0,1)+Weights!$C$30+Weights!$C$31*IF(BU86="",0,1))=0,"",(Weights!$C$23*IF(BQ86="",0,BQ86)+Weights!$C$24*IF(BN86="",0,BN86)+Weights!$C$25*IF(BS86="",0,BS86)+Weights!$C$26*IF(BY86="",0,BY86)+Weights!$C$27*IF(BX86="",0,BX86)+Weights!$C$28*IF(BT86="",0,BT86)+Weights!$C$29*IF(CA86="",0,CA86)+Weights!$C$30*BV86+Weights!$C$31*IF(BU86="",0,BU86))/(Weights!$C$23*IF(BQ86="",0,1)+Weights!$C$24*IF(BN86="",0,1)+Weights!$C$25*IF(BS86="",0,1)+Weights!$C$26*IF(BY86="",0,1)+Weights!$C$27*IF(BX86="",0,1)+Weights!$C$28*IF(BT86="",0,1)+Weights!$C$29*IF(CA86="",0,1)+Weights!$C$30+Weights!$C$31*IF(BU86="",0,1)))</x:f>
      </x:c>
      <x:c r="CD86" s="10">
        <x:f>IF(AND(CB86="",CC86=""),"",IF(CB86="",CC86,IF(CC86="",CB86,AVERAGE(CB86,CC86))))</x:f>
      </x:c>
      <x:c r="CE86" s="7">
        <x:f>ROUND(100*((IF(BP86&lt;&gt;"",1,0)+IF(BQ86&lt;&gt;"",1,0)+IF(BR86&lt;&gt;"",1,0)+IF(BS86&lt;&gt;"",1,0)+IF(BU86&lt;&gt;"",1,0)+IF(BT86&lt;&gt;"",1,0)+IF(BN86&lt;&gt;"",1,0)+IF(AW86&lt;&gt;"",1,0))/8),0)</x:f>
      </x:c>
      <x:c r="CF86">
        <x:f>IF(V86="","",LOG10(V86+1))</x:f>
      </x:c>
      <x:c r="CG86">
        <x:f>IF(CF86="","",IF(MAX($CF$2:$CF$252)-MIN($CF$2:$CF$252)=0,"",(CF86-MIN($CF$2:$CF$252))/(MAX($CF$2:$CF$252)-MIN($CF$2:$CF$252))*100))</x:f>
      </x:c>
    </x:row>
    <x:row r="87">
      <x:c r="A87" t="inlineStr">
        <x:is>
          <x:t xml:space="preserve">SAU</x:t>
        </x:is>
      </x:c>
      <x:c r="B87" t="inlineStr">
        <x:is>
          <x:t xml:space="preserve">Saudi Arabia</x:t>
        </x:is>
      </x:c>
      <x:c r="C87" t="inlineStr">
        <x:is>
          <x:t xml:space="preserve">Middle East &amp; North Africa</x:t>
        </x:is>
      </x:c>
      <x:c r="D87" t="inlineStr">
        <x:is>
          <x:t xml:space="preserve">High income</x:t>
        </x:is>
      </x:c>
      <x:c r="E87" t="inlineStr">
        <x:is>
          <x:t xml:space="preserve">Asia</x:t>
        </x:is>
      </x:c>
      <x:c r="F87" t="n">
        <x:v>2024</x:v>
      </x:c>
      <x:c r="G87" t="n">
        <x:v>35300280</x:v>
      </x:c>
      <x:c r="H87" t="n">
        <x:v>2020</x:v>
      </x:c>
      <x:c r="I87" t="n">
        <x:v>282000</x:v>
      </x:c>
      <x:c r="J87" t="n">
        <x:v>183300</x:v>
      </x:c>
      <x:c r="K87" t="n">
        <x:v>56400</x:v>
      </x:c>
      <x:c r="L87" t="n">
        <x:v>33840</x:v>
      </x:c>
      <x:c r="M87" t="n">
        <x:v>2024</x:v>
      </x:c>
      <x:c r="N87" s="8" t="n">
        <x:v>80330666666.6667</x:v>
      </x:c>
      <x:c r="O87" s="9" t="n">
        <x:v>7.2981029390103</x:v>
      </x:c>
      <x:c r="P87" s="8" t="n">
        <x:v>284860.5200945628</x:v>
      </x:c>
      <x:c r="Q87" t="n">
        <x:v>2024</x:v>
      </x:c>
      <x:c r="R87" s="8" t="n">
        <x:v>1239804533333.33</x:v>
      </x:c>
      <x:c r="S87" t="n">
        <x:v>13</x:v>
      </x:c>
      <x:c r="T87" t="n">
        <x:v>0</x:v>
      </x:c>
      <x:c r="U87" t="inlineStr">
        <x:is>
          <x:t xml:space="preserve">No</x:t>
        </x:is>
      </x:c>
      <x:c r="W87" t="inlineStr">
        <x:is>
          <x:t xml:space="preserve">No</x:t>
        </x:is>
      </x:c>
      <x:c r="X87" t="n">
        <x:v>11.25736719781942</x:v>
      </x:c>
      <x:c r="Y87" t="n">
        <x:v>71.20434880246218</x:v>
      </x:c>
      <x:c r="Z87" t="n">
        <x:v>1920324.14608918</x:v>
      </x:c>
      <x:c r="AA87" t="n">
        <x:v>14.87861830940761</x:v>
      </x:c>
      <x:c r="AB87" s="8" t="n">
        <x:v>60584.27601790159</x:v>
      </x:c>
      <x:c r="AC87" t="n">
        <x:v>57</x:v>
      </x:c>
      <x:c r="AD87" t="n">
        <x:v>0</x:v>
      </x:c>
      <x:c r="AE87" t="n">
        <x:v>0</x:v>
      </x:c>
      <x:c r="AF87" t="n">
        <x:v>10.7</x:v>
      </x:c>
      <x:c r="AG87" t="n">
        <x:v>28</x:v>
      </x:c>
      <x:c r="AH87" t="n">
        <x:v>36</x:v>
      </x:c>
      <x:c r="AR87">
        <x:f>IF(G87="","",LOG10(G87+1))</x:f>
      </x:c>
      <x:c r="AS87" s="10">
        <x:f>IF(AR87="","",IF(MAX($AR$2:$AR$252)-MIN($AR$2:$AR$252)=0,"",(AR87-MIN($AR$2:$AR$252))/(MAX($AR$2:$AR$252)-MIN($AR$2:$AR$252))*100))</x:f>
      </x:c>
      <x:c r="AT87">
        <x:f>IF(R87="","",LOG10(R87+1))</x:f>
      </x:c>
      <x:c r="AU87" s="10">
        <x:f>IF(AT87="","",IF(MAX($AT$2:$AT$252)-MIN($AT$2:$AT$252)=0,"",(AT87-MIN($AT$2:$AT$252))/(MAX($AT$2:$AT$252)-MIN($AT$2:$AT$252))*100))</x:f>
      </x:c>
      <x:c r="AV87">
        <x:f>IF(N87="","",LOG10(N87+1))</x:f>
      </x:c>
      <x:c r="AW87" s="10">
        <x:f>IF(AV87="","",IF(MAX($AV$2:$AV$252)-MIN($AV$2:$AV$252)=0,"",(AV87-MIN($AV$2:$AV$252))/(MAX($AV$2:$AV$252)-MIN($AV$2:$AV$252))*100))</x:f>
      </x:c>
      <x:c r="AX87">
        <x:f>IF(I87="","",LOG10(I87+1))</x:f>
      </x:c>
      <x:c r="AY87" s="10">
        <x:f>IF(AX87="","",IF(MAX($AX$2:$AX$252)-MIN($AX$2:$AX$252)=0,"",(AX87-MIN($AX$2:$AX$252))/(MAX($AX$2:$AX$252)-MIN($AX$2:$AX$252))*100))</x:f>
      </x:c>
      <x:c r="AZ87">
        <x:f>IF(J87="","",LOG10(J87+1))</x:f>
      </x:c>
      <x:c r="BA87" s="10">
        <x:f>IF(AZ87="","",IF(MAX($AZ$2:$AZ$252)-MIN($AZ$2:$AZ$252)=0,"",(AZ87-MIN($AZ$2:$AZ$252))/(MAX($AZ$2:$AZ$252)-MIN($AZ$2:$AZ$252))*100))</x:f>
      </x:c>
      <x:c r="BB87">
        <x:f>IF(K87="","",LOG10(K87+1))</x:f>
      </x:c>
      <x:c r="BC87" s="10">
        <x:f>IF(BB87="","",IF(MAX($BB$2:$BB$252)-MIN($BB$2:$BB$252)=0,"",(BB87-MIN($BB$2:$BB$252))/(MAX($BB$2:$BB$252)-MIN($BB$2:$BB$252))*100))</x:f>
      </x:c>
      <x:c r="BD87">
        <x:f>IF(L87="","",LOG10(L87+1))</x:f>
      </x:c>
      <x:c r="BE87" s="10">
        <x:f>IF(BD87="","",IF(MAX($BD$2:$BD$252)-MIN($BD$2:$BD$252)=0,"",(BD87-MIN($BD$2:$BD$252))/(MAX($BD$2:$BD$252)-MIN($BD$2:$BD$252))*100))</x:f>
      </x:c>
      <x:c r="BF87" s="10">
        <x:f>IF(P87="","",IF(MAX($P$2:$P$252)-MIN($P$2:$P$252)=0,"",(P87-MIN($P$2:$P$252))/(MAX($P$2:$P$252)-MIN($P$2:$P$252))*100))</x:f>
      </x:c>
      <x:c r="BG87">
        <x:f>IF(AF87="","",LOG10(AF87+1))</x:f>
      </x:c>
      <x:c r="BH87" s="10">
        <x:f>IF(BG87="","",IF(MAX($BG$2:$BG$252)-MIN($BG$2:$BG$252)=0,"",(BG87-MIN($BG$2:$BG$252))/(MAX($BG$2:$BG$252)-MIN($BG$2:$BG$252))*100))</x:f>
      </x:c>
      <x:c r="BI87">
        <x:f>IF(AC87="","",LOG10(AC87+1))</x:f>
      </x:c>
      <x:c r="BJ87" s="10">
        <x:f>IF(BI87="","",IF(MAX($BI$2:$BI$252)-MIN($BI$2:$BI$252)=0,"",(BI87-MIN($BI$2:$BI$252))/(MAX($BI$2:$BI$252)-MIN($BI$2:$BI$252))*100))</x:f>
      </x:c>
      <x:c r="BK87">
        <x:f>IF(AD87="","",(AD87*2)+(AE87*1))</x:f>
      </x:c>
      <x:c r="BL87" s="10">
        <x:f>IF(BK87="","",IF(MAX($BK$2:$BK$252)-MIN($BK$2:$BK$252)=0,"",(BK87-MIN($BK$2:$BK$252))/(MAX($BK$2:$BK$252)-MIN($BK$2:$BK$252))*100))</x:f>
      </x:c>
      <x:c r="BM87" s="10">
        <x:f>IF(AB87="","",IF(MAX($AB$2:$AB$252)-MIN($AB$2:$AB$252)=0,"",(AB87-MIN($AB$2:$AB$252))/(MAX($AB$2:$AB$252)-MIN($AB$2:$AB$252))*100))</x:f>
      </x:c>
      <x:c r="BN87" s="10">
        <x:f>IF(X87="","",X87)</x:f>
      </x:c>
      <x:c r="BO87" s="10">
        <x:f>IF(X87="","",100-X87)</x:f>
      </x:c>
      <x:c r="BP87" s="10">
        <x:f>IF((Weights!$C$2*IF(BH87="",0,1)+Weights!$C$3*IF(BJ87="",0,1)+Weights!$C$4*IF(BL87="",0,1))=0,"",(Weights!$C$2*IF(BH87="",0,BH87)+Weights!$C$3*IF(BJ87="",0,BJ87)+Weights!$C$4*IF(BL87="",0,BL87))/(Weights!$C$2*IF(BH87="",0,1)+Weights!$C$3*IF(BJ87="",0,1)+Weights!$C$4*IF(BL87="",0,1)))</x:f>
      </x:c>
      <x:c r="BQ87" s="10">
        <x:f>IF((Weights!$C$5*IF(BA87="",0,1)+Weights!$C$6*IF(AW87="",0,1)+Weights!$C$7*IF(AU87="",0,1))=0,"",(Weights!$C$5*IF(BA87="",0,BA87)+Weights!$C$6*IF(AW87="",0,AW87)+Weights!$C$7*IF(AU87="",0,AU87))/(Weights!$C$5*IF(BA87="",0,1)+Weights!$C$6*IF(AW87="",0,1)+Weights!$C$7*IF(AU87="",0,1)))</x:f>
      </x:c>
      <x:c r="BR87" s="10">
        <x:f>IF((Weights!$C$8*IF(AW87="",0,1)+Weights!$C$9*IF(BC87="",0,1)+Weights!$C$10*IF(BF87="",0,1))=0,"",(Weights!$C$8*IF(AW87="",0,AW87)+Weights!$C$9*IF(BC87="",0,BC87)+Weights!$C$10*IF(BF87="",0,BF87))/(Weights!$C$8*IF(AW87="",0,1)+Weights!$C$9*IF(BC87="",0,1)+Weights!$C$10*IF(BF87="",0,1)))</x:f>
      </x:c>
      <x:c r="BS87" s="10">
        <x:f>IF(Y87="","",Y87)</x:f>
      </x:c>
      <x:c r="BT87" s="10">
        <x:f>IF(AS87="","",AS87)</x:f>
      </x:c>
      <x:c r="BU87" s="10">
        <x:f>IF(AJ87&lt;&gt;"",(0.6*AJ87+0.4*AU87),IF((Weights!$C$11*IF(AU87="",0,1)+Weights!$C$12*IF(BM87="",0,1))=0,"",(Weights!$C$11*IF(AU87="",0,AU87)+Weights!$C$12*IF(BM87="",0,BM87))/(Weights!$C$11*IF(AU87="",0,1)+Weights!$C$12*IF(BM87="",0,1))))</x:f>
      </x:c>
      <x:c r="BV87" s="10">
        <x:f>IF(CG87="",0,CG87)</x:f>
      </x:c>
      <x:c r="BW87" s="10">
        <x:f>IF(AP87="","",AP87)</x:f>
      </x:c>
      <x:c r="BX87" s="10">
        <x:f>IF(AO87="","",AO87)</x:f>
      </x:c>
      <x:c r="BY87" s="10">
        <x:f>IF(AL87="","",AL87)</x:f>
      </x:c>
      <x:c r="BZ87" s="10">
        <x:f>IF(AM87="","",AM87)</x:f>
      </x:c>
      <x:c r="CA87" s="10">
        <x:f>IF(AK87&lt;&gt;"",AK87,AW87)</x:f>
      </x:c>
      <x:c r="CB87" s="10">
        <x:f>IF((Weights!$C$13*IF(BP87="",0,1)+Weights!$C$14*IF(BR87="",0,1)+Weights!$C$15*IF(BQ87="",0,1)+Weights!$C$16*IF(BS87="",0,1)+Weights!$C$17*IF(BU87="",0,1)+Weights!$C$18*IF(BT87="",0,1)+Weights!$C$19*IF(BW87="",0,1)+Weights!$C$20*IF(BZ87="",0,1)+Weights!$C$21*IF(BO87="",0,1)+Weights!$C$22)=0,"",(Weights!$C$13*IF(BP87="",0,BP87)+Weights!$C$14*IF(BR87="",0,BR87)+Weights!$C$15*IF(BQ87="",0,BQ87)+Weights!$C$16*IF(BS87="",0,BS87)+Weights!$C$17*IF(BU87="",0,BU87)+Weights!$C$18*IF(BT87="",0,BT87)+Weights!$C$19*IF(BW87="",0,BW87)+Weights!$C$20*IF(BZ87="",0,BZ87)+Weights!$C$21*IF(BO87="",0,BO87)+Weights!$C$22*BV87)/(Weights!$C$13*IF(BP87="",0,1)+Weights!$C$14*IF(BR87="",0,1)+Weights!$C$15*IF(BQ87="",0,1)+Weights!$C$16*IF(BS87="",0,1)+Weights!$C$17*IF(BU87="",0,1)+Weights!$C$18*IF(BT87="",0,1)+Weights!$C$19*IF(BW87="",0,1)+Weights!$C$20*IF(BZ87="",0,1)+Weights!$C$21*IF(BO87="",0,1)+Weights!$C$22))</x:f>
      </x:c>
      <x:c r="CC87" s="10">
        <x:f>IF((Weights!$C$23*IF(BQ87="",0,1)+Weights!$C$24*IF(BN87="",0,1)+Weights!$C$25*IF(BS87="",0,1)+Weights!$C$26*IF(BY87="",0,1)+Weights!$C$27*IF(BX87="",0,1)+Weights!$C$28*IF(BT87="",0,1)+Weights!$C$29*IF(CA87="",0,1)+Weights!$C$30+Weights!$C$31*IF(BU87="",0,1))=0,"",(Weights!$C$23*IF(BQ87="",0,BQ87)+Weights!$C$24*IF(BN87="",0,BN87)+Weights!$C$25*IF(BS87="",0,BS87)+Weights!$C$26*IF(BY87="",0,BY87)+Weights!$C$27*IF(BX87="",0,BX87)+Weights!$C$28*IF(BT87="",0,BT87)+Weights!$C$29*IF(CA87="",0,CA87)+Weights!$C$30*BV87+Weights!$C$31*IF(BU87="",0,BU87))/(Weights!$C$23*IF(BQ87="",0,1)+Weights!$C$24*IF(BN87="",0,1)+Weights!$C$25*IF(BS87="",0,1)+Weights!$C$26*IF(BY87="",0,1)+Weights!$C$27*IF(BX87="",0,1)+Weights!$C$28*IF(BT87="",0,1)+Weights!$C$29*IF(CA87="",0,1)+Weights!$C$30+Weights!$C$31*IF(BU87="",0,1)))</x:f>
      </x:c>
      <x:c r="CD87" s="10">
        <x:f>IF(AND(CB87="",CC87=""),"",IF(CB87="",CC87,IF(CC87="",CB87,AVERAGE(CB87,CC87))))</x:f>
      </x:c>
      <x:c r="CE87" s="7">
        <x:f>ROUND(100*((IF(BP87&lt;&gt;"",1,0)+IF(BQ87&lt;&gt;"",1,0)+IF(BR87&lt;&gt;"",1,0)+IF(BS87&lt;&gt;"",1,0)+IF(BU87&lt;&gt;"",1,0)+IF(BT87&lt;&gt;"",1,0)+IF(BN87&lt;&gt;"",1,0)+IF(AW87&lt;&gt;"",1,0))/8),0)</x:f>
      </x:c>
      <x:c r="CF87">
        <x:f>IF(V87="","",LOG10(V87+1))</x:f>
      </x:c>
      <x:c r="CG87">
        <x:f>IF(CF87="","",IF(MAX($CF$2:$CF$252)-MIN($CF$2:$CF$252)=0,"",(CF87-MIN($CF$2:$CF$252))/(MAX($CF$2:$CF$252)-MIN($CF$2:$CF$252))*100))</x:f>
      </x:c>
    </x:row>
    <x:row r="88">
      <x:c r="A88" t="inlineStr">
        <x:is>
          <x:t xml:space="preserve">ESP</x:t>
        </x:is>
      </x:c>
      <x:c r="B88" t="inlineStr">
        <x:is>
          <x:t xml:space="preserve">Spain</x:t>
        </x:is>
      </x:c>
      <x:c r="C88" t="inlineStr">
        <x:is>
          <x:t xml:space="preserve">Europe &amp; Central Asia</x:t>
        </x:is>
      </x:c>
      <x:c r="D88" t="inlineStr">
        <x:is>
          <x:t xml:space="preserve">High income</x:t>
        </x:is>
      </x:c>
      <x:c r="E88" t="inlineStr">
        <x:is>
          <x:t xml:space="preserve">Europe</x:t>
        </x:is>
      </x:c>
      <x:c r="F88" t="n">
        <x:v>2024</x:v>
      </x:c>
      <x:c r="G88" t="n">
        <x:v>48848840</x:v>
      </x:c>
      <x:c r="H88" t="n">
        <x:v>2020</x:v>
      </x:c>
      <x:c r="I88" t="n">
        <x:v>199000</x:v>
      </x:c>
      <x:c r="J88" t="n">
        <x:v>129350</x:v>
      </x:c>
      <x:c r="K88" t="n">
        <x:v>39800</x:v>
      </x:c>
      <x:c r="L88" t="n">
        <x:v>23880</x:v>
      </x:c>
      <x:c r="M88" t="n">
        <x:v>2024</x:v>
      </x:c>
      <x:c r="N88" s="8" t="n">
        <x:v>24615397928.7413</x:v>
      </x:c>
      <x:c r="O88" s="9" t="n">
        <x:v>1.43210737406914</x:v>
      </x:c>
      <x:c r="P88" s="8" t="n">
        <x:v>123695.4669785995</x:v>
      </x:c>
      <x:c r="Q88" t="n">
        <x:v>2024</x:v>
      </x:c>
      <x:c r="R88" s="8" t="n">
        <x:v>1725671652742.19</x:v>
      </x:c>
      <x:c r="S88" t="n">
        <x:v>26</x:v>
      </x:c>
      <x:c r="T88" t="n">
        <x:v>6</x:v>
      </x:c>
      <x:c r="U88" t="inlineStr">
        <x:is>
          <x:t xml:space="preserve">No</x:t>
        </x:is>
      </x:c>
      <x:c r="W88" t="inlineStr">
        <x:is>
          <x:t xml:space="preserve">No</x:t>
        </x:is>
      </x:c>
      <x:c r="X88" t="n">
        <x:v>14.69879271784255</x:v>
      </x:c>
      <x:c r="Y88" t="n">
        <x:v>74.41886686462315</x:v>
      </x:c>
      <x:c r="Z88" t="n">
        <x:v>502306.4678180806</x:v>
      </x:c>
      <x:c r="AA88" t="n">
        <x:v>97.46671033853994</x:v>
      </x:c>
      <x:c r="AB88" s="8" t="n">
        <x:v>34519.27185415612</x:v>
      </x:c>
      <x:c r="AC88" t="n">
        <x:v>168</x:v>
      </x:c>
      <x:c r="AD88" t="n">
        <x:v>0</x:v>
      </x:c>
      <x:c r="AE88" t="n">
        <x:v>0</x:v>
      </x:c>
      <x:c r="AF88" t="n">
        <x:v>56</x:v>
      </x:c>
      <x:c r="AG88" t="n">
        <x:v>42</x:v>
      </x:c>
      <x:c r="AH88" t="n">
        <x:v>17</x:v>
      </x:c>
      <x:c r="AR88">
        <x:f>IF(G88="","",LOG10(G88+1))</x:f>
      </x:c>
      <x:c r="AS88" s="10">
        <x:f>IF(AR88="","",IF(MAX($AR$2:$AR$252)-MIN($AR$2:$AR$252)=0,"",(AR88-MIN($AR$2:$AR$252))/(MAX($AR$2:$AR$252)-MIN($AR$2:$AR$252))*100))</x:f>
      </x:c>
      <x:c r="AT88">
        <x:f>IF(R88="","",LOG10(R88+1))</x:f>
      </x:c>
      <x:c r="AU88" s="10">
        <x:f>IF(AT88="","",IF(MAX($AT$2:$AT$252)-MIN($AT$2:$AT$252)=0,"",(AT88-MIN($AT$2:$AT$252))/(MAX($AT$2:$AT$252)-MIN($AT$2:$AT$252))*100))</x:f>
      </x:c>
      <x:c r="AV88">
        <x:f>IF(N88="","",LOG10(N88+1))</x:f>
      </x:c>
      <x:c r="AW88" s="10">
        <x:f>IF(AV88="","",IF(MAX($AV$2:$AV$252)-MIN($AV$2:$AV$252)=0,"",(AV88-MIN($AV$2:$AV$252))/(MAX($AV$2:$AV$252)-MIN($AV$2:$AV$252))*100))</x:f>
      </x:c>
      <x:c r="AX88">
        <x:f>IF(I88="","",LOG10(I88+1))</x:f>
      </x:c>
      <x:c r="AY88" s="10">
        <x:f>IF(AX88="","",IF(MAX($AX$2:$AX$252)-MIN($AX$2:$AX$252)=0,"",(AX88-MIN($AX$2:$AX$252))/(MAX($AX$2:$AX$252)-MIN($AX$2:$AX$252))*100))</x:f>
      </x:c>
      <x:c r="AZ88">
        <x:f>IF(J88="","",LOG10(J88+1))</x:f>
      </x:c>
      <x:c r="BA88" s="10">
        <x:f>IF(AZ88="","",IF(MAX($AZ$2:$AZ$252)-MIN($AZ$2:$AZ$252)=0,"",(AZ88-MIN($AZ$2:$AZ$252))/(MAX($AZ$2:$AZ$252)-MIN($AZ$2:$AZ$252))*100))</x:f>
      </x:c>
      <x:c r="BB88">
        <x:f>IF(K88="","",LOG10(K88+1))</x:f>
      </x:c>
      <x:c r="BC88" s="10">
        <x:f>IF(BB88="","",IF(MAX($BB$2:$BB$252)-MIN($BB$2:$BB$252)=0,"",(BB88-MIN($BB$2:$BB$252))/(MAX($BB$2:$BB$252)-MIN($BB$2:$BB$252))*100))</x:f>
      </x:c>
      <x:c r="BD88">
        <x:f>IF(L88="","",LOG10(L88+1))</x:f>
      </x:c>
      <x:c r="BE88" s="10">
        <x:f>IF(BD88="","",IF(MAX($BD$2:$BD$252)-MIN($BD$2:$BD$252)=0,"",(BD88-MIN($BD$2:$BD$252))/(MAX($BD$2:$BD$252)-MIN($BD$2:$BD$252))*100))</x:f>
      </x:c>
      <x:c r="BF88" s="10">
        <x:f>IF(P88="","",IF(MAX($P$2:$P$252)-MIN($P$2:$P$252)=0,"",(P88-MIN($P$2:$P$252))/(MAX($P$2:$P$252)-MIN($P$2:$P$252))*100))</x:f>
      </x:c>
      <x:c r="BG88">
        <x:f>IF(AF88="","",LOG10(AF88+1))</x:f>
      </x:c>
      <x:c r="BH88" s="10">
        <x:f>IF(BG88="","",IF(MAX($BG$2:$BG$252)-MIN($BG$2:$BG$252)=0,"",(BG88-MIN($BG$2:$BG$252))/(MAX($BG$2:$BG$252)-MIN($BG$2:$BG$252))*100))</x:f>
      </x:c>
      <x:c r="BI88">
        <x:f>IF(AC88="","",LOG10(AC88+1))</x:f>
      </x:c>
      <x:c r="BJ88" s="10">
        <x:f>IF(BI88="","",IF(MAX($BI$2:$BI$252)-MIN($BI$2:$BI$252)=0,"",(BI88-MIN($BI$2:$BI$252))/(MAX($BI$2:$BI$252)-MIN($BI$2:$BI$252))*100))</x:f>
      </x:c>
      <x:c r="BK88">
        <x:f>IF(AD88="","",(AD88*2)+(AE88*1))</x:f>
      </x:c>
      <x:c r="BL88" s="10">
        <x:f>IF(BK88="","",IF(MAX($BK$2:$BK$252)-MIN($BK$2:$BK$252)=0,"",(BK88-MIN($BK$2:$BK$252))/(MAX($BK$2:$BK$252)-MIN($BK$2:$BK$252))*100))</x:f>
      </x:c>
      <x:c r="BM88" s="10">
        <x:f>IF(AB88="","",IF(MAX($AB$2:$AB$252)-MIN($AB$2:$AB$252)=0,"",(AB88-MIN($AB$2:$AB$252))/(MAX($AB$2:$AB$252)-MIN($AB$2:$AB$252))*100))</x:f>
      </x:c>
      <x:c r="BN88" s="10">
        <x:f>IF(X88="","",X88)</x:f>
      </x:c>
      <x:c r="BO88" s="10">
        <x:f>IF(X88="","",100-X88)</x:f>
      </x:c>
      <x:c r="BP88" s="10">
        <x:f>IF((Weights!$C$2*IF(BH88="",0,1)+Weights!$C$3*IF(BJ88="",0,1)+Weights!$C$4*IF(BL88="",0,1))=0,"",(Weights!$C$2*IF(BH88="",0,BH88)+Weights!$C$3*IF(BJ88="",0,BJ88)+Weights!$C$4*IF(BL88="",0,BL88))/(Weights!$C$2*IF(BH88="",0,1)+Weights!$C$3*IF(BJ88="",0,1)+Weights!$C$4*IF(BL88="",0,1)))</x:f>
      </x:c>
      <x:c r="BQ88" s="10">
        <x:f>IF((Weights!$C$5*IF(BA88="",0,1)+Weights!$C$6*IF(AW88="",0,1)+Weights!$C$7*IF(AU88="",0,1))=0,"",(Weights!$C$5*IF(BA88="",0,BA88)+Weights!$C$6*IF(AW88="",0,AW88)+Weights!$C$7*IF(AU88="",0,AU88))/(Weights!$C$5*IF(BA88="",0,1)+Weights!$C$6*IF(AW88="",0,1)+Weights!$C$7*IF(AU88="",0,1)))</x:f>
      </x:c>
      <x:c r="BR88" s="10">
        <x:f>IF((Weights!$C$8*IF(AW88="",0,1)+Weights!$C$9*IF(BC88="",0,1)+Weights!$C$10*IF(BF88="",0,1))=0,"",(Weights!$C$8*IF(AW88="",0,AW88)+Weights!$C$9*IF(BC88="",0,BC88)+Weights!$C$10*IF(BF88="",0,BF88))/(Weights!$C$8*IF(AW88="",0,1)+Weights!$C$9*IF(BC88="",0,1)+Weights!$C$10*IF(BF88="",0,1)))</x:f>
      </x:c>
      <x:c r="BS88" s="10">
        <x:f>IF(Y88="","",Y88)</x:f>
      </x:c>
      <x:c r="BT88" s="10">
        <x:f>IF(AS88="","",AS88)</x:f>
      </x:c>
      <x:c r="BU88" s="10">
        <x:f>IF(AJ88&lt;&gt;"",(0.6*AJ88+0.4*AU88),IF((Weights!$C$11*IF(AU88="",0,1)+Weights!$C$12*IF(BM88="",0,1))=0,"",(Weights!$C$11*IF(AU88="",0,AU88)+Weights!$C$12*IF(BM88="",0,BM88))/(Weights!$C$11*IF(AU88="",0,1)+Weights!$C$12*IF(BM88="",0,1))))</x:f>
      </x:c>
      <x:c r="BV88" s="10">
        <x:f>IF(CG88="",0,CG88)</x:f>
      </x:c>
      <x:c r="BW88" s="10">
        <x:f>IF(AP88="","",AP88)</x:f>
      </x:c>
      <x:c r="BX88" s="10">
        <x:f>IF(AO88="","",AO88)</x:f>
      </x:c>
      <x:c r="BY88" s="10">
        <x:f>IF(AL88="","",AL88)</x:f>
      </x:c>
      <x:c r="BZ88" s="10">
        <x:f>IF(AM88="","",AM88)</x:f>
      </x:c>
      <x:c r="CA88" s="10">
        <x:f>IF(AK88&lt;&gt;"",AK88,AW88)</x:f>
      </x:c>
      <x:c r="CB88" s="10">
        <x:f>IF((Weights!$C$13*IF(BP88="",0,1)+Weights!$C$14*IF(BR88="",0,1)+Weights!$C$15*IF(BQ88="",0,1)+Weights!$C$16*IF(BS88="",0,1)+Weights!$C$17*IF(BU88="",0,1)+Weights!$C$18*IF(BT88="",0,1)+Weights!$C$19*IF(BW88="",0,1)+Weights!$C$20*IF(BZ88="",0,1)+Weights!$C$21*IF(BO88="",0,1)+Weights!$C$22)=0,"",(Weights!$C$13*IF(BP88="",0,BP88)+Weights!$C$14*IF(BR88="",0,BR88)+Weights!$C$15*IF(BQ88="",0,BQ88)+Weights!$C$16*IF(BS88="",0,BS88)+Weights!$C$17*IF(BU88="",0,BU88)+Weights!$C$18*IF(BT88="",0,BT88)+Weights!$C$19*IF(BW88="",0,BW88)+Weights!$C$20*IF(BZ88="",0,BZ88)+Weights!$C$21*IF(BO88="",0,BO88)+Weights!$C$22*BV88)/(Weights!$C$13*IF(BP88="",0,1)+Weights!$C$14*IF(BR88="",0,1)+Weights!$C$15*IF(BQ88="",0,1)+Weights!$C$16*IF(BS88="",0,1)+Weights!$C$17*IF(BU88="",0,1)+Weights!$C$18*IF(BT88="",0,1)+Weights!$C$19*IF(BW88="",0,1)+Weights!$C$20*IF(BZ88="",0,1)+Weights!$C$21*IF(BO88="",0,1)+Weights!$C$22))</x:f>
      </x:c>
      <x:c r="CC88" s="10">
        <x:f>IF((Weights!$C$23*IF(BQ88="",0,1)+Weights!$C$24*IF(BN88="",0,1)+Weights!$C$25*IF(BS88="",0,1)+Weights!$C$26*IF(BY88="",0,1)+Weights!$C$27*IF(BX88="",0,1)+Weights!$C$28*IF(BT88="",0,1)+Weights!$C$29*IF(CA88="",0,1)+Weights!$C$30+Weights!$C$31*IF(BU88="",0,1))=0,"",(Weights!$C$23*IF(BQ88="",0,BQ88)+Weights!$C$24*IF(BN88="",0,BN88)+Weights!$C$25*IF(BS88="",0,BS88)+Weights!$C$26*IF(BY88="",0,BY88)+Weights!$C$27*IF(BX88="",0,BX88)+Weights!$C$28*IF(BT88="",0,BT88)+Weights!$C$29*IF(CA88="",0,CA88)+Weights!$C$30*BV88+Weights!$C$31*IF(BU88="",0,BU88))/(Weights!$C$23*IF(BQ88="",0,1)+Weights!$C$24*IF(BN88="",0,1)+Weights!$C$25*IF(BS88="",0,1)+Weights!$C$26*IF(BY88="",0,1)+Weights!$C$27*IF(BX88="",0,1)+Weights!$C$28*IF(BT88="",0,1)+Weights!$C$29*IF(CA88="",0,1)+Weights!$C$30+Weights!$C$31*IF(BU88="",0,1)))</x:f>
      </x:c>
      <x:c r="CD88" s="10">
        <x:f>IF(AND(CB88="",CC88=""),"",IF(CB88="",CC88,IF(CC88="",CB88,AVERAGE(CB88,CC88))))</x:f>
      </x:c>
      <x:c r="CE88" s="7">
        <x:f>ROUND(100*((IF(BP88&lt;&gt;"",1,0)+IF(BQ88&lt;&gt;"",1,0)+IF(BR88&lt;&gt;"",1,0)+IF(BS88&lt;&gt;"",1,0)+IF(BU88&lt;&gt;"",1,0)+IF(BT88&lt;&gt;"",1,0)+IF(BN88&lt;&gt;"",1,0)+IF(AW88&lt;&gt;"",1,0))/8),0)</x:f>
      </x:c>
      <x:c r="CF88">
        <x:f>IF(V88="","",LOG10(V88+1))</x:f>
      </x:c>
      <x:c r="CG88">
        <x:f>IF(CF88="","",IF(MAX($CF$2:$CF$252)-MIN($CF$2:$CF$252)=0,"",(CF88-MIN($CF$2:$CF$252))/(MAX($CF$2:$CF$252)-MIN($CF$2:$CF$252))*100))</x:f>
      </x:c>
    </x:row>
    <x:row r="89">
      <x:c r="A89" t="inlineStr">
        <x:is>
          <x:t xml:space="preserve">SWE</x:t>
        </x:is>
      </x:c>
      <x:c r="B89" t="inlineStr">
        <x:is>
          <x:t xml:space="preserve">Sweden</x:t>
        </x:is>
      </x:c>
      <x:c r="C89" t="inlineStr">
        <x:is>
          <x:t xml:space="preserve">Europe &amp; Central Asia</x:t>
        </x:is>
      </x:c>
      <x:c r="D89" t="inlineStr">
        <x:is>
          <x:t xml:space="preserve">High income</x:t>
        </x:is>
      </x:c>
      <x:c r="E89" t="inlineStr">
        <x:is>
          <x:t xml:space="preserve">Europe</x:t>
        </x:is>
      </x:c>
      <x:c r="F89" t="n">
        <x:v>2024</x:v>
      </x:c>
      <x:c r="G89" t="n">
        <x:v>10569709</x:v>
      </x:c>
      <x:c r="H89" t="n">
        <x:v>2020</x:v>
      </x:c>
      <x:c r="I89" t="n">
        <x:v>15000</x:v>
      </x:c>
      <x:c r="J89" t="n">
        <x:v>9750</x:v>
      </x:c>
      <x:c r="K89" t="n">
        <x:v>3000</x:v>
      </x:c>
      <x:c r="L89" t="n">
        <x:v>1800</x:v>
      </x:c>
      <x:c r="M89" t="n">
        <x:v>2024</x:v>
      </x:c>
      <x:c r="N89" s="8" t="n">
        <x:v>12040289402.7522</x:v>
      </x:c>
      <x:c r="O89" s="9" t="n">
        <x:v>1.99771738810168</x:v>
      </x:c>
      <x:c r="P89" s="8" t="n">
        <x:v>802685.9601834799</x:v>
      </x:c>
      <x:c r="Q89" t="n">
        <x:v>2024</x:v>
      </x:c>
      <x:c r="R89" s="8" t="n">
        <x:v>603715224265.798</x:v>
      </x:c>
      <x:c r="S89" t="n">
        <x:v>5</x:v>
      </x:c>
      <x:c r="T89" t="n">
        <x:v>1</x:v>
      </x:c>
      <x:c r="U89" t="inlineStr">
        <x:is>
          <x:t xml:space="preserve">No</x:t>
        </x:is>
      </x:c>
      <x:c r="W89" t="inlineStr">
        <x:is>
          <x:t xml:space="preserve">No</x:t>
        </x:is>
      </x:c>
      <x:c r="X89" t="n">
        <x:v>20.44998069852396</x:v>
      </x:c>
      <x:c r="Y89" t="n">
        <x:v>70.7489584552449</x:v>
      </x:c>
      <x:c r="Z89" t="n">
        <x:v>450581.5822035912</x:v>
      </x:c>
      <x:c r="AA89" t="n">
        <x:v>22.10584585212683</x:v>
      </x:c>
      <x:c r="AB89" s="8" t="n">
        <x:v>50007.59501016366</x:v>
      </x:c>
      <x:c r="AC89" t="n">
        <x:v>353</x:v>
      </x:c>
      <x:c r="AD89" t="n">
        <x:v>0</x:v>
      </x:c>
      <x:c r="AE89" t="n">
        <x:v>0</x:v>
      </x:c>
      <x:c r="AF89" t="n">
        <x:v>37.8</x:v>
      </x:c>
      <x:c r="AG89" t="n">
        <x:v>35</x:v>
      </x:c>
      <x:c r="AH89" t="n">
        <x:v>27</x:v>
      </x:c>
      <x:c r="AR89">
        <x:f>IF(G89="","",LOG10(G89+1))</x:f>
      </x:c>
      <x:c r="AS89" s="10">
        <x:f>IF(AR89="","",IF(MAX($AR$2:$AR$252)-MIN($AR$2:$AR$252)=0,"",(AR89-MIN($AR$2:$AR$252))/(MAX($AR$2:$AR$252)-MIN($AR$2:$AR$252))*100))</x:f>
      </x:c>
      <x:c r="AT89">
        <x:f>IF(R89="","",LOG10(R89+1))</x:f>
      </x:c>
      <x:c r="AU89" s="10">
        <x:f>IF(AT89="","",IF(MAX($AT$2:$AT$252)-MIN($AT$2:$AT$252)=0,"",(AT89-MIN($AT$2:$AT$252))/(MAX($AT$2:$AT$252)-MIN($AT$2:$AT$252))*100))</x:f>
      </x:c>
      <x:c r="AV89">
        <x:f>IF(N89="","",LOG10(N89+1))</x:f>
      </x:c>
      <x:c r="AW89" s="10">
        <x:f>IF(AV89="","",IF(MAX($AV$2:$AV$252)-MIN($AV$2:$AV$252)=0,"",(AV89-MIN($AV$2:$AV$252))/(MAX($AV$2:$AV$252)-MIN($AV$2:$AV$252))*100))</x:f>
      </x:c>
      <x:c r="AX89">
        <x:f>IF(I89="","",LOG10(I89+1))</x:f>
      </x:c>
      <x:c r="AY89" s="10">
        <x:f>IF(AX89="","",IF(MAX($AX$2:$AX$252)-MIN($AX$2:$AX$252)=0,"",(AX89-MIN($AX$2:$AX$252))/(MAX($AX$2:$AX$252)-MIN($AX$2:$AX$252))*100))</x:f>
      </x:c>
      <x:c r="AZ89">
        <x:f>IF(J89="","",LOG10(J89+1))</x:f>
      </x:c>
      <x:c r="BA89" s="10">
        <x:f>IF(AZ89="","",IF(MAX($AZ$2:$AZ$252)-MIN($AZ$2:$AZ$252)=0,"",(AZ89-MIN($AZ$2:$AZ$252))/(MAX($AZ$2:$AZ$252)-MIN($AZ$2:$AZ$252))*100))</x:f>
      </x:c>
      <x:c r="BB89">
        <x:f>IF(K89="","",LOG10(K89+1))</x:f>
      </x:c>
      <x:c r="BC89" s="10">
        <x:f>IF(BB89="","",IF(MAX($BB$2:$BB$252)-MIN($BB$2:$BB$252)=0,"",(BB89-MIN($BB$2:$BB$252))/(MAX($BB$2:$BB$252)-MIN($BB$2:$BB$252))*100))</x:f>
      </x:c>
      <x:c r="BD89">
        <x:f>IF(L89="","",LOG10(L89+1))</x:f>
      </x:c>
      <x:c r="BE89" s="10">
        <x:f>IF(BD89="","",IF(MAX($BD$2:$BD$252)-MIN($BD$2:$BD$252)=0,"",(BD89-MIN($BD$2:$BD$252))/(MAX($BD$2:$BD$252)-MIN($BD$2:$BD$252))*100))</x:f>
      </x:c>
      <x:c r="BF89" s="10">
        <x:f>IF(P89="","",IF(MAX($P$2:$P$252)-MIN($P$2:$P$252)=0,"",(P89-MIN($P$2:$P$252))/(MAX($P$2:$P$252)-MIN($P$2:$P$252))*100))</x:f>
      </x:c>
      <x:c r="BG89">
        <x:f>IF(AF89="","",LOG10(AF89+1))</x:f>
      </x:c>
      <x:c r="BH89" s="10">
        <x:f>IF(BG89="","",IF(MAX($BG$2:$BG$252)-MIN($BG$2:$BG$252)=0,"",(BG89-MIN($BG$2:$BG$252))/(MAX($BG$2:$BG$252)-MIN($BG$2:$BG$252))*100))</x:f>
      </x:c>
      <x:c r="BI89">
        <x:f>IF(AC89="","",LOG10(AC89+1))</x:f>
      </x:c>
      <x:c r="BJ89" s="10">
        <x:f>IF(BI89="","",IF(MAX($BI$2:$BI$252)-MIN($BI$2:$BI$252)=0,"",(BI89-MIN($BI$2:$BI$252))/(MAX($BI$2:$BI$252)-MIN($BI$2:$BI$252))*100))</x:f>
      </x:c>
      <x:c r="BK89">
        <x:f>IF(AD89="","",(AD89*2)+(AE89*1))</x:f>
      </x:c>
      <x:c r="BL89" s="10">
        <x:f>IF(BK89="","",IF(MAX($BK$2:$BK$252)-MIN($BK$2:$BK$252)=0,"",(BK89-MIN($BK$2:$BK$252))/(MAX($BK$2:$BK$252)-MIN($BK$2:$BK$252))*100))</x:f>
      </x:c>
      <x:c r="BM89" s="10">
        <x:f>IF(AB89="","",IF(MAX($AB$2:$AB$252)-MIN($AB$2:$AB$252)=0,"",(AB89-MIN($AB$2:$AB$252))/(MAX($AB$2:$AB$252)-MIN($AB$2:$AB$252))*100))</x:f>
      </x:c>
      <x:c r="BN89" s="10">
        <x:f>IF(X89="","",X89)</x:f>
      </x:c>
      <x:c r="BO89" s="10">
        <x:f>IF(X89="","",100-X89)</x:f>
      </x:c>
      <x:c r="BP89" s="10">
        <x:f>IF((Weights!$C$2*IF(BH89="",0,1)+Weights!$C$3*IF(BJ89="",0,1)+Weights!$C$4*IF(BL89="",0,1))=0,"",(Weights!$C$2*IF(BH89="",0,BH89)+Weights!$C$3*IF(BJ89="",0,BJ89)+Weights!$C$4*IF(BL89="",0,BL89))/(Weights!$C$2*IF(BH89="",0,1)+Weights!$C$3*IF(BJ89="",0,1)+Weights!$C$4*IF(BL89="",0,1)))</x:f>
      </x:c>
      <x:c r="BQ89" s="10">
        <x:f>IF((Weights!$C$5*IF(BA89="",0,1)+Weights!$C$6*IF(AW89="",0,1)+Weights!$C$7*IF(AU89="",0,1))=0,"",(Weights!$C$5*IF(BA89="",0,BA89)+Weights!$C$6*IF(AW89="",0,AW89)+Weights!$C$7*IF(AU89="",0,AU89))/(Weights!$C$5*IF(BA89="",0,1)+Weights!$C$6*IF(AW89="",0,1)+Weights!$C$7*IF(AU89="",0,1)))</x:f>
      </x:c>
      <x:c r="BR89" s="10">
        <x:f>IF((Weights!$C$8*IF(AW89="",0,1)+Weights!$C$9*IF(BC89="",0,1)+Weights!$C$10*IF(BF89="",0,1))=0,"",(Weights!$C$8*IF(AW89="",0,AW89)+Weights!$C$9*IF(BC89="",0,BC89)+Weights!$C$10*IF(BF89="",0,BF89))/(Weights!$C$8*IF(AW89="",0,1)+Weights!$C$9*IF(BC89="",0,1)+Weights!$C$10*IF(BF89="",0,1)))</x:f>
      </x:c>
      <x:c r="BS89" s="10">
        <x:f>IF(Y89="","",Y89)</x:f>
      </x:c>
      <x:c r="BT89" s="10">
        <x:f>IF(AS89="","",AS89)</x:f>
      </x:c>
      <x:c r="BU89" s="10">
        <x:f>IF(AJ89&lt;&gt;"",(0.6*AJ89+0.4*AU89),IF((Weights!$C$11*IF(AU89="",0,1)+Weights!$C$12*IF(BM89="",0,1))=0,"",(Weights!$C$11*IF(AU89="",0,AU89)+Weights!$C$12*IF(BM89="",0,BM89))/(Weights!$C$11*IF(AU89="",0,1)+Weights!$C$12*IF(BM89="",0,1))))</x:f>
      </x:c>
      <x:c r="BV89" s="10">
        <x:f>IF(CG89="",0,CG89)</x:f>
      </x:c>
      <x:c r="BW89" s="10">
        <x:f>IF(AP89="","",AP89)</x:f>
      </x:c>
      <x:c r="BX89" s="10">
        <x:f>IF(AO89="","",AO89)</x:f>
      </x:c>
      <x:c r="BY89" s="10">
        <x:f>IF(AL89="","",AL89)</x:f>
      </x:c>
      <x:c r="BZ89" s="10">
        <x:f>IF(AM89="","",AM89)</x:f>
      </x:c>
      <x:c r="CA89" s="10">
        <x:f>IF(AK89&lt;&gt;"",AK89,AW89)</x:f>
      </x:c>
      <x:c r="CB89" s="10">
        <x:f>IF((Weights!$C$13*IF(BP89="",0,1)+Weights!$C$14*IF(BR89="",0,1)+Weights!$C$15*IF(BQ89="",0,1)+Weights!$C$16*IF(BS89="",0,1)+Weights!$C$17*IF(BU89="",0,1)+Weights!$C$18*IF(BT89="",0,1)+Weights!$C$19*IF(BW89="",0,1)+Weights!$C$20*IF(BZ89="",0,1)+Weights!$C$21*IF(BO89="",0,1)+Weights!$C$22)=0,"",(Weights!$C$13*IF(BP89="",0,BP89)+Weights!$C$14*IF(BR89="",0,BR89)+Weights!$C$15*IF(BQ89="",0,BQ89)+Weights!$C$16*IF(BS89="",0,BS89)+Weights!$C$17*IF(BU89="",0,BU89)+Weights!$C$18*IF(BT89="",0,BT89)+Weights!$C$19*IF(BW89="",0,BW89)+Weights!$C$20*IF(BZ89="",0,BZ89)+Weights!$C$21*IF(BO89="",0,BO89)+Weights!$C$22*BV89)/(Weights!$C$13*IF(BP89="",0,1)+Weights!$C$14*IF(BR89="",0,1)+Weights!$C$15*IF(BQ89="",0,1)+Weights!$C$16*IF(BS89="",0,1)+Weights!$C$17*IF(BU89="",0,1)+Weights!$C$18*IF(BT89="",0,1)+Weights!$C$19*IF(BW89="",0,1)+Weights!$C$20*IF(BZ89="",0,1)+Weights!$C$21*IF(BO89="",0,1)+Weights!$C$22))</x:f>
      </x:c>
      <x:c r="CC89" s="10">
        <x:f>IF((Weights!$C$23*IF(BQ89="",0,1)+Weights!$C$24*IF(BN89="",0,1)+Weights!$C$25*IF(BS89="",0,1)+Weights!$C$26*IF(BY89="",0,1)+Weights!$C$27*IF(BX89="",0,1)+Weights!$C$28*IF(BT89="",0,1)+Weights!$C$29*IF(CA89="",0,1)+Weights!$C$30+Weights!$C$31*IF(BU89="",0,1))=0,"",(Weights!$C$23*IF(BQ89="",0,BQ89)+Weights!$C$24*IF(BN89="",0,BN89)+Weights!$C$25*IF(BS89="",0,BS89)+Weights!$C$26*IF(BY89="",0,BY89)+Weights!$C$27*IF(BX89="",0,BX89)+Weights!$C$28*IF(BT89="",0,BT89)+Weights!$C$29*IF(CA89="",0,CA89)+Weights!$C$30*BV89+Weights!$C$31*IF(BU89="",0,BU89))/(Weights!$C$23*IF(BQ89="",0,1)+Weights!$C$24*IF(BN89="",0,1)+Weights!$C$25*IF(BS89="",0,1)+Weights!$C$26*IF(BY89="",0,1)+Weights!$C$27*IF(BX89="",0,1)+Weights!$C$28*IF(BT89="",0,1)+Weights!$C$29*IF(CA89="",0,1)+Weights!$C$30+Weights!$C$31*IF(BU89="",0,1)))</x:f>
      </x:c>
      <x:c r="CD89" s="10">
        <x:f>IF(AND(CB89="",CC89=""),"",IF(CB89="",CC89,IF(CC89="",CB89,AVERAGE(CB89,CC89))))</x:f>
      </x:c>
      <x:c r="CE89" s="7">
        <x:f>ROUND(100*((IF(BP89&lt;&gt;"",1,0)+IF(BQ89&lt;&gt;"",1,0)+IF(BR89&lt;&gt;"",1,0)+IF(BS89&lt;&gt;"",1,0)+IF(BU89&lt;&gt;"",1,0)+IF(BT89&lt;&gt;"",1,0)+IF(BN89&lt;&gt;"",1,0)+IF(AW89&lt;&gt;"",1,0))/8),0)</x:f>
      </x:c>
      <x:c r="CF89">
        <x:f>IF(V89="","",LOG10(V89+1))</x:f>
      </x:c>
      <x:c r="CG89">
        <x:f>IF(CF89="","",IF(MAX($CF$2:$CF$252)-MIN($CF$2:$CF$252)=0,"",(CF89-MIN($CF$2:$CF$252))/(MAX($CF$2:$CF$252)-MIN($CF$2:$CF$252))*100))</x:f>
      </x:c>
    </x:row>
    <x:row r="90">
      <x:c r="A90" t="inlineStr">
        <x:is>
          <x:t xml:space="preserve">THA</x:t>
        </x:is>
      </x:c>
      <x:c r="B90" t="inlineStr">
        <x:is>
          <x:t xml:space="preserve">Thailand</x:t>
        </x:is>
      </x:c>
      <x:c r="C90" t="inlineStr">
        <x:is>
          <x:t xml:space="preserve">East Asia &amp; Pacific</x:t>
        </x:is>
      </x:c>
      <x:c r="D90" t="inlineStr">
        <x:is>
          <x:t xml:space="preserve">Upper middle income</x:t>
        </x:is>
      </x:c>
      <x:c r="E90" t="inlineStr">
        <x:is>
          <x:t xml:space="preserve">Asia</x:t>
        </x:is>
      </x:c>
      <x:c r="F90" t="n">
        <x:v>2024</x:v>
      </x:c>
      <x:c r="G90" t="n">
        <x:v>71668011</x:v>
      </x:c>
      <x:c r="H90" t="n">
        <x:v>2020</x:v>
      </x:c>
      <x:c r="I90" t="n">
        <x:v>455000</x:v>
      </x:c>
      <x:c r="J90" t="n">
        <x:v>295750</x:v>
      </x:c>
      <x:c r="K90" t="n">
        <x:v>91000</x:v>
      </x:c>
      <x:c r="L90" t="n">
        <x:v>54600</x:v>
      </x:c>
      <x:c r="M90" t="n">
        <x:v>2024</x:v>
      </x:c>
      <x:c r="N90" s="8" t="n">
        <x:v>5522411647.48004</x:v>
      </x:c>
      <x:c r="O90" s="9" t="n">
        <x:v>1.07876078016919</x:v>
      </x:c>
      <x:c r="P90" s="8" t="n">
        <x:v>12137.16845600009</x:v>
      </x:c>
      <x:c r="Q90" t="n">
        <x:v>2024</x:v>
      </x:c>
      <x:c r="R90" s="8" t="n">
        <x:v>526517658841.684</x:v>
      </x:c>
      <x:c r="S90" t="n">
        <x:v>7</x:v>
      </x:c>
      <x:c r="T90" t="n">
        <x:v>2</x:v>
      </x:c>
      <x:c r="U90" t="inlineStr">
        <x:is>
          <x:t xml:space="preserve">No</x:t>
        </x:is>
      </x:c>
      <x:c r="W90" t="inlineStr">
        <x:is>
          <x:t xml:space="preserve">No</x:t>
        </x:is>
      </x:c>
      <x:c r="X90" t="n">
        <x:v>36.32265155259066</x:v>
      </x:c>
      <x:c r="Y90" t="n">
        <x:v>66.00659010347285</x:v>
      </x:c>
      <x:c r="Z90" t="n">
        <x:v>510125.5697928896</x:v>
      </x:c>
      <x:c r="AA90" t="n">
        <x:v>134.1123422371791</x:v>
      </x:c>
      <x:c r="AB90" s="8" t="n">
        <x:v>16970.17728865533</x:v>
      </x:c>
      <x:c r="AC90" t="n">
        <x:v>293</x:v>
      </x:c>
      <x:c r="AD90" t="n">
        <x:v>1</x:v>
      </x:c>
      <x:c r="AE90" t="n">
        <x:v>0</x:v>
      </x:c>
      <x:c r="AF90" t="n">
        <x:v>47.6</x:v>
      </x:c>
      <x:c r="AG90" t="n">
        <x:v>75</x:v>
      </x:c>
      <x:c r="AH90" t="n">
        <x:v>21</x:v>
      </x:c>
      <x:c r="AI90" t="n">
        <x:v>20.1</x:v>
      </x:c>
      <x:c r="AJ90" t="n">
        <x:v>8</x:v>
      </x:c>
      <x:c r="AK90" t="n">
        <x:v>14.8</x:v>
      </x:c>
      <x:c r="AL90" t="n">
        <x:v>29.4</x:v>
      </x:c>
      <x:c r="AM90" t="n">
        <x:v>5.2</x:v>
      </x:c>
      <x:c r="AN90" t="n">
        <x:v>18.9</x:v>
      </x:c>
      <x:c r="AO90" t="n">
        <x:v>17.6</x:v>
      </x:c>
      <x:c r="AP90" t="n">
        <x:v>52.1</x:v>
      </x:c>
      <x:c r="AQ90" t="n">
        <x:v>28.8</x:v>
      </x:c>
      <x:c r="AR90">
        <x:f>IF(G90="","",LOG10(G90+1))</x:f>
      </x:c>
      <x:c r="AS90" s="10">
        <x:f>IF(AR90="","",IF(MAX($AR$2:$AR$252)-MIN($AR$2:$AR$252)=0,"",(AR90-MIN($AR$2:$AR$252))/(MAX($AR$2:$AR$252)-MIN($AR$2:$AR$252))*100))</x:f>
      </x:c>
      <x:c r="AT90">
        <x:f>IF(R90="","",LOG10(R90+1))</x:f>
      </x:c>
      <x:c r="AU90" s="10">
        <x:f>IF(AT90="","",IF(MAX($AT$2:$AT$252)-MIN($AT$2:$AT$252)=0,"",(AT90-MIN($AT$2:$AT$252))/(MAX($AT$2:$AT$252)-MIN($AT$2:$AT$252))*100))</x:f>
      </x:c>
      <x:c r="AV90">
        <x:f>IF(N90="","",LOG10(N90+1))</x:f>
      </x:c>
      <x:c r="AW90" s="10">
        <x:f>IF(AV90="","",IF(MAX($AV$2:$AV$252)-MIN($AV$2:$AV$252)=0,"",(AV90-MIN($AV$2:$AV$252))/(MAX($AV$2:$AV$252)-MIN($AV$2:$AV$252))*100))</x:f>
      </x:c>
      <x:c r="AX90">
        <x:f>IF(I90="","",LOG10(I90+1))</x:f>
      </x:c>
      <x:c r="AY90" s="10">
        <x:f>IF(AX90="","",IF(MAX($AX$2:$AX$252)-MIN($AX$2:$AX$252)=0,"",(AX90-MIN($AX$2:$AX$252))/(MAX($AX$2:$AX$252)-MIN($AX$2:$AX$252))*100))</x:f>
      </x:c>
      <x:c r="AZ90">
        <x:f>IF(J90="","",LOG10(J90+1))</x:f>
      </x:c>
      <x:c r="BA90" s="10">
        <x:f>IF(AZ90="","",IF(MAX($AZ$2:$AZ$252)-MIN($AZ$2:$AZ$252)=0,"",(AZ90-MIN($AZ$2:$AZ$252))/(MAX($AZ$2:$AZ$252)-MIN($AZ$2:$AZ$252))*100))</x:f>
      </x:c>
      <x:c r="BB90">
        <x:f>IF(K90="","",LOG10(K90+1))</x:f>
      </x:c>
      <x:c r="BC90" s="10">
        <x:f>IF(BB90="","",IF(MAX($BB$2:$BB$252)-MIN($BB$2:$BB$252)=0,"",(BB90-MIN($BB$2:$BB$252))/(MAX($BB$2:$BB$252)-MIN($BB$2:$BB$252))*100))</x:f>
      </x:c>
      <x:c r="BD90">
        <x:f>IF(L90="","",LOG10(L90+1))</x:f>
      </x:c>
      <x:c r="BE90" s="10">
        <x:f>IF(BD90="","",IF(MAX($BD$2:$BD$252)-MIN($BD$2:$BD$252)=0,"",(BD90-MIN($BD$2:$BD$252))/(MAX($BD$2:$BD$252)-MIN($BD$2:$BD$252))*100))</x:f>
      </x:c>
      <x:c r="BF90" s="10">
        <x:f>IF(P90="","",IF(MAX($P$2:$P$252)-MIN($P$2:$P$252)=0,"",(P90-MIN($P$2:$P$252))/(MAX($P$2:$P$252)-MIN($P$2:$P$252))*100))</x:f>
      </x:c>
      <x:c r="BG90">
        <x:f>IF(AF90="","",LOG10(AF90+1))</x:f>
      </x:c>
      <x:c r="BH90" s="10">
        <x:f>IF(BG90="","",IF(MAX($BG$2:$BG$252)-MIN($BG$2:$BG$252)=0,"",(BG90-MIN($BG$2:$BG$252))/(MAX($BG$2:$BG$252)-MIN($BG$2:$BG$252))*100))</x:f>
      </x:c>
      <x:c r="BI90">
        <x:f>IF(AC90="","",LOG10(AC90+1))</x:f>
      </x:c>
      <x:c r="BJ90" s="10">
        <x:f>IF(BI90="","",IF(MAX($BI$2:$BI$252)-MIN($BI$2:$BI$252)=0,"",(BI90-MIN($BI$2:$BI$252))/(MAX($BI$2:$BI$252)-MIN($BI$2:$BI$252))*100))</x:f>
      </x:c>
      <x:c r="BK90">
        <x:f>IF(AD90="","",(AD90*2)+(AE90*1))</x:f>
      </x:c>
      <x:c r="BL90" s="10">
        <x:f>IF(BK90="","",IF(MAX($BK$2:$BK$252)-MIN($BK$2:$BK$252)=0,"",(BK90-MIN($BK$2:$BK$252))/(MAX($BK$2:$BK$252)-MIN($BK$2:$BK$252))*100))</x:f>
      </x:c>
      <x:c r="BM90" s="10">
        <x:f>IF(AB90="","",IF(MAX($AB$2:$AB$252)-MIN($AB$2:$AB$252)=0,"",(AB90-MIN($AB$2:$AB$252))/(MAX($AB$2:$AB$252)-MIN($AB$2:$AB$252))*100))</x:f>
      </x:c>
      <x:c r="BN90" s="10">
        <x:f>IF(X90="","",X90)</x:f>
      </x:c>
      <x:c r="BO90" s="10">
        <x:f>IF(X90="","",100-X90)</x:f>
      </x:c>
      <x:c r="BP90" s="10">
        <x:f>IF((Weights!$C$2*IF(BH90="",0,1)+Weights!$C$3*IF(BJ90="",0,1)+Weights!$C$4*IF(BL90="",0,1))=0,"",(Weights!$C$2*IF(BH90="",0,BH90)+Weights!$C$3*IF(BJ90="",0,BJ90)+Weights!$C$4*IF(BL90="",0,BL90))/(Weights!$C$2*IF(BH90="",0,1)+Weights!$C$3*IF(BJ90="",0,1)+Weights!$C$4*IF(BL90="",0,1)))</x:f>
      </x:c>
      <x:c r="BQ90" s="10">
        <x:f>IF((Weights!$C$5*IF(BA90="",0,1)+Weights!$C$6*IF(AW90="",0,1)+Weights!$C$7*IF(AU90="",0,1))=0,"",(Weights!$C$5*IF(BA90="",0,BA90)+Weights!$C$6*IF(AW90="",0,AW90)+Weights!$C$7*IF(AU90="",0,AU90))/(Weights!$C$5*IF(BA90="",0,1)+Weights!$C$6*IF(AW90="",0,1)+Weights!$C$7*IF(AU90="",0,1)))</x:f>
      </x:c>
      <x:c r="BR90" s="10">
        <x:f>IF((Weights!$C$8*IF(AW90="",0,1)+Weights!$C$9*IF(BC90="",0,1)+Weights!$C$10*IF(BF90="",0,1))=0,"",(Weights!$C$8*IF(AW90="",0,AW90)+Weights!$C$9*IF(BC90="",0,BC90)+Weights!$C$10*IF(BF90="",0,BF90))/(Weights!$C$8*IF(AW90="",0,1)+Weights!$C$9*IF(BC90="",0,1)+Weights!$C$10*IF(BF90="",0,1)))</x:f>
      </x:c>
      <x:c r="BS90" s="10">
        <x:f>IF(Y90="","",Y90)</x:f>
      </x:c>
      <x:c r="BT90" s="10">
        <x:f>IF(AS90="","",AS90)</x:f>
      </x:c>
      <x:c r="BU90" s="10">
        <x:f>IF(AJ90&lt;&gt;"",(0.6*AJ90+0.4*AU90),IF((Weights!$C$11*IF(AU90="",0,1)+Weights!$C$12*IF(BM90="",0,1))=0,"",(Weights!$C$11*IF(AU90="",0,AU90)+Weights!$C$12*IF(BM90="",0,BM90))/(Weights!$C$11*IF(AU90="",0,1)+Weights!$C$12*IF(BM90="",0,1))))</x:f>
      </x:c>
      <x:c r="BV90" s="10">
        <x:f>IF(CG90="",0,CG90)</x:f>
      </x:c>
      <x:c r="BW90" s="10">
        <x:f>IF(AP90="","",AP90)</x:f>
      </x:c>
      <x:c r="BX90" s="10">
        <x:f>IF(AO90="","",AO90)</x:f>
      </x:c>
      <x:c r="BY90" s="10">
        <x:f>IF(AL90="","",AL90)</x:f>
      </x:c>
      <x:c r="BZ90" s="10">
        <x:f>IF(AM90="","",AM90)</x:f>
      </x:c>
      <x:c r="CA90" s="10">
        <x:f>IF(AK90&lt;&gt;"",AK90,AW90)</x:f>
      </x:c>
      <x:c r="CB90" s="10">
        <x:f>IF((Weights!$C$13*IF(BP90="",0,1)+Weights!$C$14*IF(BR90="",0,1)+Weights!$C$15*IF(BQ90="",0,1)+Weights!$C$16*IF(BS90="",0,1)+Weights!$C$17*IF(BU90="",0,1)+Weights!$C$18*IF(BT90="",0,1)+Weights!$C$19*IF(BW90="",0,1)+Weights!$C$20*IF(BZ90="",0,1)+Weights!$C$21*IF(BO90="",0,1)+Weights!$C$22)=0,"",(Weights!$C$13*IF(BP90="",0,BP90)+Weights!$C$14*IF(BR90="",0,BR90)+Weights!$C$15*IF(BQ90="",0,BQ90)+Weights!$C$16*IF(BS90="",0,BS90)+Weights!$C$17*IF(BU90="",0,BU90)+Weights!$C$18*IF(BT90="",0,BT90)+Weights!$C$19*IF(BW90="",0,BW90)+Weights!$C$20*IF(BZ90="",0,BZ90)+Weights!$C$21*IF(BO90="",0,BO90)+Weights!$C$22*BV90)/(Weights!$C$13*IF(BP90="",0,1)+Weights!$C$14*IF(BR90="",0,1)+Weights!$C$15*IF(BQ90="",0,1)+Weights!$C$16*IF(BS90="",0,1)+Weights!$C$17*IF(BU90="",0,1)+Weights!$C$18*IF(BT90="",0,1)+Weights!$C$19*IF(BW90="",0,1)+Weights!$C$20*IF(BZ90="",0,1)+Weights!$C$21*IF(BO90="",0,1)+Weights!$C$22))</x:f>
      </x:c>
      <x:c r="CC90" s="10">
        <x:f>IF((Weights!$C$23*IF(BQ90="",0,1)+Weights!$C$24*IF(BN90="",0,1)+Weights!$C$25*IF(BS90="",0,1)+Weights!$C$26*IF(BY90="",0,1)+Weights!$C$27*IF(BX90="",0,1)+Weights!$C$28*IF(BT90="",0,1)+Weights!$C$29*IF(CA90="",0,1)+Weights!$C$30+Weights!$C$31*IF(BU90="",0,1))=0,"",(Weights!$C$23*IF(BQ90="",0,BQ90)+Weights!$C$24*IF(BN90="",0,BN90)+Weights!$C$25*IF(BS90="",0,BS90)+Weights!$C$26*IF(BY90="",0,BY90)+Weights!$C$27*IF(BX90="",0,BX90)+Weights!$C$28*IF(BT90="",0,BT90)+Weights!$C$29*IF(CA90="",0,CA90)+Weights!$C$30*BV90+Weights!$C$31*IF(BU90="",0,BU90))/(Weights!$C$23*IF(BQ90="",0,1)+Weights!$C$24*IF(BN90="",0,1)+Weights!$C$25*IF(BS90="",0,1)+Weights!$C$26*IF(BY90="",0,1)+Weights!$C$27*IF(BX90="",0,1)+Weights!$C$28*IF(BT90="",0,1)+Weights!$C$29*IF(CA90="",0,1)+Weights!$C$30+Weights!$C$31*IF(BU90="",0,1)))</x:f>
      </x:c>
      <x:c r="CD90" s="10">
        <x:f>IF(AND(CB90="",CC90=""),"",IF(CB90="",CC90,IF(CC90="",CB90,AVERAGE(CB90,CC90))))</x:f>
      </x:c>
      <x:c r="CE90" s="7">
        <x:f>ROUND(100*((IF(BP90&lt;&gt;"",1,0)+IF(BQ90&lt;&gt;"",1,0)+IF(BR90&lt;&gt;"",1,0)+IF(BS90&lt;&gt;"",1,0)+IF(BU90&lt;&gt;"",1,0)+IF(BT90&lt;&gt;"",1,0)+IF(BN90&lt;&gt;"",1,0)+IF(AW90&lt;&gt;"",1,0))/8),0)</x:f>
      </x:c>
      <x:c r="CF90">
        <x:f>IF(V90="","",LOG10(V90+1))</x:f>
      </x:c>
      <x:c r="CG90">
        <x:f>IF(CF90="","",IF(MAX($CF$2:$CF$252)-MIN($CF$2:$CF$252)=0,"",(CF90-MIN($CF$2:$CF$252))/(MAX($CF$2:$CF$252)-MIN($CF$2:$CF$252))*100))</x:f>
      </x:c>
    </x:row>
    <x:row r="91">
      <x:c r="A91" t="inlineStr">
        <x:is>
          <x:t xml:space="preserve">TON</x:t>
        </x:is>
      </x:c>
      <x:c r="B91" t="inlineStr">
        <x:is>
          <x:t xml:space="preserve">Tonga</x:t>
        </x:is>
      </x:c>
      <x:c r="C91" t="inlineStr">
        <x:is>
          <x:t xml:space="preserve">East Asia &amp; Pacific</x:t>
        </x:is>
      </x:c>
      <x:c r="D91" t="inlineStr">
        <x:is>
          <x:t xml:space="preserve">Upper middle income</x:t>
        </x:is>
      </x:c>
      <x:c r="F91" t="n">
        <x:v>2024</x:v>
      </x:c>
      <x:c r="G91" t="n">
        <x:v>104175</x:v>
      </x:c>
      <x:c r="N91" s="8" t="n"/>
      <x:c r="O91" s="9" t="n"/>
      <x:c r="P91" s="8" t="n"/>
      <x:c r="Q91" t="n">
        <x:v>2023</x:v>
      </x:c>
      <x:c r="R91" s="8" t="n">
        <x:v>591139749.44287</x:v>
      </x:c>
      <x:c r="S91" t="n">
        <x:v>0</x:v>
      </x:c>
      <x:c r="T91" t="n">
        <x:v>0</x:v>
      </x:c>
      <x:c r="U91" t="inlineStr">
        <x:is>
          <x:t xml:space="preserve">No</x:t>
        </x:is>
      </x:c>
      <x:c r="W91" t="inlineStr">
        <x:is>
          <x:t xml:space="preserve">No</x:t>
        </x:is>
      </x:c>
      <x:c r="AB91" s="8" t="n"/>
      <x:c r="AR91">
        <x:f>IF(G91="","",LOG10(G91+1))</x:f>
      </x:c>
      <x:c r="AS91" s="10">
        <x:f>IF(AR91="","",IF(MAX($AR$2:$AR$252)-MIN($AR$2:$AR$252)=0,"",(AR91-MIN($AR$2:$AR$252))/(MAX($AR$2:$AR$252)-MIN($AR$2:$AR$252))*100))</x:f>
      </x:c>
      <x:c r="AT91">
        <x:f>IF(R91="","",LOG10(R91+1))</x:f>
      </x:c>
      <x:c r="AU91" s="10">
        <x:f>IF(AT91="","",IF(MAX($AT$2:$AT$252)-MIN($AT$2:$AT$252)=0,"",(AT91-MIN($AT$2:$AT$252))/(MAX($AT$2:$AT$252)-MIN($AT$2:$AT$252))*100))</x:f>
      </x:c>
      <x:c r="AV91">
        <x:f>IF(N91="","",LOG10(N91+1))</x:f>
      </x:c>
      <x:c r="AW91" s="10">
        <x:f>IF(AV91="","",IF(MAX($AV$2:$AV$252)-MIN($AV$2:$AV$252)=0,"",(AV91-MIN($AV$2:$AV$252))/(MAX($AV$2:$AV$252)-MIN($AV$2:$AV$252))*100))</x:f>
      </x:c>
      <x:c r="AX91">
        <x:f>IF(I91="","",LOG10(I91+1))</x:f>
      </x:c>
      <x:c r="AY91" s="10">
        <x:f>IF(AX91="","",IF(MAX($AX$2:$AX$252)-MIN($AX$2:$AX$252)=0,"",(AX91-MIN($AX$2:$AX$252))/(MAX($AX$2:$AX$252)-MIN($AX$2:$AX$252))*100))</x:f>
      </x:c>
      <x:c r="AZ91">
        <x:f>IF(J91="","",LOG10(J91+1))</x:f>
      </x:c>
      <x:c r="BA91" s="10">
        <x:f>IF(AZ91="","",IF(MAX($AZ$2:$AZ$252)-MIN($AZ$2:$AZ$252)=0,"",(AZ91-MIN($AZ$2:$AZ$252))/(MAX($AZ$2:$AZ$252)-MIN($AZ$2:$AZ$252))*100))</x:f>
      </x:c>
      <x:c r="BB91">
        <x:f>IF(K91="","",LOG10(K91+1))</x:f>
      </x:c>
      <x:c r="BC91" s="10">
        <x:f>IF(BB91="","",IF(MAX($BB$2:$BB$252)-MIN($BB$2:$BB$252)=0,"",(BB91-MIN($BB$2:$BB$252))/(MAX($BB$2:$BB$252)-MIN($BB$2:$BB$252))*100))</x:f>
      </x:c>
      <x:c r="BD91">
        <x:f>IF(L91="","",LOG10(L91+1))</x:f>
      </x:c>
      <x:c r="BE91" s="10">
        <x:f>IF(BD91="","",IF(MAX($BD$2:$BD$252)-MIN($BD$2:$BD$252)=0,"",(BD91-MIN($BD$2:$BD$252))/(MAX($BD$2:$BD$252)-MIN($BD$2:$BD$252))*100))</x:f>
      </x:c>
      <x:c r="BF91" s="10">
        <x:f>IF(P91="","",IF(MAX($P$2:$P$252)-MIN($P$2:$P$252)=0,"",(P91-MIN($P$2:$P$252))/(MAX($P$2:$P$252)-MIN($P$2:$P$252))*100))</x:f>
      </x:c>
      <x:c r="BG91">
        <x:f>IF(AF91="","",LOG10(AF91+1))</x:f>
      </x:c>
      <x:c r="BH91" s="10">
        <x:f>IF(BG91="","",IF(MAX($BG$2:$BG$252)-MIN($BG$2:$BG$252)=0,"",(BG91-MIN($BG$2:$BG$252))/(MAX($BG$2:$BG$252)-MIN($BG$2:$BG$252))*100))</x:f>
      </x:c>
      <x:c r="BI91">
        <x:f>IF(AC91="","",LOG10(AC91+1))</x:f>
      </x:c>
      <x:c r="BJ91" s="10">
        <x:f>IF(BI91="","",IF(MAX($BI$2:$BI$252)-MIN($BI$2:$BI$252)=0,"",(BI91-MIN($BI$2:$BI$252))/(MAX($BI$2:$BI$252)-MIN($BI$2:$BI$252))*100))</x:f>
      </x:c>
      <x:c r="BK91">
        <x:f>IF(AD91="","",(AD91*2)+(AE91*1))</x:f>
      </x:c>
      <x:c r="BL91" s="10">
        <x:f>IF(BK91="","",IF(MAX($BK$2:$BK$252)-MIN($BK$2:$BK$252)=0,"",(BK91-MIN($BK$2:$BK$252))/(MAX($BK$2:$BK$252)-MIN($BK$2:$BK$252))*100))</x:f>
      </x:c>
      <x:c r="BM91" s="10">
        <x:f>IF(AB91="","",IF(MAX($AB$2:$AB$252)-MIN($AB$2:$AB$252)=0,"",(AB91-MIN($AB$2:$AB$252))/(MAX($AB$2:$AB$252)-MIN($AB$2:$AB$252))*100))</x:f>
      </x:c>
      <x:c r="BN91" s="10">
        <x:f>IF(X91="","",X91)</x:f>
      </x:c>
      <x:c r="BO91" s="10">
        <x:f>IF(X91="","",100-X91)</x:f>
      </x:c>
      <x:c r="BP91" s="10">
        <x:f>IF((Weights!$C$2*IF(BH91="",0,1)+Weights!$C$3*IF(BJ91="",0,1)+Weights!$C$4*IF(BL91="",0,1))=0,"",(Weights!$C$2*IF(BH91="",0,BH91)+Weights!$C$3*IF(BJ91="",0,BJ91)+Weights!$C$4*IF(BL91="",0,BL91))/(Weights!$C$2*IF(BH91="",0,1)+Weights!$C$3*IF(BJ91="",0,1)+Weights!$C$4*IF(BL91="",0,1)))</x:f>
      </x:c>
      <x:c r="BQ91" s="10">
        <x:f>IF((Weights!$C$5*IF(BA91="",0,1)+Weights!$C$6*IF(AW91="",0,1)+Weights!$C$7*IF(AU91="",0,1))=0,"",(Weights!$C$5*IF(BA91="",0,BA91)+Weights!$C$6*IF(AW91="",0,AW91)+Weights!$C$7*IF(AU91="",0,AU91))/(Weights!$C$5*IF(BA91="",0,1)+Weights!$C$6*IF(AW91="",0,1)+Weights!$C$7*IF(AU91="",0,1)))</x:f>
      </x:c>
      <x:c r="BR91" s="10">
        <x:f>IF((Weights!$C$8*IF(AW91="",0,1)+Weights!$C$9*IF(BC91="",0,1)+Weights!$C$10*IF(BF91="",0,1))=0,"",(Weights!$C$8*IF(AW91="",0,AW91)+Weights!$C$9*IF(BC91="",0,BC91)+Weights!$C$10*IF(BF91="",0,BF91))/(Weights!$C$8*IF(AW91="",0,1)+Weights!$C$9*IF(BC91="",0,1)+Weights!$C$10*IF(BF91="",0,1)))</x:f>
      </x:c>
      <x:c r="BS91" s="10">
        <x:f>IF(Y91="","",Y91)</x:f>
      </x:c>
      <x:c r="BT91" s="10">
        <x:f>IF(AS91="","",AS91)</x:f>
      </x:c>
      <x:c r="BU91" s="10">
        <x:f>IF(AJ91&lt;&gt;"",(0.6*AJ91+0.4*AU91),IF((Weights!$C$11*IF(AU91="",0,1)+Weights!$C$12*IF(BM91="",0,1))=0,"",(Weights!$C$11*IF(AU91="",0,AU91)+Weights!$C$12*IF(BM91="",0,BM91))/(Weights!$C$11*IF(AU91="",0,1)+Weights!$C$12*IF(BM91="",0,1))))</x:f>
      </x:c>
      <x:c r="BV91" s="10">
        <x:f>IF(CG91="",0,CG91)</x:f>
      </x:c>
      <x:c r="BW91" s="10">
        <x:f>IF(AP91="","",AP91)</x:f>
      </x:c>
      <x:c r="BX91" s="10">
        <x:f>IF(AO91="","",AO91)</x:f>
      </x:c>
      <x:c r="BY91" s="10">
        <x:f>IF(AL91="","",AL91)</x:f>
      </x:c>
      <x:c r="BZ91" s="10">
        <x:f>IF(AM91="","",AM91)</x:f>
      </x:c>
      <x:c r="CA91" s="10">
        <x:f>IF(AK91&lt;&gt;"",AK91,AW91)</x:f>
      </x:c>
      <x:c r="CB91" s="10">
        <x:f>IF((Weights!$C$13*IF(BP91="",0,1)+Weights!$C$14*IF(BR91="",0,1)+Weights!$C$15*IF(BQ91="",0,1)+Weights!$C$16*IF(BS91="",0,1)+Weights!$C$17*IF(BU91="",0,1)+Weights!$C$18*IF(BT91="",0,1)+Weights!$C$19*IF(BW91="",0,1)+Weights!$C$20*IF(BZ91="",0,1)+Weights!$C$21*IF(BO91="",0,1)+Weights!$C$22)=0,"",(Weights!$C$13*IF(BP91="",0,BP91)+Weights!$C$14*IF(BR91="",0,BR91)+Weights!$C$15*IF(BQ91="",0,BQ91)+Weights!$C$16*IF(BS91="",0,BS91)+Weights!$C$17*IF(BU91="",0,BU91)+Weights!$C$18*IF(BT91="",0,BT91)+Weights!$C$19*IF(BW91="",0,BW91)+Weights!$C$20*IF(BZ91="",0,BZ91)+Weights!$C$21*IF(BO91="",0,BO91)+Weights!$C$22*BV91)/(Weights!$C$13*IF(BP91="",0,1)+Weights!$C$14*IF(BR91="",0,1)+Weights!$C$15*IF(BQ91="",0,1)+Weights!$C$16*IF(BS91="",0,1)+Weights!$C$17*IF(BU91="",0,1)+Weights!$C$18*IF(BT91="",0,1)+Weights!$C$19*IF(BW91="",0,1)+Weights!$C$20*IF(BZ91="",0,1)+Weights!$C$21*IF(BO91="",0,1)+Weights!$C$22))</x:f>
      </x:c>
      <x:c r="CC91" s="10">
        <x:f>IF((Weights!$C$23*IF(BQ91="",0,1)+Weights!$C$24*IF(BN91="",0,1)+Weights!$C$25*IF(BS91="",0,1)+Weights!$C$26*IF(BY91="",0,1)+Weights!$C$27*IF(BX91="",0,1)+Weights!$C$28*IF(BT91="",0,1)+Weights!$C$29*IF(CA91="",0,1)+Weights!$C$30+Weights!$C$31*IF(BU91="",0,1))=0,"",(Weights!$C$23*IF(BQ91="",0,BQ91)+Weights!$C$24*IF(BN91="",0,BN91)+Weights!$C$25*IF(BS91="",0,BS91)+Weights!$C$26*IF(BY91="",0,BY91)+Weights!$C$27*IF(BX91="",0,BX91)+Weights!$C$28*IF(BT91="",0,BT91)+Weights!$C$29*IF(CA91="",0,CA91)+Weights!$C$30*BV91+Weights!$C$31*IF(BU91="",0,BU91))/(Weights!$C$23*IF(BQ91="",0,1)+Weights!$C$24*IF(BN91="",0,1)+Weights!$C$25*IF(BS91="",0,1)+Weights!$C$26*IF(BY91="",0,1)+Weights!$C$27*IF(BX91="",0,1)+Weights!$C$28*IF(BT91="",0,1)+Weights!$C$29*IF(CA91="",0,1)+Weights!$C$30+Weights!$C$31*IF(BU91="",0,1)))</x:f>
      </x:c>
      <x:c r="CD91" s="10">
        <x:f>IF(AND(CB91="",CC91=""),"",IF(CB91="",CC91,IF(CC91="",CB91,AVERAGE(CB91,CC91))))</x:f>
      </x:c>
      <x:c r="CE91" s="7">
        <x:f>ROUND(100*((IF(BP91&lt;&gt;"",1,0)+IF(BQ91&lt;&gt;"",1,0)+IF(BR91&lt;&gt;"",1,0)+IF(BS91&lt;&gt;"",1,0)+IF(BU91&lt;&gt;"",1,0)+IF(BT91&lt;&gt;"",1,0)+IF(BN91&lt;&gt;"",1,0)+IF(AW91&lt;&gt;"",1,0))/8),0)</x:f>
      </x:c>
      <x:c r="CF91">
        <x:f>IF(V91="","",LOG10(V91+1))</x:f>
      </x:c>
      <x:c r="CG91">
        <x:f>IF(CF91="","",IF(MAX($CF$2:$CF$252)-MIN($CF$2:$CF$252)=0,"",(CF91-MIN($CF$2:$CF$252))/(MAX($CF$2:$CF$252)-MIN($CF$2:$CF$252))*100))</x:f>
      </x:c>
    </x:row>
    <x:row r="92">
      <x:c r="A92" t="inlineStr">
        <x:is>
          <x:t xml:space="preserve">NLD</x:t>
        </x:is>
      </x:c>
      <x:c r="B92" t="inlineStr">
        <x:is>
          <x:t xml:space="preserve">Netherlands</x:t>
        </x:is>
      </x:c>
      <x:c r="C92" t="inlineStr">
        <x:is>
          <x:t xml:space="preserve">Europe &amp; Central Asia</x:t>
        </x:is>
      </x:c>
      <x:c r="D92" t="inlineStr">
        <x:is>
          <x:t xml:space="preserve">High income</x:t>
        </x:is>
      </x:c>
      <x:c r="E92" t="inlineStr">
        <x:is>
          <x:t xml:space="preserve">Europe</x:t>
        </x:is>
      </x:c>
      <x:c r="F92" t="n">
        <x:v>2024</x:v>
      </x:c>
      <x:c r="G92" t="n">
        <x:v>17993485</x:v>
      </x:c>
      <x:c r="H92" t="n">
        <x:v>2020</x:v>
      </x:c>
      <x:c r="I92" t="n">
        <x:v>41000</x:v>
      </x:c>
      <x:c r="J92" t="n">
        <x:v>26650</x:v>
      </x:c>
      <x:c r="K92" t="n">
        <x:v>8200</x:v>
      </x:c>
      <x:c r="L92" t="n">
        <x:v>4920</x:v>
      </x:c>
      <x:c r="M92" t="n">
        <x:v>2024</x:v>
      </x:c>
      <x:c r="N92" s="8" t="n">
        <x:v>23179211260.1708</x:v>
      </x:c>
      <x:c r="O92" s="9" t="n">
        <x:v>1.91642541759119</x:v>
      </x:c>
      <x:c r="P92" s="8" t="n">
        <x:v>565346.6161017268</x:v>
      </x:c>
      <x:c r="Q92" t="n">
        <x:v>2024</x:v>
      </x:c>
      <x:c r="R92" s="8" t="n">
        <x:v>1214927698572.66</x:v>
      </x:c>
      <x:c r="S92" t="n">
        <x:v>15</x:v>
      </x:c>
      <x:c r="T92" t="n">
        <x:v>0</x:v>
      </x:c>
      <x:c r="U92" t="inlineStr">
        <x:is>
          <x:t xml:space="preserve">No</x:t>
        </x:is>
      </x:c>
      <x:c r="W92" t="inlineStr">
        <x:is>
          <x:t xml:space="preserve">No</x:t>
        </x:is>
      </x:c>
      <x:c r="X92" t="n">
        <x:v>12.20702960171699</x:v>
      </x:c>
      <x:c r="Y92" t="n">
        <x:v>89.34537910074305</x:v>
      </x:c>
      <x:c r="Z92" t="n">
        <x:v>40024.10448111789</x:v>
      </x:c>
      <x:c r="AA92" t="n">
        <x:v>426.8607435816592</x:v>
      </x:c>
      <x:c r="AB92" s="8" t="n">
        <x:v>50969.52428658616</x:v>
      </x:c>
      <x:c r="AC92" t="n">
        <x:v>112</x:v>
      </x:c>
      <x:c r="AD92" t="n">
        <x:v>0</x:v>
      </x:c>
      <x:c r="AE92" t="n">
        <x:v>0</x:v>
      </x:c>
      <x:c r="AF92" t="n">
        <x:v>37.3</x:v>
      </x:c>
      <x:c r="AG92" t="n">
        <x:v>20</x:v>
      </x:c>
      <x:c r="AH92" t="n">
        <x:v>28</x:v>
      </x:c>
      <x:c r="AR92">
        <x:f>IF(G92="","",LOG10(G92+1))</x:f>
      </x:c>
      <x:c r="AS92" s="10">
        <x:f>IF(AR92="","",IF(MAX($AR$2:$AR$252)-MIN($AR$2:$AR$252)=0,"",(AR92-MIN($AR$2:$AR$252))/(MAX($AR$2:$AR$252)-MIN($AR$2:$AR$252))*100))</x:f>
      </x:c>
      <x:c r="AT92">
        <x:f>IF(R92="","",LOG10(R92+1))</x:f>
      </x:c>
      <x:c r="AU92" s="10">
        <x:f>IF(AT92="","",IF(MAX($AT$2:$AT$252)-MIN($AT$2:$AT$252)=0,"",(AT92-MIN($AT$2:$AT$252))/(MAX($AT$2:$AT$252)-MIN($AT$2:$AT$252))*100))</x:f>
      </x:c>
      <x:c r="AV92">
        <x:f>IF(N92="","",LOG10(N92+1))</x:f>
      </x:c>
      <x:c r="AW92" s="10">
        <x:f>IF(AV92="","",IF(MAX($AV$2:$AV$252)-MIN($AV$2:$AV$252)=0,"",(AV92-MIN($AV$2:$AV$252))/(MAX($AV$2:$AV$252)-MIN($AV$2:$AV$252))*100))</x:f>
      </x:c>
      <x:c r="AX92">
        <x:f>IF(I92="","",LOG10(I92+1))</x:f>
      </x:c>
      <x:c r="AY92" s="10">
        <x:f>IF(AX92="","",IF(MAX($AX$2:$AX$252)-MIN($AX$2:$AX$252)=0,"",(AX92-MIN($AX$2:$AX$252))/(MAX($AX$2:$AX$252)-MIN($AX$2:$AX$252))*100))</x:f>
      </x:c>
      <x:c r="AZ92">
        <x:f>IF(J92="","",LOG10(J92+1))</x:f>
      </x:c>
      <x:c r="BA92" s="10">
        <x:f>IF(AZ92="","",IF(MAX($AZ$2:$AZ$252)-MIN($AZ$2:$AZ$252)=0,"",(AZ92-MIN($AZ$2:$AZ$252))/(MAX($AZ$2:$AZ$252)-MIN($AZ$2:$AZ$252))*100))</x:f>
      </x:c>
      <x:c r="BB92">
        <x:f>IF(K92="","",LOG10(K92+1))</x:f>
      </x:c>
      <x:c r="BC92" s="10">
        <x:f>IF(BB92="","",IF(MAX($BB$2:$BB$252)-MIN($BB$2:$BB$252)=0,"",(BB92-MIN($BB$2:$BB$252))/(MAX($BB$2:$BB$252)-MIN($BB$2:$BB$252))*100))</x:f>
      </x:c>
      <x:c r="BD92">
        <x:f>IF(L92="","",LOG10(L92+1))</x:f>
      </x:c>
      <x:c r="BE92" s="10">
        <x:f>IF(BD92="","",IF(MAX($BD$2:$BD$252)-MIN($BD$2:$BD$252)=0,"",(BD92-MIN($BD$2:$BD$252))/(MAX($BD$2:$BD$252)-MIN($BD$2:$BD$252))*100))</x:f>
      </x:c>
      <x:c r="BF92" s="10">
        <x:f>IF(P92="","",IF(MAX($P$2:$P$252)-MIN($P$2:$P$252)=0,"",(P92-MIN($P$2:$P$252))/(MAX($P$2:$P$252)-MIN($P$2:$P$252))*100))</x:f>
      </x:c>
      <x:c r="BG92">
        <x:f>IF(AF92="","",LOG10(AF92+1))</x:f>
      </x:c>
      <x:c r="BH92" s="10">
        <x:f>IF(BG92="","",IF(MAX($BG$2:$BG$252)-MIN($BG$2:$BG$252)=0,"",(BG92-MIN($BG$2:$BG$252))/(MAX($BG$2:$BG$252)-MIN($BG$2:$BG$252))*100))</x:f>
      </x:c>
      <x:c r="BI92">
        <x:f>IF(AC92="","",LOG10(AC92+1))</x:f>
      </x:c>
      <x:c r="BJ92" s="10">
        <x:f>IF(BI92="","",IF(MAX($BI$2:$BI$252)-MIN($BI$2:$BI$252)=0,"",(BI92-MIN($BI$2:$BI$252))/(MAX($BI$2:$BI$252)-MIN($BI$2:$BI$252))*100))</x:f>
      </x:c>
      <x:c r="BK92">
        <x:f>IF(AD92="","",(AD92*2)+(AE92*1))</x:f>
      </x:c>
      <x:c r="BL92" s="10">
        <x:f>IF(BK92="","",IF(MAX($BK$2:$BK$252)-MIN($BK$2:$BK$252)=0,"",(BK92-MIN($BK$2:$BK$252))/(MAX($BK$2:$BK$252)-MIN($BK$2:$BK$252))*100))</x:f>
      </x:c>
      <x:c r="BM92" s="10">
        <x:f>IF(AB92="","",IF(MAX($AB$2:$AB$252)-MIN($AB$2:$AB$252)=0,"",(AB92-MIN($AB$2:$AB$252))/(MAX($AB$2:$AB$252)-MIN($AB$2:$AB$252))*100))</x:f>
      </x:c>
      <x:c r="BN92" s="10">
        <x:f>IF(X92="","",X92)</x:f>
      </x:c>
      <x:c r="BO92" s="10">
        <x:f>IF(X92="","",100-X92)</x:f>
      </x:c>
      <x:c r="BP92" s="10">
        <x:f>IF((Weights!$C$2*IF(BH92="",0,1)+Weights!$C$3*IF(BJ92="",0,1)+Weights!$C$4*IF(BL92="",0,1))=0,"",(Weights!$C$2*IF(BH92="",0,BH92)+Weights!$C$3*IF(BJ92="",0,BJ92)+Weights!$C$4*IF(BL92="",0,BL92))/(Weights!$C$2*IF(BH92="",0,1)+Weights!$C$3*IF(BJ92="",0,1)+Weights!$C$4*IF(BL92="",0,1)))</x:f>
      </x:c>
      <x:c r="BQ92" s="10">
        <x:f>IF((Weights!$C$5*IF(BA92="",0,1)+Weights!$C$6*IF(AW92="",0,1)+Weights!$C$7*IF(AU92="",0,1))=0,"",(Weights!$C$5*IF(BA92="",0,BA92)+Weights!$C$6*IF(AW92="",0,AW92)+Weights!$C$7*IF(AU92="",0,AU92))/(Weights!$C$5*IF(BA92="",0,1)+Weights!$C$6*IF(AW92="",0,1)+Weights!$C$7*IF(AU92="",0,1)))</x:f>
      </x:c>
      <x:c r="BR92" s="10">
        <x:f>IF((Weights!$C$8*IF(AW92="",0,1)+Weights!$C$9*IF(BC92="",0,1)+Weights!$C$10*IF(BF92="",0,1))=0,"",(Weights!$C$8*IF(AW92="",0,AW92)+Weights!$C$9*IF(BC92="",0,BC92)+Weights!$C$10*IF(BF92="",0,BF92))/(Weights!$C$8*IF(AW92="",0,1)+Weights!$C$9*IF(BC92="",0,1)+Weights!$C$10*IF(BF92="",0,1)))</x:f>
      </x:c>
      <x:c r="BS92" s="10">
        <x:f>IF(Y92="","",Y92)</x:f>
      </x:c>
      <x:c r="BT92" s="10">
        <x:f>IF(AS92="","",AS92)</x:f>
      </x:c>
      <x:c r="BU92" s="10">
        <x:f>IF(AJ92&lt;&gt;"",(0.6*AJ92+0.4*AU92),IF((Weights!$C$11*IF(AU92="",0,1)+Weights!$C$12*IF(BM92="",0,1))=0,"",(Weights!$C$11*IF(AU92="",0,AU92)+Weights!$C$12*IF(BM92="",0,BM92))/(Weights!$C$11*IF(AU92="",0,1)+Weights!$C$12*IF(BM92="",0,1))))</x:f>
      </x:c>
      <x:c r="BV92" s="10">
        <x:f>IF(CG92="",0,CG92)</x:f>
      </x:c>
      <x:c r="BW92" s="10">
        <x:f>IF(AP92="","",AP92)</x:f>
      </x:c>
      <x:c r="BX92" s="10">
        <x:f>IF(AO92="","",AO92)</x:f>
      </x:c>
      <x:c r="BY92" s="10">
        <x:f>IF(AL92="","",AL92)</x:f>
      </x:c>
      <x:c r="BZ92" s="10">
        <x:f>IF(AM92="","",AM92)</x:f>
      </x:c>
      <x:c r="CA92" s="10">
        <x:f>IF(AK92&lt;&gt;"",AK92,AW92)</x:f>
      </x:c>
      <x:c r="CB92" s="10">
        <x:f>IF((Weights!$C$13*IF(BP92="",0,1)+Weights!$C$14*IF(BR92="",0,1)+Weights!$C$15*IF(BQ92="",0,1)+Weights!$C$16*IF(BS92="",0,1)+Weights!$C$17*IF(BU92="",0,1)+Weights!$C$18*IF(BT92="",0,1)+Weights!$C$19*IF(BW92="",0,1)+Weights!$C$20*IF(BZ92="",0,1)+Weights!$C$21*IF(BO92="",0,1)+Weights!$C$22)=0,"",(Weights!$C$13*IF(BP92="",0,BP92)+Weights!$C$14*IF(BR92="",0,BR92)+Weights!$C$15*IF(BQ92="",0,BQ92)+Weights!$C$16*IF(BS92="",0,BS92)+Weights!$C$17*IF(BU92="",0,BU92)+Weights!$C$18*IF(BT92="",0,BT92)+Weights!$C$19*IF(BW92="",0,BW92)+Weights!$C$20*IF(BZ92="",0,BZ92)+Weights!$C$21*IF(BO92="",0,BO92)+Weights!$C$22*BV92)/(Weights!$C$13*IF(BP92="",0,1)+Weights!$C$14*IF(BR92="",0,1)+Weights!$C$15*IF(BQ92="",0,1)+Weights!$C$16*IF(BS92="",0,1)+Weights!$C$17*IF(BU92="",0,1)+Weights!$C$18*IF(BT92="",0,1)+Weights!$C$19*IF(BW92="",0,1)+Weights!$C$20*IF(BZ92="",0,1)+Weights!$C$21*IF(BO92="",0,1)+Weights!$C$22))</x:f>
      </x:c>
      <x:c r="CC92" s="10">
        <x:f>IF((Weights!$C$23*IF(BQ92="",0,1)+Weights!$C$24*IF(BN92="",0,1)+Weights!$C$25*IF(BS92="",0,1)+Weights!$C$26*IF(BY92="",0,1)+Weights!$C$27*IF(BX92="",0,1)+Weights!$C$28*IF(BT92="",0,1)+Weights!$C$29*IF(CA92="",0,1)+Weights!$C$30+Weights!$C$31*IF(BU92="",0,1))=0,"",(Weights!$C$23*IF(BQ92="",0,BQ92)+Weights!$C$24*IF(BN92="",0,BN92)+Weights!$C$25*IF(BS92="",0,BS92)+Weights!$C$26*IF(BY92="",0,BY92)+Weights!$C$27*IF(BX92="",0,BX92)+Weights!$C$28*IF(BT92="",0,BT92)+Weights!$C$29*IF(CA92="",0,CA92)+Weights!$C$30*BV92+Weights!$C$31*IF(BU92="",0,BU92))/(Weights!$C$23*IF(BQ92="",0,1)+Weights!$C$24*IF(BN92="",0,1)+Weights!$C$25*IF(BS92="",0,1)+Weights!$C$26*IF(BY92="",0,1)+Weights!$C$27*IF(BX92="",0,1)+Weights!$C$28*IF(BT92="",0,1)+Weights!$C$29*IF(CA92="",0,1)+Weights!$C$30+Weights!$C$31*IF(BU92="",0,1)))</x:f>
      </x:c>
      <x:c r="CD92" s="10">
        <x:f>IF(AND(CB92="",CC92=""),"",IF(CB92="",CC92,IF(CC92="",CB92,AVERAGE(CB92,CC92))))</x:f>
      </x:c>
      <x:c r="CE92" s="7">
        <x:f>ROUND(100*((IF(BP92&lt;&gt;"",1,0)+IF(BQ92&lt;&gt;"",1,0)+IF(BR92&lt;&gt;"",1,0)+IF(BS92&lt;&gt;"",1,0)+IF(BU92&lt;&gt;"",1,0)+IF(BT92&lt;&gt;"",1,0)+IF(BN92&lt;&gt;"",1,0)+IF(AW92&lt;&gt;"",1,0))/8),0)</x:f>
      </x:c>
      <x:c r="CF92">
        <x:f>IF(V92="","",LOG10(V92+1))</x:f>
      </x:c>
      <x:c r="CG92">
        <x:f>IF(CF92="","",IF(MAX($CF$2:$CF$252)-MIN($CF$2:$CF$252)=0,"",(CF92-MIN($CF$2:$CF$252))/(MAX($CF$2:$CF$252)-MIN($CF$2:$CF$252))*100))</x:f>
      </x:c>
    </x:row>
    <x:row r="93">
      <x:c r="A93" t="inlineStr">
        <x:is>
          <x:t xml:space="preserve">KOR</x:t>
        </x:is>
      </x:c>
      <x:c r="B93" t="inlineStr">
        <x:is>
          <x:t xml:space="preserve">Korea, Rep.</x:t>
        </x:is>
      </x:c>
      <x:c r="C93" t="inlineStr">
        <x:is>
          <x:t xml:space="preserve">East Asia &amp; Pacific</x:t>
        </x:is>
      </x:c>
      <x:c r="D93" t="inlineStr">
        <x:is>
          <x:t xml:space="preserve">High income</x:t>
        </x:is>
      </x:c>
      <x:c r="E93" t="inlineStr">
        <x:is>
          <x:t xml:space="preserve">Asia</x:t>
        </x:is>
      </x:c>
      <x:c r="F93" t="n">
        <x:v>2024</x:v>
      </x:c>
      <x:c r="G93" t="n">
        <x:v>51751065</x:v>
      </x:c>
      <x:c r="H93" t="n">
        <x:v>2020</x:v>
      </x:c>
      <x:c r="I93" t="n">
        <x:v>569000</x:v>
      </x:c>
      <x:c r="J93" t="n">
        <x:v>369850</x:v>
      </x:c>
      <x:c r="K93" t="n">
        <x:v>113800</x:v>
      </x:c>
      <x:c r="L93" t="n">
        <x:v>68280</x:v>
      </x:c>
      <x:c r="M93" t="n">
        <x:v>2024</x:v>
      </x:c>
      <x:c r="N93" s="8" t="n">
        <x:v>47571318596.7228</x:v>
      </x:c>
      <x:c r="O93" s="9" t="n">
        <x:v>2.56205259386748</x:v>
      </x:c>
      <x:c r="P93" s="8" t="n">
        <x:v>83605.12934397681</x:v>
      </x:c>
      <x:c r="Q93" t="n">
        <x:v>2024</x:v>
      </x:c>
      <x:c r="R93" s="8" t="n">
        <x:v>1875388209406.8</x:v>
      </x:c>
      <x:c r="S93" t="n">
        <x:v>21</x:v>
      </x:c>
      <x:c r="T93" t="n">
        <x:v>2</x:v>
      </x:c>
      <x:c r="U93" t="inlineStr">
        <x:is>
          <x:t xml:space="preserve">No</x:t>
        </x:is>
      </x:c>
      <x:c r="W93" t="inlineStr">
        <x:is>
          <x:t xml:space="preserve">No</x:t>
        </x:is>
      </x:c>
      <x:c r="X93" t="n">
        <x:v>7.464607541910796</x:v>
      </x:c>
      <x:c r="Y93" t="n">
        <x:v>86.12204898866879</x:v>
      </x:c>
      <x:c r="Z93" t="n">
        <x:v>99044.36683048944</x:v>
      </x:c>
      <x:c r="AA93" t="n">
        <x:v>516.7512362171469</x:v>
      </x:c>
      <x:c r="AB93" s="8" t="n">
        <x:v>37689.5475044508</x:v>
      </x:c>
      <x:c r="AC93" t="n">
        <x:v>200</x:v>
      </x:c>
      <x:c r="AD93" t="n">
        <x:v>2</x:v>
      </x:c>
      <x:c r="AE93" t="n">
        <x:v>0</x:v>
      </x:c>
      <x:c r="AF93" t="n">
        <x:v>122.9</x:v>
      </x:c>
      <x:c r="AG93" t="n">
        <x:v>147</x:v>
      </x:c>
      <x:c r="AH93" t="n">
        <x:v>5</x:v>
      </x:c>
      <x:c r="AI93" t="n">
        <x:v>31.5</x:v>
      </x:c>
      <x:c r="AJ93" t="n">
        <x:v>18.3</x:v>
      </x:c>
      <x:c r="AK93" t="n">
        <x:v>33.2</x:v>
      </x:c>
      <x:c r="AL93" t="n">
        <x:v>34.8</x:v>
      </x:c>
      <x:c r="AM93" t="n">
        <x:v>11</x:v>
      </x:c>
      <x:c r="AN93" t="n">
        <x:v>28.4</x:v>
      </x:c>
      <x:c r="AO93" t="n">
        <x:v>40.5</x:v>
      </x:c>
      <x:c r="AP93" t="n">
        <x:v>66.5</x:v>
      </x:c>
      <x:c r="AQ93" t="n">
        <x:v>29.5</x:v>
      </x:c>
      <x:c r="AR93">
        <x:f>IF(G93="","",LOG10(G93+1))</x:f>
      </x:c>
      <x:c r="AS93" s="10">
        <x:f>IF(AR93="","",IF(MAX($AR$2:$AR$252)-MIN($AR$2:$AR$252)=0,"",(AR93-MIN($AR$2:$AR$252))/(MAX($AR$2:$AR$252)-MIN($AR$2:$AR$252))*100))</x:f>
      </x:c>
      <x:c r="AT93">
        <x:f>IF(R93="","",LOG10(R93+1))</x:f>
      </x:c>
      <x:c r="AU93" s="10">
        <x:f>IF(AT93="","",IF(MAX($AT$2:$AT$252)-MIN($AT$2:$AT$252)=0,"",(AT93-MIN($AT$2:$AT$252))/(MAX($AT$2:$AT$252)-MIN($AT$2:$AT$252))*100))</x:f>
      </x:c>
      <x:c r="AV93">
        <x:f>IF(N93="","",LOG10(N93+1))</x:f>
      </x:c>
      <x:c r="AW93" s="10">
        <x:f>IF(AV93="","",IF(MAX($AV$2:$AV$252)-MIN($AV$2:$AV$252)=0,"",(AV93-MIN($AV$2:$AV$252))/(MAX($AV$2:$AV$252)-MIN($AV$2:$AV$252))*100))</x:f>
      </x:c>
      <x:c r="AX93">
        <x:f>IF(I93="","",LOG10(I93+1))</x:f>
      </x:c>
      <x:c r="AY93" s="10">
        <x:f>IF(AX93="","",IF(MAX($AX$2:$AX$252)-MIN($AX$2:$AX$252)=0,"",(AX93-MIN($AX$2:$AX$252))/(MAX($AX$2:$AX$252)-MIN($AX$2:$AX$252))*100))</x:f>
      </x:c>
      <x:c r="AZ93">
        <x:f>IF(J93="","",LOG10(J93+1))</x:f>
      </x:c>
      <x:c r="BA93" s="10">
        <x:f>IF(AZ93="","",IF(MAX($AZ$2:$AZ$252)-MIN($AZ$2:$AZ$252)=0,"",(AZ93-MIN($AZ$2:$AZ$252))/(MAX($AZ$2:$AZ$252)-MIN($AZ$2:$AZ$252))*100))</x:f>
      </x:c>
      <x:c r="BB93">
        <x:f>IF(K93="","",LOG10(K93+1))</x:f>
      </x:c>
      <x:c r="BC93" s="10">
        <x:f>IF(BB93="","",IF(MAX($BB$2:$BB$252)-MIN($BB$2:$BB$252)=0,"",(BB93-MIN($BB$2:$BB$252))/(MAX($BB$2:$BB$252)-MIN($BB$2:$BB$252))*100))</x:f>
      </x:c>
      <x:c r="BD93">
        <x:f>IF(L93="","",LOG10(L93+1))</x:f>
      </x:c>
      <x:c r="BE93" s="10">
        <x:f>IF(BD93="","",IF(MAX($BD$2:$BD$252)-MIN($BD$2:$BD$252)=0,"",(BD93-MIN($BD$2:$BD$252))/(MAX($BD$2:$BD$252)-MIN($BD$2:$BD$252))*100))</x:f>
      </x:c>
      <x:c r="BF93" s="10">
        <x:f>IF(P93="","",IF(MAX($P$2:$P$252)-MIN($P$2:$P$252)=0,"",(P93-MIN($P$2:$P$252))/(MAX($P$2:$P$252)-MIN($P$2:$P$252))*100))</x:f>
      </x:c>
      <x:c r="BG93">
        <x:f>IF(AF93="","",LOG10(AF93+1))</x:f>
      </x:c>
      <x:c r="BH93" s="10">
        <x:f>IF(BG93="","",IF(MAX($BG$2:$BG$252)-MIN($BG$2:$BG$252)=0,"",(BG93-MIN($BG$2:$BG$252))/(MAX($BG$2:$BG$252)-MIN($BG$2:$BG$252))*100))</x:f>
      </x:c>
      <x:c r="BI93">
        <x:f>IF(AC93="","",LOG10(AC93+1))</x:f>
      </x:c>
      <x:c r="BJ93" s="10">
        <x:f>IF(BI93="","",IF(MAX($BI$2:$BI$252)-MIN($BI$2:$BI$252)=0,"",(BI93-MIN($BI$2:$BI$252))/(MAX($BI$2:$BI$252)-MIN($BI$2:$BI$252))*100))</x:f>
      </x:c>
      <x:c r="BK93">
        <x:f>IF(AD93="","",(AD93*2)+(AE93*1))</x:f>
      </x:c>
      <x:c r="BL93" s="10">
        <x:f>IF(BK93="","",IF(MAX($BK$2:$BK$252)-MIN($BK$2:$BK$252)=0,"",(BK93-MIN($BK$2:$BK$252))/(MAX($BK$2:$BK$252)-MIN($BK$2:$BK$252))*100))</x:f>
      </x:c>
      <x:c r="BM93" s="10">
        <x:f>IF(AB93="","",IF(MAX($AB$2:$AB$252)-MIN($AB$2:$AB$252)=0,"",(AB93-MIN($AB$2:$AB$252))/(MAX($AB$2:$AB$252)-MIN($AB$2:$AB$252))*100))</x:f>
      </x:c>
      <x:c r="BN93" s="10">
        <x:f>IF(X93="","",X93)</x:f>
      </x:c>
      <x:c r="BO93" s="10">
        <x:f>IF(X93="","",100-X93)</x:f>
      </x:c>
      <x:c r="BP93" s="10">
        <x:f>IF((Weights!$C$2*IF(BH93="",0,1)+Weights!$C$3*IF(BJ93="",0,1)+Weights!$C$4*IF(BL93="",0,1))=0,"",(Weights!$C$2*IF(BH93="",0,BH93)+Weights!$C$3*IF(BJ93="",0,BJ93)+Weights!$C$4*IF(BL93="",0,BL93))/(Weights!$C$2*IF(BH93="",0,1)+Weights!$C$3*IF(BJ93="",0,1)+Weights!$C$4*IF(BL93="",0,1)))</x:f>
      </x:c>
      <x:c r="BQ93" s="10">
        <x:f>IF((Weights!$C$5*IF(BA93="",0,1)+Weights!$C$6*IF(AW93="",0,1)+Weights!$C$7*IF(AU93="",0,1))=0,"",(Weights!$C$5*IF(BA93="",0,BA93)+Weights!$C$6*IF(AW93="",0,AW93)+Weights!$C$7*IF(AU93="",0,AU93))/(Weights!$C$5*IF(BA93="",0,1)+Weights!$C$6*IF(AW93="",0,1)+Weights!$C$7*IF(AU93="",0,1)))</x:f>
      </x:c>
      <x:c r="BR93" s="10">
        <x:f>IF((Weights!$C$8*IF(AW93="",0,1)+Weights!$C$9*IF(BC93="",0,1)+Weights!$C$10*IF(BF93="",0,1))=0,"",(Weights!$C$8*IF(AW93="",0,AW93)+Weights!$C$9*IF(BC93="",0,BC93)+Weights!$C$10*IF(BF93="",0,BF93))/(Weights!$C$8*IF(AW93="",0,1)+Weights!$C$9*IF(BC93="",0,1)+Weights!$C$10*IF(BF93="",0,1)))</x:f>
      </x:c>
      <x:c r="BS93" s="10">
        <x:f>IF(Y93="","",Y93)</x:f>
      </x:c>
      <x:c r="BT93" s="10">
        <x:f>IF(AS93="","",AS93)</x:f>
      </x:c>
      <x:c r="BU93" s="10">
        <x:f>IF(AJ93&lt;&gt;"",(0.6*AJ93+0.4*AU93),IF((Weights!$C$11*IF(AU93="",0,1)+Weights!$C$12*IF(BM93="",0,1))=0,"",(Weights!$C$11*IF(AU93="",0,AU93)+Weights!$C$12*IF(BM93="",0,BM93))/(Weights!$C$11*IF(AU93="",0,1)+Weights!$C$12*IF(BM93="",0,1))))</x:f>
      </x:c>
      <x:c r="BV93" s="10">
        <x:f>IF(CG93="",0,CG93)</x:f>
      </x:c>
      <x:c r="BW93" s="10">
        <x:f>IF(AP93="","",AP93)</x:f>
      </x:c>
      <x:c r="BX93" s="10">
        <x:f>IF(AO93="","",AO93)</x:f>
      </x:c>
      <x:c r="BY93" s="10">
        <x:f>IF(AL93="","",AL93)</x:f>
      </x:c>
      <x:c r="BZ93" s="10">
        <x:f>IF(AM93="","",AM93)</x:f>
      </x:c>
      <x:c r="CA93" s="10">
        <x:f>IF(AK93&lt;&gt;"",AK93,AW93)</x:f>
      </x:c>
      <x:c r="CB93" s="10">
        <x:f>IF((Weights!$C$13*IF(BP93="",0,1)+Weights!$C$14*IF(BR93="",0,1)+Weights!$C$15*IF(BQ93="",0,1)+Weights!$C$16*IF(BS93="",0,1)+Weights!$C$17*IF(BU93="",0,1)+Weights!$C$18*IF(BT93="",0,1)+Weights!$C$19*IF(BW93="",0,1)+Weights!$C$20*IF(BZ93="",0,1)+Weights!$C$21*IF(BO93="",0,1)+Weights!$C$22)=0,"",(Weights!$C$13*IF(BP93="",0,BP93)+Weights!$C$14*IF(BR93="",0,BR93)+Weights!$C$15*IF(BQ93="",0,BQ93)+Weights!$C$16*IF(BS93="",0,BS93)+Weights!$C$17*IF(BU93="",0,BU93)+Weights!$C$18*IF(BT93="",0,BT93)+Weights!$C$19*IF(BW93="",0,BW93)+Weights!$C$20*IF(BZ93="",0,BZ93)+Weights!$C$21*IF(BO93="",0,BO93)+Weights!$C$22*BV93)/(Weights!$C$13*IF(BP93="",0,1)+Weights!$C$14*IF(BR93="",0,1)+Weights!$C$15*IF(BQ93="",0,1)+Weights!$C$16*IF(BS93="",0,1)+Weights!$C$17*IF(BU93="",0,1)+Weights!$C$18*IF(BT93="",0,1)+Weights!$C$19*IF(BW93="",0,1)+Weights!$C$20*IF(BZ93="",0,1)+Weights!$C$21*IF(BO93="",0,1)+Weights!$C$22))</x:f>
      </x:c>
      <x:c r="CC93" s="10">
        <x:f>IF((Weights!$C$23*IF(BQ93="",0,1)+Weights!$C$24*IF(BN93="",0,1)+Weights!$C$25*IF(BS93="",0,1)+Weights!$C$26*IF(BY93="",0,1)+Weights!$C$27*IF(BX93="",0,1)+Weights!$C$28*IF(BT93="",0,1)+Weights!$C$29*IF(CA93="",0,1)+Weights!$C$30+Weights!$C$31*IF(BU93="",0,1))=0,"",(Weights!$C$23*IF(BQ93="",0,BQ93)+Weights!$C$24*IF(BN93="",0,BN93)+Weights!$C$25*IF(BS93="",0,BS93)+Weights!$C$26*IF(BY93="",0,BY93)+Weights!$C$27*IF(BX93="",0,BX93)+Weights!$C$28*IF(BT93="",0,BT93)+Weights!$C$29*IF(CA93="",0,CA93)+Weights!$C$30*BV93+Weights!$C$31*IF(BU93="",0,BU93))/(Weights!$C$23*IF(BQ93="",0,1)+Weights!$C$24*IF(BN93="",0,1)+Weights!$C$25*IF(BS93="",0,1)+Weights!$C$26*IF(BY93="",0,1)+Weights!$C$27*IF(BX93="",0,1)+Weights!$C$28*IF(BT93="",0,1)+Weights!$C$29*IF(CA93="",0,1)+Weights!$C$30+Weights!$C$31*IF(BU93="",0,1)))</x:f>
      </x:c>
      <x:c r="CD93" s="10">
        <x:f>IF(AND(CB93="",CC93=""),"",IF(CB93="",CC93,IF(CC93="",CB93,AVERAGE(CB93,CC93))))</x:f>
      </x:c>
      <x:c r="CE93" s="7">
        <x:f>ROUND(100*((IF(BP93&lt;&gt;"",1,0)+IF(BQ93&lt;&gt;"",1,0)+IF(BR93&lt;&gt;"",1,0)+IF(BS93&lt;&gt;"",1,0)+IF(BU93&lt;&gt;"",1,0)+IF(BT93&lt;&gt;"",1,0)+IF(BN93&lt;&gt;"",1,0)+IF(AW93&lt;&gt;"",1,0))/8),0)</x:f>
      </x:c>
      <x:c r="CF93">
        <x:f>IF(V93="","",LOG10(V93+1))</x:f>
      </x:c>
      <x:c r="CG93">
        <x:f>IF(CF93="","",IF(MAX($CF$2:$CF$252)-MIN($CF$2:$CF$252)=0,"",(CF93-MIN($CF$2:$CF$252))/(MAX($CF$2:$CF$252)-MIN($CF$2:$CF$252))*100))</x:f>
      </x:c>
    </x:row>
    <x:row r="94">
      <x:c r="A94" t="inlineStr">
        <x:is>
          <x:t xml:space="preserve">KGZ</x:t>
        </x:is>
      </x:c>
      <x:c r="B94" t="inlineStr">
        <x:is>
          <x:t xml:space="preserve">Kyrgyz Republic</x:t>
        </x:is>
      </x:c>
      <x:c r="C94" t="inlineStr">
        <x:is>
          <x:t xml:space="preserve">Europe &amp; Central Asia</x:t>
        </x:is>
      </x:c>
      <x:c r="D94" t="inlineStr">
        <x:is>
          <x:t xml:space="preserve">Lower middle income</x:t>
        </x:is>
      </x:c>
      <x:c r="E94" t="inlineStr">
        <x:is>
          <x:t xml:space="preserve">Asia</x:t>
        </x:is>
      </x:c>
      <x:c r="F94" t="n">
        <x:v>2024</x:v>
      </x:c>
      <x:c r="G94" t="n">
        <x:v>7221868</x:v>
      </x:c>
      <x:c r="H94" t="n">
        <x:v>2020</x:v>
      </x:c>
      <x:c r="I94" t="n">
        <x:v>21000</x:v>
      </x:c>
      <x:c r="J94" t="n">
        <x:v>13650</x:v>
      </x:c>
      <x:c r="K94" t="n">
        <x:v>4200</x:v>
      </x:c>
      <x:c r="L94" t="n">
        <x:v>2520</x:v>
      </x:c>
      <x:c r="M94" t="n">
        <x:v>2024</x:v>
      </x:c>
      <x:c r="N94" s="8" t="n">
        <x:v>473046660.875227</x:v>
      </x:c>
      <x:c r="O94" s="9" t="n">
        <x:v>2.96620373701758</x:v>
      </x:c>
      <x:c r="P94" s="8" t="n">
        <x:v>22526.0314702489</x:v>
      </x:c>
      <x:c r="Q94" t="n">
        <x:v>2024</x:v>
      </x:c>
      <x:c r="R94" s="8" t="n">
        <x:v>17478259659.2625</x:v>
      </x:c>
      <x:c r="S94" t="n">
        <x:v>0</x:v>
      </x:c>
      <x:c r="T94" t="n">
        <x:v>0</x:v>
      </x:c>
      <x:c r="U94" t="inlineStr">
        <x:is>
          <x:t xml:space="preserve">No</x:t>
        </x:is>
      </x:c>
      <x:c r="W94" t="inlineStr">
        <x:is>
          <x:t xml:space="preserve">No</x:t>
        </x:is>
      </x:c>
      <x:c r="X94" t="n">
        <x:v>25.60164552281622</x:v>
      </x:c>
      <x:c r="Y94" t="n">
        <x:v>34.09012325855188</x:v>
      </x:c>
      <x:c r="Z94" t="n">
        <x:v>195874.6584970031</x:v>
      </x:c>
      <x:c r="AA94" t="n">
        <x:v>29.5552372339609</x:v>
      </x:c>
      <x:c r="AB94" s="8" t="n">
        <x:v>3629.220458646406</x:v>
      </x:c>
      <x:c r="AR94">
        <x:f>IF(G94="","",LOG10(G94+1))</x:f>
      </x:c>
      <x:c r="AS94" s="10">
        <x:f>IF(AR94="","",IF(MAX($AR$2:$AR$252)-MIN($AR$2:$AR$252)=0,"",(AR94-MIN($AR$2:$AR$252))/(MAX($AR$2:$AR$252)-MIN($AR$2:$AR$252))*100))</x:f>
      </x:c>
      <x:c r="AT94">
        <x:f>IF(R94="","",LOG10(R94+1))</x:f>
      </x:c>
      <x:c r="AU94" s="10">
        <x:f>IF(AT94="","",IF(MAX($AT$2:$AT$252)-MIN($AT$2:$AT$252)=0,"",(AT94-MIN($AT$2:$AT$252))/(MAX($AT$2:$AT$252)-MIN($AT$2:$AT$252))*100))</x:f>
      </x:c>
      <x:c r="AV94">
        <x:f>IF(N94="","",LOG10(N94+1))</x:f>
      </x:c>
      <x:c r="AW94" s="10">
        <x:f>IF(AV94="","",IF(MAX($AV$2:$AV$252)-MIN($AV$2:$AV$252)=0,"",(AV94-MIN($AV$2:$AV$252))/(MAX($AV$2:$AV$252)-MIN($AV$2:$AV$252))*100))</x:f>
      </x:c>
      <x:c r="AX94">
        <x:f>IF(I94="","",LOG10(I94+1))</x:f>
      </x:c>
      <x:c r="AY94" s="10">
        <x:f>IF(AX94="","",IF(MAX($AX$2:$AX$252)-MIN($AX$2:$AX$252)=0,"",(AX94-MIN($AX$2:$AX$252))/(MAX($AX$2:$AX$252)-MIN($AX$2:$AX$252))*100))</x:f>
      </x:c>
      <x:c r="AZ94">
        <x:f>IF(J94="","",LOG10(J94+1))</x:f>
      </x:c>
      <x:c r="BA94" s="10">
        <x:f>IF(AZ94="","",IF(MAX($AZ$2:$AZ$252)-MIN($AZ$2:$AZ$252)=0,"",(AZ94-MIN($AZ$2:$AZ$252))/(MAX($AZ$2:$AZ$252)-MIN($AZ$2:$AZ$252))*100))</x:f>
      </x:c>
      <x:c r="BB94">
        <x:f>IF(K94="","",LOG10(K94+1))</x:f>
      </x:c>
      <x:c r="BC94" s="10">
        <x:f>IF(BB94="","",IF(MAX($BB$2:$BB$252)-MIN($BB$2:$BB$252)=0,"",(BB94-MIN($BB$2:$BB$252))/(MAX($BB$2:$BB$252)-MIN($BB$2:$BB$252))*100))</x:f>
      </x:c>
      <x:c r="BD94">
        <x:f>IF(L94="","",LOG10(L94+1))</x:f>
      </x:c>
      <x:c r="BE94" s="10">
        <x:f>IF(BD94="","",IF(MAX($BD$2:$BD$252)-MIN($BD$2:$BD$252)=0,"",(BD94-MIN($BD$2:$BD$252))/(MAX($BD$2:$BD$252)-MIN($BD$2:$BD$252))*100))</x:f>
      </x:c>
      <x:c r="BF94" s="10">
        <x:f>IF(P94="","",IF(MAX($P$2:$P$252)-MIN($P$2:$P$252)=0,"",(P94-MIN($P$2:$P$252))/(MAX($P$2:$P$252)-MIN($P$2:$P$252))*100))</x:f>
      </x:c>
      <x:c r="BG94">
        <x:f>IF(AF94="","",LOG10(AF94+1))</x:f>
      </x:c>
      <x:c r="BH94" s="10">
        <x:f>IF(BG94="","",IF(MAX($BG$2:$BG$252)-MIN($BG$2:$BG$252)=0,"",(BG94-MIN($BG$2:$BG$252))/(MAX($BG$2:$BG$252)-MIN($BG$2:$BG$252))*100))</x:f>
      </x:c>
      <x:c r="BI94">
        <x:f>IF(AC94="","",LOG10(AC94+1))</x:f>
      </x:c>
      <x:c r="BJ94" s="10">
        <x:f>IF(BI94="","",IF(MAX($BI$2:$BI$252)-MIN($BI$2:$BI$252)=0,"",(BI94-MIN($BI$2:$BI$252))/(MAX($BI$2:$BI$252)-MIN($BI$2:$BI$252))*100))</x:f>
      </x:c>
      <x:c r="BK94">
        <x:f>IF(AD94="","",(AD94*2)+(AE94*1))</x:f>
      </x:c>
      <x:c r="BL94" s="10">
        <x:f>IF(BK94="","",IF(MAX($BK$2:$BK$252)-MIN($BK$2:$BK$252)=0,"",(BK94-MIN($BK$2:$BK$252))/(MAX($BK$2:$BK$252)-MIN($BK$2:$BK$252))*100))</x:f>
      </x:c>
      <x:c r="BM94" s="10">
        <x:f>IF(AB94="","",IF(MAX($AB$2:$AB$252)-MIN($AB$2:$AB$252)=0,"",(AB94-MIN($AB$2:$AB$252))/(MAX($AB$2:$AB$252)-MIN($AB$2:$AB$252))*100))</x:f>
      </x:c>
      <x:c r="BN94" s="10">
        <x:f>IF(X94="","",X94)</x:f>
      </x:c>
      <x:c r="BO94" s="10">
        <x:f>IF(X94="","",100-X94)</x:f>
      </x:c>
      <x:c r="BP94" s="10">
        <x:f>IF((Weights!$C$2*IF(BH94="",0,1)+Weights!$C$3*IF(BJ94="",0,1)+Weights!$C$4*IF(BL94="",0,1))=0,"",(Weights!$C$2*IF(BH94="",0,BH94)+Weights!$C$3*IF(BJ94="",0,BJ94)+Weights!$C$4*IF(BL94="",0,BL94))/(Weights!$C$2*IF(BH94="",0,1)+Weights!$C$3*IF(BJ94="",0,1)+Weights!$C$4*IF(BL94="",0,1)))</x:f>
      </x:c>
      <x:c r="BQ94" s="10">
        <x:f>IF((Weights!$C$5*IF(BA94="",0,1)+Weights!$C$6*IF(AW94="",0,1)+Weights!$C$7*IF(AU94="",0,1))=0,"",(Weights!$C$5*IF(BA94="",0,BA94)+Weights!$C$6*IF(AW94="",0,AW94)+Weights!$C$7*IF(AU94="",0,AU94))/(Weights!$C$5*IF(BA94="",0,1)+Weights!$C$6*IF(AW94="",0,1)+Weights!$C$7*IF(AU94="",0,1)))</x:f>
      </x:c>
      <x:c r="BR94" s="10">
        <x:f>IF((Weights!$C$8*IF(AW94="",0,1)+Weights!$C$9*IF(BC94="",0,1)+Weights!$C$10*IF(BF94="",0,1))=0,"",(Weights!$C$8*IF(AW94="",0,AW94)+Weights!$C$9*IF(BC94="",0,BC94)+Weights!$C$10*IF(BF94="",0,BF94))/(Weights!$C$8*IF(AW94="",0,1)+Weights!$C$9*IF(BC94="",0,1)+Weights!$C$10*IF(BF94="",0,1)))</x:f>
      </x:c>
      <x:c r="BS94" s="10">
        <x:f>IF(Y94="","",Y94)</x:f>
      </x:c>
      <x:c r="BT94" s="10">
        <x:f>IF(AS94="","",AS94)</x:f>
      </x:c>
      <x:c r="BU94" s="10">
        <x:f>IF(AJ94&lt;&gt;"",(0.6*AJ94+0.4*AU94),IF((Weights!$C$11*IF(AU94="",0,1)+Weights!$C$12*IF(BM94="",0,1))=0,"",(Weights!$C$11*IF(AU94="",0,AU94)+Weights!$C$12*IF(BM94="",0,BM94))/(Weights!$C$11*IF(AU94="",0,1)+Weights!$C$12*IF(BM94="",0,1))))</x:f>
      </x:c>
      <x:c r="BV94" s="10">
        <x:f>IF(CG94="",0,CG94)</x:f>
      </x:c>
      <x:c r="BW94" s="10">
        <x:f>IF(AP94="","",AP94)</x:f>
      </x:c>
      <x:c r="BX94" s="10">
        <x:f>IF(AO94="","",AO94)</x:f>
      </x:c>
      <x:c r="BY94" s="10">
        <x:f>IF(AL94="","",AL94)</x:f>
      </x:c>
      <x:c r="BZ94" s="10">
        <x:f>IF(AM94="","",AM94)</x:f>
      </x:c>
      <x:c r="CA94" s="10">
        <x:f>IF(AK94&lt;&gt;"",AK94,AW94)</x:f>
      </x:c>
      <x:c r="CB94" s="10">
        <x:f>IF((Weights!$C$13*IF(BP94="",0,1)+Weights!$C$14*IF(BR94="",0,1)+Weights!$C$15*IF(BQ94="",0,1)+Weights!$C$16*IF(BS94="",0,1)+Weights!$C$17*IF(BU94="",0,1)+Weights!$C$18*IF(BT94="",0,1)+Weights!$C$19*IF(BW94="",0,1)+Weights!$C$20*IF(BZ94="",0,1)+Weights!$C$21*IF(BO94="",0,1)+Weights!$C$22)=0,"",(Weights!$C$13*IF(BP94="",0,BP94)+Weights!$C$14*IF(BR94="",0,BR94)+Weights!$C$15*IF(BQ94="",0,BQ94)+Weights!$C$16*IF(BS94="",0,BS94)+Weights!$C$17*IF(BU94="",0,BU94)+Weights!$C$18*IF(BT94="",0,BT94)+Weights!$C$19*IF(BW94="",0,BW94)+Weights!$C$20*IF(BZ94="",0,BZ94)+Weights!$C$21*IF(BO94="",0,BO94)+Weights!$C$22*BV94)/(Weights!$C$13*IF(BP94="",0,1)+Weights!$C$14*IF(BR94="",0,1)+Weights!$C$15*IF(BQ94="",0,1)+Weights!$C$16*IF(BS94="",0,1)+Weights!$C$17*IF(BU94="",0,1)+Weights!$C$18*IF(BT94="",0,1)+Weights!$C$19*IF(BW94="",0,1)+Weights!$C$20*IF(BZ94="",0,1)+Weights!$C$21*IF(BO94="",0,1)+Weights!$C$22))</x:f>
      </x:c>
      <x:c r="CC94" s="10">
        <x:f>IF((Weights!$C$23*IF(BQ94="",0,1)+Weights!$C$24*IF(BN94="",0,1)+Weights!$C$25*IF(BS94="",0,1)+Weights!$C$26*IF(BY94="",0,1)+Weights!$C$27*IF(BX94="",0,1)+Weights!$C$28*IF(BT94="",0,1)+Weights!$C$29*IF(CA94="",0,1)+Weights!$C$30+Weights!$C$31*IF(BU94="",0,1))=0,"",(Weights!$C$23*IF(BQ94="",0,BQ94)+Weights!$C$24*IF(BN94="",0,BN94)+Weights!$C$25*IF(BS94="",0,BS94)+Weights!$C$26*IF(BY94="",0,BY94)+Weights!$C$27*IF(BX94="",0,BX94)+Weights!$C$28*IF(BT94="",0,BT94)+Weights!$C$29*IF(CA94="",0,CA94)+Weights!$C$30*BV94+Weights!$C$31*IF(BU94="",0,BU94))/(Weights!$C$23*IF(BQ94="",0,1)+Weights!$C$24*IF(BN94="",0,1)+Weights!$C$25*IF(BS94="",0,1)+Weights!$C$26*IF(BY94="",0,1)+Weights!$C$27*IF(BX94="",0,1)+Weights!$C$28*IF(BT94="",0,1)+Weights!$C$29*IF(CA94="",0,1)+Weights!$C$30+Weights!$C$31*IF(BU94="",0,1)))</x:f>
      </x:c>
      <x:c r="CD94" s="10">
        <x:f>IF(AND(CB94="",CC94=""),"",IF(CB94="",CC94,IF(CC94="",CB94,AVERAGE(CB94,CC94))))</x:f>
      </x:c>
      <x:c r="CE94" s="7">
        <x:f>ROUND(100*((IF(BP94&lt;&gt;"",1,0)+IF(BQ94&lt;&gt;"",1,0)+IF(BR94&lt;&gt;"",1,0)+IF(BS94&lt;&gt;"",1,0)+IF(BU94&lt;&gt;"",1,0)+IF(BT94&lt;&gt;"",1,0)+IF(BN94&lt;&gt;"",1,0)+IF(AW94&lt;&gt;"",1,0))/8),0)</x:f>
      </x:c>
      <x:c r="CF94">
        <x:f>IF(V94="","",LOG10(V94+1))</x:f>
      </x:c>
      <x:c r="CG94">
        <x:f>IF(CF94="","",IF(MAX($CF$2:$CF$252)-MIN($CF$2:$CF$252)=0,"",(CF94-MIN($CF$2:$CF$252))/(MAX($CF$2:$CF$252)-MIN($CF$2:$CF$252))*100))</x:f>
      </x:c>
    </x:row>
    <x:row r="95">
      <x:c r="A95" t="inlineStr">
        <x:is>
          <x:t xml:space="preserve">LAO</x:t>
        </x:is>
      </x:c>
      <x:c r="B95" t="inlineStr">
        <x:is>
          <x:t xml:space="preserve">Lao PDR</x:t>
        </x:is>
      </x:c>
      <x:c r="C95" t="inlineStr">
        <x:is>
          <x:t xml:space="preserve">East Asia &amp; Pacific</x:t>
        </x:is>
      </x:c>
      <x:c r="D95" t="inlineStr">
        <x:is>
          <x:t xml:space="preserve">Lower middle income</x:t>
        </x:is>
      </x:c>
      <x:c r="E95" t="inlineStr">
        <x:is>
          <x:t xml:space="preserve">Asia</x:t>
        </x:is>
      </x:c>
      <x:c r="F95" t="n">
        <x:v>2024</x:v>
      </x:c>
      <x:c r="G95" t="n">
        <x:v>7769819</x:v>
      </x:c>
      <x:c r="H95" t="n">
        <x:v>2020</x:v>
      </x:c>
      <x:c r="I95" t="n">
        <x:v>129000</x:v>
      </x:c>
      <x:c r="J95" t="n">
        <x:v>83850</x:v>
      </x:c>
      <x:c r="K95" t="n">
        <x:v>25800</x:v>
      </x:c>
      <x:c r="L95" t="n">
        <x:v>15480</x:v>
      </x:c>
      <x:c r="M95" t="n">
        <x:v>2013</x:v>
      </x:c>
      <x:c r="N95" s="8" t="n">
        <x:v>22677713.1196136</x:v>
      </x:c>
      <x:c r="O95" s="9" t="n">
        <x:v>0.189895181780941</x:v>
      </x:c>
      <x:c r="P95" s="8" t="n">
        <x:v>175.7962257334387</x:v>
      </x:c>
      <x:c r="Q95" t="n">
        <x:v>2024</x:v>
      </x:c>
      <x:c r="R95" s="8" t="n">
        <x:v>16502933121.3379</x:v>
      </x:c>
      <x:c r="S95" t="n">
        <x:v>1</x:v>
      </x:c>
      <x:c r="T95" t="n">
        <x:v>0</x:v>
      </x:c>
      <x:c r="U95" t="inlineStr">
        <x:is>
          <x:t xml:space="preserve">No</x:t>
        </x:is>
      </x:c>
      <x:c r="W95" t="inlineStr">
        <x:is>
          <x:t xml:space="preserve">No</x:t>
        </x:is>
      </x:c>
      <x:c r="X95" t="n">
        <x:v>30.32244094089166</x:v>
      </x:c>
      <x:c r="Y95" t="n">
        <x:v>41.13373059338743</x:v>
      </x:c>
      <x:c r="Z95" t="n">
        <x:v>229080.4222955656</x:v>
      </x:c>
      <x:c r="AA95" t="n">
        <x:v>31.11006138623638</x:v>
      </x:c>
      <x:c r="AB95" s="8" t="n">
        <x:v>5747.395781445172</x:v>
      </x:c>
      <x:c r="AC95" t="n">
        <x:v>45</x:v>
      </x:c>
      <x:c r="AD95" t="n">
        <x:v>0</x:v>
      </x:c>
      <x:c r="AE95" t="n">
        <x:v>0</x:v>
      </x:c>
      <x:c r="AI95" t="n">
        <x:v>7.2</x:v>
      </x:c>
      <x:c r="AJ95" t="n">
        <x:v>1.4</x:v>
      </x:c>
      <x:c r="AK95" t="n">
        <x:v>1.9</x:v>
      </x:c>
      <x:c r="AL95" t="n">
        <x:v>18.2</x:v>
      </x:c>
      <x:c r="AM95" t="n">
        <x:v>0.8</x:v>
      </x:c>
      <x:c r="AN95" t="n">
        <x:v>7.2</x:v>
      </x:c>
      <x:c r="AO95" t="n">
        <x:v>4.2</x:v>
      </x:c>
      <x:c r="AP95" t="n">
        <x:v>27.9</x:v>
      </x:c>
      <x:c r="AQ95" t="n">
        <x:v>4.4</x:v>
      </x:c>
      <x:c r="AR95">
        <x:f>IF(G95="","",LOG10(G95+1))</x:f>
      </x:c>
      <x:c r="AS95" s="10">
        <x:f>IF(AR95="","",IF(MAX($AR$2:$AR$252)-MIN($AR$2:$AR$252)=0,"",(AR95-MIN($AR$2:$AR$252))/(MAX($AR$2:$AR$252)-MIN($AR$2:$AR$252))*100))</x:f>
      </x:c>
      <x:c r="AT95">
        <x:f>IF(R95="","",LOG10(R95+1))</x:f>
      </x:c>
      <x:c r="AU95" s="10">
        <x:f>IF(AT95="","",IF(MAX($AT$2:$AT$252)-MIN($AT$2:$AT$252)=0,"",(AT95-MIN($AT$2:$AT$252))/(MAX($AT$2:$AT$252)-MIN($AT$2:$AT$252))*100))</x:f>
      </x:c>
      <x:c r="AV95">
        <x:f>IF(N95="","",LOG10(N95+1))</x:f>
      </x:c>
      <x:c r="AW95" s="10">
        <x:f>IF(AV95="","",IF(MAX($AV$2:$AV$252)-MIN($AV$2:$AV$252)=0,"",(AV95-MIN($AV$2:$AV$252))/(MAX($AV$2:$AV$252)-MIN($AV$2:$AV$252))*100))</x:f>
      </x:c>
      <x:c r="AX95">
        <x:f>IF(I95="","",LOG10(I95+1))</x:f>
      </x:c>
      <x:c r="AY95" s="10">
        <x:f>IF(AX95="","",IF(MAX($AX$2:$AX$252)-MIN($AX$2:$AX$252)=0,"",(AX95-MIN($AX$2:$AX$252))/(MAX($AX$2:$AX$252)-MIN($AX$2:$AX$252))*100))</x:f>
      </x:c>
      <x:c r="AZ95">
        <x:f>IF(J95="","",LOG10(J95+1))</x:f>
      </x:c>
      <x:c r="BA95" s="10">
        <x:f>IF(AZ95="","",IF(MAX($AZ$2:$AZ$252)-MIN($AZ$2:$AZ$252)=0,"",(AZ95-MIN($AZ$2:$AZ$252))/(MAX($AZ$2:$AZ$252)-MIN($AZ$2:$AZ$252))*100))</x:f>
      </x:c>
      <x:c r="BB95">
        <x:f>IF(K95="","",LOG10(K95+1))</x:f>
      </x:c>
      <x:c r="BC95" s="10">
        <x:f>IF(BB95="","",IF(MAX($BB$2:$BB$252)-MIN($BB$2:$BB$252)=0,"",(BB95-MIN($BB$2:$BB$252))/(MAX($BB$2:$BB$252)-MIN($BB$2:$BB$252))*100))</x:f>
      </x:c>
      <x:c r="BD95">
        <x:f>IF(L95="","",LOG10(L95+1))</x:f>
      </x:c>
      <x:c r="BE95" s="10">
        <x:f>IF(BD95="","",IF(MAX($BD$2:$BD$252)-MIN($BD$2:$BD$252)=0,"",(BD95-MIN($BD$2:$BD$252))/(MAX($BD$2:$BD$252)-MIN($BD$2:$BD$252))*100))</x:f>
      </x:c>
      <x:c r="BF95" s="10">
        <x:f>IF(P95="","",IF(MAX($P$2:$P$252)-MIN($P$2:$P$252)=0,"",(P95-MIN($P$2:$P$252))/(MAX($P$2:$P$252)-MIN($P$2:$P$252))*100))</x:f>
      </x:c>
      <x:c r="BG95">
        <x:f>IF(AF95="","",LOG10(AF95+1))</x:f>
      </x:c>
      <x:c r="BH95" s="10">
        <x:f>IF(BG95="","",IF(MAX($BG$2:$BG$252)-MIN($BG$2:$BG$252)=0,"",(BG95-MIN($BG$2:$BG$252))/(MAX($BG$2:$BG$252)-MIN($BG$2:$BG$252))*100))</x:f>
      </x:c>
      <x:c r="BI95">
        <x:f>IF(AC95="","",LOG10(AC95+1))</x:f>
      </x:c>
      <x:c r="BJ95" s="10">
        <x:f>IF(BI95="","",IF(MAX($BI$2:$BI$252)-MIN($BI$2:$BI$252)=0,"",(BI95-MIN($BI$2:$BI$252))/(MAX($BI$2:$BI$252)-MIN($BI$2:$BI$252))*100))</x:f>
      </x:c>
      <x:c r="BK95">
        <x:f>IF(AD95="","",(AD95*2)+(AE95*1))</x:f>
      </x:c>
      <x:c r="BL95" s="10">
        <x:f>IF(BK95="","",IF(MAX($BK$2:$BK$252)-MIN($BK$2:$BK$252)=0,"",(BK95-MIN($BK$2:$BK$252))/(MAX($BK$2:$BK$252)-MIN($BK$2:$BK$252))*100))</x:f>
      </x:c>
      <x:c r="BM95" s="10">
        <x:f>IF(AB95="","",IF(MAX($AB$2:$AB$252)-MIN($AB$2:$AB$252)=0,"",(AB95-MIN($AB$2:$AB$252))/(MAX($AB$2:$AB$252)-MIN($AB$2:$AB$252))*100))</x:f>
      </x:c>
      <x:c r="BN95" s="10">
        <x:f>IF(X95="","",X95)</x:f>
      </x:c>
      <x:c r="BO95" s="10">
        <x:f>IF(X95="","",100-X95)</x:f>
      </x:c>
      <x:c r="BP95" s="10">
        <x:f>IF((Weights!$C$2*IF(BH95="",0,1)+Weights!$C$3*IF(BJ95="",0,1)+Weights!$C$4*IF(BL95="",0,1))=0,"",(Weights!$C$2*IF(BH95="",0,BH95)+Weights!$C$3*IF(BJ95="",0,BJ95)+Weights!$C$4*IF(BL95="",0,BL95))/(Weights!$C$2*IF(BH95="",0,1)+Weights!$C$3*IF(BJ95="",0,1)+Weights!$C$4*IF(BL95="",0,1)))</x:f>
      </x:c>
      <x:c r="BQ95" s="10">
        <x:f>IF((Weights!$C$5*IF(BA95="",0,1)+Weights!$C$6*IF(AW95="",0,1)+Weights!$C$7*IF(AU95="",0,1))=0,"",(Weights!$C$5*IF(BA95="",0,BA95)+Weights!$C$6*IF(AW95="",0,AW95)+Weights!$C$7*IF(AU95="",0,AU95))/(Weights!$C$5*IF(BA95="",0,1)+Weights!$C$6*IF(AW95="",0,1)+Weights!$C$7*IF(AU95="",0,1)))</x:f>
      </x:c>
      <x:c r="BR95" s="10">
        <x:f>IF((Weights!$C$8*IF(AW95="",0,1)+Weights!$C$9*IF(BC95="",0,1)+Weights!$C$10*IF(BF95="",0,1))=0,"",(Weights!$C$8*IF(AW95="",0,AW95)+Weights!$C$9*IF(BC95="",0,BC95)+Weights!$C$10*IF(BF95="",0,BF95))/(Weights!$C$8*IF(AW95="",0,1)+Weights!$C$9*IF(BC95="",0,1)+Weights!$C$10*IF(BF95="",0,1)))</x:f>
      </x:c>
      <x:c r="BS95" s="10">
        <x:f>IF(Y95="","",Y95)</x:f>
      </x:c>
      <x:c r="BT95" s="10">
        <x:f>IF(AS95="","",AS95)</x:f>
      </x:c>
      <x:c r="BU95" s="10">
        <x:f>IF(AJ95&lt;&gt;"",(0.6*AJ95+0.4*AU95),IF((Weights!$C$11*IF(AU95="",0,1)+Weights!$C$12*IF(BM95="",0,1))=0,"",(Weights!$C$11*IF(AU95="",0,AU95)+Weights!$C$12*IF(BM95="",0,BM95))/(Weights!$C$11*IF(AU95="",0,1)+Weights!$C$12*IF(BM95="",0,1))))</x:f>
      </x:c>
      <x:c r="BV95" s="10">
        <x:f>IF(CG95="",0,CG95)</x:f>
      </x:c>
      <x:c r="BW95" s="10">
        <x:f>IF(AP95="","",AP95)</x:f>
      </x:c>
      <x:c r="BX95" s="10">
        <x:f>IF(AO95="","",AO95)</x:f>
      </x:c>
      <x:c r="BY95" s="10">
        <x:f>IF(AL95="","",AL95)</x:f>
      </x:c>
      <x:c r="BZ95" s="10">
        <x:f>IF(AM95="","",AM95)</x:f>
      </x:c>
      <x:c r="CA95" s="10">
        <x:f>IF(AK95&lt;&gt;"",AK95,AW95)</x:f>
      </x:c>
      <x:c r="CB95" s="10">
        <x:f>IF((Weights!$C$13*IF(BP95="",0,1)+Weights!$C$14*IF(BR95="",0,1)+Weights!$C$15*IF(BQ95="",0,1)+Weights!$C$16*IF(BS95="",0,1)+Weights!$C$17*IF(BU95="",0,1)+Weights!$C$18*IF(BT95="",0,1)+Weights!$C$19*IF(BW95="",0,1)+Weights!$C$20*IF(BZ95="",0,1)+Weights!$C$21*IF(BO95="",0,1)+Weights!$C$22)=0,"",(Weights!$C$13*IF(BP95="",0,BP95)+Weights!$C$14*IF(BR95="",0,BR95)+Weights!$C$15*IF(BQ95="",0,BQ95)+Weights!$C$16*IF(BS95="",0,BS95)+Weights!$C$17*IF(BU95="",0,BU95)+Weights!$C$18*IF(BT95="",0,BT95)+Weights!$C$19*IF(BW95="",0,BW95)+Weights!$C$20*IF(BZ95="",0,BZ95)+Weights!$C$21*IF(BO95="",0,BO95)+Weights!$C$22*BV95)/(Weights!$C$13*IF(BP95="",0,1)+Weights!$C$14*IF(BR95="",0,1)+Weights!$C$15*IF(BQ95="",0,1)+Weights!$C$16*IF(BS95="",0,1)+Weights!$C$17*IF(BU95="",0,1)+Weights!$C$18*IF(BT95="",0,1)+Weights!$C$19*IF(BW95="",0,1)+Weights!$C$20*IF(BZ95="",0,1)+Weights!$C$21*IF(BO95="",0,1)+Weights!$C$22))</x:f>
      </x:c>
      <x:c r="CC95" s="10">
        <x:f>IF((Weights!$C$23*IF(BQ95="",0,1)+Weights!$C$24*IF(BN95="",0,1)+Weights!$C$25*IF(BS95="",0,1)+Weights!$C$26*IF(BY95="",0,1)+Weights!$C$27*IF(BX95="",0,1)+Weights!$C$28*IF(BT95="",0,1)+Weights!$C$29*IF(CA95="",0,1)+Weights!$C$30+Weights!$C$31*IF(BU95="",0,1))=0,"",(Weights!$C$23*IF(BQ95="",0,BQ95)+Weights!$C$24*IF(BN95="",0,BN95)+Weights!$C$25*IF(BS95="",0,BS95)+Weights!$C$26*IF(BY95="",0,BY95)+Weights!$C$27*IF(BX95="",0,BX95)+Weights!$C$28*IF(BT95="",0,BT95)+Weights!$C$29*IF(CA95="",0,CA95)+Weights!$C$30*BV95+Weights!$C$31*IF(BU95="",0,BU95))/(Weights!$C$23*IF(BQ95="",0,1)+Weights!$C$24*IF(BN95="",0,1)+Weights!$C$25*IF(BS95="",0,1)+Weights!$C$26*IF(BY95="",0,1)+Weights!$C$27*IF(BX95="",0,1)+Weights!$C$28*IF(BT95="",0,1)+Weights!$C$29*IF(CA95="",0,1)+Weights!$C$30+Weights!$C$31*IF(BU95="",0,1)))</x:f>
      </x:c>
      <x:c r="CD95" s="10">
        <x:f>IF(AND(CB95="",CC95=""),"",IF(CB95="",CC95,IF(CC95="",CB95,AVERAGE(CB95,CC95))))</x:f>
      </x:c>
      <x:c r="CE95" s="7">
        <x:f>ROUND(100*((IF(BP95&lt;&gt;"",1,0)+IF(BQ95&lt;&gt;"",1,0)+IF(BR95&lt;&gt;"",1,0)+IF(BS95&lt;&gt;"",1,0)+IF(BU95&lt;&gt;"",1,0)+IF(BT95&lt;&gt;"",1,0)+IF(BN95&lt;&gt;"",1,0)+IF(AW95&lt;&gt;"",1,0))/8),0)</x:f>
      </x:c>
      <x:c r="CF95">
        <x:f>IF(V95="","",LOG10(V95+1))</x:f>
      </x:c>
      <x:c r="CG95">
        <x:f>IF(CF95="","",IF(MAX($CF$2:$CF$252)-MIN($CF$2:$CF$252)=0,"",(CF95-MIN($CF$2:$CF$252))/(MAX($CF$2:$CF$252)-MIN($CF$2:$CF$252))*100))</x:f>
      </x:c>
    </x:row>
    <x:row r="96">
      <x:c r="A96" t="inlineStr">
        <x:is>
          <x:t xml:space="preserve">LBN</x:t>
        </x:is>
      </x:c>
      <x:c r="B96" t="inlineStr">
        <x:is>
          <x:t xml:space="preserve">Lebanon</x:t>
        </x:is>
      </x:c>
      <x:c r="C96" t="inlineStr">
        <x:is>
          <x:t xml:space="preserve">Middle East &amp; North Africa</x:t>
        </x:is>
      </x:c>
      <x:c r="D96" t="inlineStr">
        <x:is>
          <x:t xml:space="preserve">Lower middle income</x:t>
        </x:is>
      </x:c>
      <x:c r="E96" t="inlineStr">
        <x:is>
          <x:t xml:space="preserve">Asia</x:t>
        </x:is>
      </x:c>
      <x:c r="F96" t="n">
        <x:v>2024</x:v>
      </x:c>
      <x:c r="G96" t="n">
        <x:v>5805962</x:v>
      </x:c>
      <x:c r="H96" t="n">
        <x:v>2020</x:v>
      </x:c>
      <x:c r="I96" t="n">
        <x:v>80000</x:v>
      </x:c>
      <x:c r="J96" t="n">
        <x:v>52000</x:v>
      </x:c>
      <x:c r="K96" t="n">
        <x:v>16000</x:v>
      </x:c>
      <x:c r="L96" t="n">
        <x:v>9600</x:v>
      </x:c>
      <x:c r="M96" t="n">
        <x:v>2024</x:v>
      </x:c>
      <x:c r="N96" s="8" t="n">
        <x:v>635471571.906355</x:v>
      </x:c>
      <x:c r="O96" s="9" t="n">
        <x:v>2.58828538225203</x:v>
      </x:c>
      <x:c r="P96" s="8" t="n">
        <x:v>7943.394648829438</x:v>
      </x:c>
      <x:c r="Q96" t="n">
        <x:v>2023</x:v>
      </x:c>
      <x:c r="R96" s="8" t="n">
        <x:v>20078620356.9931</x:v>
      </x:c>
      <x:c r="S96" t="n">
        <x:v>0</x:v>
      </x:c>
      <x:c r="T96" t="n">
        <x:v>0</x:v>
      </x:c>
      <x:c r="U96" t="inlineStr">
        <x:is>
          <x:t xml:space="preserve">No</x:t>
        </x:is>
      </x:c>
      <x:c r="W96" t="inlineStr">
        <x:is>
          <x:t xml:space="preserve">No</x:t>
        </x:is>
      </x:c>
      <x:c r="X96" t="n">
        <x:v>12.73031749502745</x:v>
      </x:c>
      <x:c r="Y96" t="n">
        <x:v>72.38001896999286</x:v>
      </x:c>
      <x:c r="Z96" t="n">
        <x:v>10099.00303288286</x:v>
      </x:c>
      <x:c r="AA96" t="n">
        <x:v>616.8721783442861</x:v>
      </x:c>
      <x:c r="AB96" s="8" t="n">
        <x:v>13669.79389687685</x:v>
      </x:c>
      <x:c r="AC96" t="n">
        <x:v>69</x:v>
      </x:c>
      <x:c r="AD96" t="n">
        <x:v>0</x:v>
      </x:c>
      <x:c r="AE96" t="n">
        <x:v>0</x:v>
      </x:c>
      <x:c r="AR96">
        <x:f>IF(G96="","",LOG10(G96+1))</x:f>
      </x:c>
      <x:c r="AS96" s="10">
        <x:f>IF(AR96="","",IF(MAX($AR$2:$AR$252)-MIN($AR$2:$AR$252)=0,"",(AR96-MIN($AR$2:$AR$252))/(MAX($AR$2:$AR$252)-MIN($AR$2:$AR$252))*100))</x:f>
      </x:c>
      <x:c r="AT96">
        <x:f>IF(R96="","",LOG10(R96+1))</x:f>
      </x:c>
      <x:c r="AU96" s="10">
        <x:f>IF(AT96="","",IF(MAX($AT$2:$AT$252)-MIN($AT$2:$AT$252)=0,"",(AT96-MIN($AT$2:$AT$252))/(MAX($AT$2:$AT$252)-MIN($AT$2:$AT$252))*100))</x:f>
      </x:c>
      <x:c r="AV96">
        <x:f>IF(N96="","",LOG10(N96+1))</x:f>
      </x:c>
      <x:c r="AW96" s="10">
        <x:f>IF(AV96="","",IF(MAX($AV$2:$AV$252)-MIN($AV$2:$AV$252)=0,"",(AV96-MIN($AV$2:$AV$252))/(MAX($AV$2:$AV$252)-MIN($AV$2:$AV$252))*100))</x:f>
      </x:c>
      <x:c r="AX96">
        <x:f>IF(I96="","",LOG10(I96+1))</x:f>
      </x:c>
      <x:c r="AY96" s="10">
        <x:f>IF(AX96="","",IF(MAX($AX$2:$AX$252)-MIN($AX$2:$AX$252)=0,"",(AX96-MIN($AX$2:$AX$252))/(MAX($AX$2:$AX$252)-MIN($AX$2:$AX$252))*100))</x:f>
      </x:c>
      <x:c r="AZ96">
        <x:f>IF(J96="","",LOG10(J96+1))</x:f>
      </x:c>
      <x:c r="BA96" s="10">
        <x:f>IF(AZ96="","",IF(MAX($AZ$2:$AZ$252)-MIN($AZ$2:$AZ$252)=0,"",(AZ96-MIN($AZ$2:$AZ$252))/(MAX($AZ$2:$AZ$252)-MIN($AZ$2:$AZ$252))*100))</x:f>
      </x:c>
      <x:c r="BB96">
        <x:f>IF(K96="","",LOG10(K96+1))</x:f>
      </x:c>
      <x:c r="BC96" s="10">
        <x:f>IF(BB96="","",IF(MAX($BB$2:$BB$252)-MIN($BB$2:$BB$252)=0,"",(BB96-MIN($BB$2:$BB$252))/(MAX($BB$2:$BB$252)-MIN($BB$2:$BB$252))*100))</x:f>
      </x:c>
      <x:c r="BD96">
        <x:f>IF(L96="","",LOG10(L96+1))</x:f>
      </x:c>
      <x:c r="BE96" s="10">
        <x:f>IF(BD96="","",IF(MAX($BD$2:$BD$252)-MIN($BD$2:$BD$252)=0,"",(BD96-MIN($BD$2:$BD$252))/(MAX($BD$2:$BD$252)-MIN($BD$2:$BD$252))*100))</x:f>
      </x:c>
      <x:c r="BF96" s="10">
        <x:f>IF(P96="","",IF(MAX($P$2:$P$252)-MIN($P$2:$P$252)=0,"",(P96-MIN($P$2:$P$252))/(MAX($P$2:$P$252)-MIN($P$2:$P$252))*100))</x:f>
      </x:c>
      <x:c r="BG96">
        <x:f>IF(AF96="","",LOG10(AF96+1))</x:f>
      </x:c>
      <x:c r="BH96" s="10">
        <x:f>IF(BG96="","",IF(MAX($BG$2:$BG$252)-MIN($BG$2:$BG$252)=0,"",(BG96-MIN($BG$2:$BG$252))/(MAX($BG$2:$BG$252)-MIN($BG$2:$BG$252))*100))</x:f>
      </x:c>
      <x:c r="BI96">
        <x:f>IF(AC96="","",LOG10(AC96+1))</x:f>
      </x:c>
      <x:c r="BJ96" s="10">
        <x:f>IF(BI96="","",IF(MAX($BI$2:$BI$252)-MIN($BI$2:$BI$252)=0,"",(BI96-MIN($BI$2:$BI$252))/(MAX($BI$2:$BI$252)-MIN($BI$2:$BI$252))*100))</x:f>
      </x:c>
      <x:c r="BK96">
        <x:f>IF(AD96="","",(AD96*2)+(AE96*1))</x:f>
      </x:c>
      <x:c r="BL96" s="10">
        <x:f>IF(BK96="","",IF(MAX($BK$2:$BK$252)-MIN($BK$2:$BK$252)=0,"",(BK96-MIN($BK$2:$BK$252))/(MAX($BK$2:$BK$252)-MIN($BK$2:$BK$252))*100))</x:f>
      </x:c>
      <x:c r="BM96" s="10">
        <x:f>IF(AB96="","",IF(MAX($AB$2:$AB$252)-MIN($AB$2:$AB$252)=0,"",(AB96-MIN($AB$2:$AB$252))/(MAX($AB$2:$AB$252)-MIN($AB$2:$AB$252))*100))</x:f>
      </x:c>
      <x:c r="BN96" s="10">
        <x:f>IF(X96="","",X96)</x:f>
      </x:c>
      <x:c r="BO96" s="10">
        <x:f>IF(X96="","",100-X96)</x:f>
      </x:c>
      <x:c r="BP96" s="10">
        <x:f>IF((Weights!$C$2*IF(BH96="",0,1)+Weights!$C$3*IF(BJ96="",0,1)+Weights!$C$4*IF(BL96="",0,1))=0,"",(Weights!$C$2*IF(BH96="",0,BH96)+Weights!$C$3*IF(BJ96="",0,BJ96)+Weights!$C$4*IF(BL96="",0,BL96))/(Weights!$C$2*IF(BH96="",0,1)+Weights!$C$3*IF(BJ96="",0,1)+Weights!$C$4*IF(BL96="",0,1)))</x:f>
      </x:c>
      <x:c r="BQ96" s="10">
        <x:f>IF((Weights!$C$5*IF(BA96="",0,1)+Weights!$C$6*IF(AW96="",0,1)+Weights!$C$7*IF(AU96="",0,1))=0,"",(Weights!$C$5*IF(BA96="",0,BA96)+Weights!$C$6*IF(AW96="",0,AW96)+Weights!$C$7*IF(AU96="",0,AU96))/(Weights!$C$5*IF(BA96="",0,1)+Weights!$C$6*IF(AW96="",0,1)+Weights!$C$7*IF(AU96="",0,1)))</x:f>
      </x:c>
      <x:c r="BR96" s="10">
        <x:f>IF((Weights!$C$8*IF(AW96="",0,1)+Weights!$C$9*IF(BC96="",0,1)+Weights!$C$10*IF(BF96="",0,1))=0,"",(Weights!$C$8*IF(AW96="",0,AW96)+Weights!$C$9*IF(BC96="",0,BC96)+Weights!$C$10*IF(BF96="",0,BF96))/(Weights!$C$8*IF(AW96="",0,1)+Weights!$C$9*IF(BC96="",0,1)+Weights!$C$10*IF(BF96="",0,1)))</x:f>
      </x:c>
      <x:c r="BS96" s="10">
        <x:f>IF(Y96="","",Y96)</x:f>
      </x:c>
      <x:c r="BT96" s="10">
        <x:f>IF(AS96="","",AS96)</x:f>
      </x:c>
      <x:c r="BU96" s="10">
        <x:f>IF(AJ96&lt;&gt;"",(0.6*AJ96+0.4*AU96),IF((Weights!$C$11*IF(AU96="",0,1)+Weights!$C$12*IF(BM96="",0,1))=0,"",(Weights!$C$11*IF(AU96="",0,AU96)+Weights!$C$12*IF(BM96="",0,BM96))/(Weights!$C$11*IF(AU96="",0,1)+Weights!$C$12*IF(BM96="",0,1))))</x:f>
      </x:c>
      <x:c r="BV96" s="10">
        <x:f>IF(CG96="",0,CG96)</x:f>
      </x:c>
      <x:c r="BW96" s="10">
        <x:f>IF(AP96="","",AP96)</x:f>
      </x:c>
      <x:c r="BX96" s="10">
        <x:f>IF(AO96="","",AO96)</x:f>
      </x:c>
      <x:c r="BY96" s="10">
        <x:f>IF(AL96="","",AL96)</x:f>
      </x:c>
      <x:c r="BZ96" s="10">
        <x:f>IF(AM96="","",AM96)</x:f>
      </x:c>
      <x:c r="CA96" s="10">
        <x:f>IF(AK96&lt;&gt;"",AK96,AW96)</x:f>
      </x:c>
      <x:c r="CB96" s="10">
        <x:f>IF((Weights!$C$13*IF(BP96="",0,1)+Weights!$C$14*IF(BR96="",0,1)+Weights!$C$15*IF(BQ96="",0,1)+Weights!$C$16*IF(BS96="",0,1)+Weights!$C$17*IF(BU96="",0,1)+Weights!$C$18*IF(BT96="",0,1)+Weights!$C$19*IF(BW96="",0,1)+Weights!$C$20*IF(BZ96="",0,1)+Weights!$C$21*IF(BO96="",0,1)+Weights!$C$22)=0,"",(Weights!$C$13*IF(BP96="",0,BP96)+Weights!$C$14*IF(BR96="",0,BR96)+Weights!$C$15*IF(BQ96="",0,BQ96)+Weights!$C$16*IF(BS96="",0,BS96)+Weights!$C$17*IF(BU96="",0,BU96)+Weights!$C$18*IF(BT96="",0,BT96)+Weights!$C$19*IF(BW96="",0,BW96)+Weights!$C$20*IF(BZ96="",0,BZ96)+Weights!$C$21*IF(BO96="",0,BO96)+Weights!$C$22*BV96)/(Weights!$C$13*IF(BP96="",0,1)+Weights!$C$14*IF(BR96="",0,1)+Weights!$C$15*IF(BQ96="",0,1)+Weights!$C$16*IF(BS96="",0,1)+Weights!$C$17*IF(BU96="",0,1)+Weights!$C$18*IF(BT96="",0,1)+Weights!$C$19*IF(BW96="",0,1)+Weights!$C$20*IF(BZ96="",0,1)+Weights!$C$21*IF(BO96="",0,1)+Weights!$C$22))</x:f>
      </x:c>
      <x:c r="CC96" s="10">
        <x:f>IF((Weights!$C$23*IF(BQ96="",0,1)+Weights!$C$24*IF(BN96="",0,1)+Weights!$C$25*IF(BS96="",0,1)+Weights!$C$26*IF(BY96="",0,1)+Weights!$C$27*IF(BX96="",0,1)+Weights!$C$28*IF(BT96="",0,1)+Weights!$C$29*IF(CA96="",0,1)+Weights!$C$30+Weights!$C$31*IF(BU96="",0,1))=0,"",(Weights!$C$23*IF(BQ96="",0,BQ96)+Weights!$C$24*IF(BN96="",0,BN96)+Weights!$C$25*IF(BS96="",0,BS96)+Weights!$C$26*IF(BY96="",0,BY96)+Weights!$C$27*IF(BX96="",0,BX96)+Weights!$C$28*IF(BT96="",0,BT96)+Weights!$C$29*IF(CA96="",0,CA96)+Weights!$C$30*BV96+Weights!$C$31*IF(BU96="",0,BU96))/(Weights!$C$23*IF(BQ96="",0,1)+Weights!$C$24*IF(BN96="",0,1)+Weights!$C$25*IF(BS96="",0,1)+Weights!$C$26*IF(BY96="",0,1)+Weights!$C$27*IF(BX96="",0,1)+Weights!$C$28*IF(BT96="",0,1)+Weights!$C$29*IF(CA96="",0,1)+Weights!$C$30+Weights!$C$31*IF(BU96="",0,1)))</x:f>
      </x:c>
      <x:c r="CD96" s="10">
        <x:f>IF(AND(CB96="",CC96=""),"",IF(CB96="",CC96,IF(CC96="",CB96,AVERAGE(CB96,CC96))))</x:f>
      </x:c>
      <x:c r="CE96" s="7">
        <x:f>ROUND(100*((IF(BP96&lt;&gt;"",1,0)+IF(BQ96&lt;&gt;"",1,0)+IF(BR96&lt;&gt;"",1,0)+IF(BS96&lt;&gt;"",1,0)+IF(BU96&lt;&gt;"",1,0)+IF(BT96&lt;&gt;"",1,0)+IF(BN96&lt;&gt;"",1,0)+IF(AW96&lt;&gt;"",1,0))/8),0)</x:f>
      </x:c>
      <x:c r="CF96">
        <x:f>IF(V96="","",LOG10(V96+1))</x:f>
      </x:c>
      <x:c r="CG96">
        <x:f>IF(CF96="","",IF(MAX($CF$2:$CF$252)-MIN($CF$2:$CF$252)=0,"",(CF96-MIN($CF$2:$CF$252))/(MAX($CF$2:$CF$252)-MIN($CF$2:$CF$252))*100))</x:f>
      </x:c>
    </x:row>
    <x:row r="97">
      <x:c r="A97" t="inlineStr">
        <x:is>
          <x:t xml:space="preserve">LBY</x:t>
        </x:is>
      </x:c>
      <x:c r="B97" t="inlineStr">
        <x:is>
          <x:t xml:space="preserve">Libya</x:t>
        </x:is>
      </x:c>
      <x:c r="C97" t="inlineStr">
        <x:is>
          <x:t xml:space="preserve">Middle East &amp; North Africa</x:t>
        </x:is>
      </x:c>
      <x:c r="D97" t="inlineStr">
        <x:is>
          <x:t xml:space="preserve">Upper middle income</x:t>
        </x:is>
      </x:c>
      <x:c r="E97" t="inlineStr">
        <x:is>
          <x:t xml:space="preserve">Africa</x:t>
        </x:is>
      </x:c>
      <x:c r="F97" t="n">
        <x:v>2024</x:v>
      </x:c>
      <x:c r="G97" t="n">
        <x:v>7381023</x:v>
      </x:c>
      <x:c r="H97" t="n">
        <x:v>2020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2023</x:v>
      </x:c>
      <x:c r="N97" s="8" t="n">
        <x:v>1573682777.31469</x:v>
      </x:c>
      <x:c r="O97" s="9" t="n">
        <x:v>5.28705130951195</x:v>
      </x:c>
      <x:c r="P97" s="8" t="n"/>
      <x:c r="Q97" t="n">
        <x:v>2024</x:v>
      </x:c>
      <x:c r="R97" s="8" t="n">
        <x:v>48487151215.345</x:v>
      </x:c>
      <x:c r="S97" t="n">
        <x:v>0</x:v>
      </x:c>
      <x:c r="T97" t="n">
        <x:v>0</x:v>
      </x:c>
      <x:c r="U97" t="inlineStr">
        <x:is>
          <x:t xml:space="preserve">No</x:t>
        </x:is>
      </x:c>
      <x:c r="W97" t="inlineStr">
        <x:is>
          <x:t xml:space="preserve">No</x:t>
        </x:is>
      </x:c>
      <x:c r="X97" t="n">
        <x:v>9.966430001145879</x:v>
      </x:c>
      <x:c r="Y97" t="n">
        <x:v>42.23111912156452</x:v>
      </x:c>
      <x:c r="Z97" t="n">
        <x:v>1633720.717372596</x:v>
      </x:c>
      <x:c r="AA97" t="n">
        <x:v>4.072428003912391</x:v>
      </x:c>
      <x:c r="AB97" s="8" t="n">
        <x:v>13661.07487964456</x:v>
      </x:c>
      <x:c r="AC97" t="n">
        <x:v>7</x:v>
      </x:c>
      <x:c r="AD97" t="n">
        <x:v>0</x:v>
      </x:c>
      <x:c r="AE97" t="n">
        <x:v>0</x:v>
      </x:c>
      <x:c r="AR97">
        <x:f>IF(G97="","",LOG10(G97+1))</x:f>
      </x:c>
      <x:c r="AS97" s="10">
        <x:f>IF(AR97="","",IF(MAX($AR$2:$AR$252)-MIN($AR$2:$AR$252)=0,"",(AR97-MIN($AR$2:$AR$252))/(MAX($AR$2:$AR$252)-MIN($AR$2:$AR$252))*100))</x:f>
      </x:c>
      <x:c r="AT97">
        <x:f>IF(R97="","",LOG10(R97+1))</x:f>
      </x:c>
      <x:c r="AU97" s="10">
        <x:f>IF(AT97="","",IF(MAX($AT$2:$AT$252)-MIN($AT$2:$AT$252)=0,"",(AT97-MIN($AT$2:$AT$252))/(MAX($AT$2:$AT$252)-MIN($AT$2:$AT$252))*100))</x:f>
      </x:c>
      <x:c r="AV97">
        <x:f>IF(N97="","",LOG10(N97+1))</x:f>
      </x:c>
      <x:c r="AW97" s="10">
        <x:f>IF(AV97="","",IF(MAX($AV$2:$AV$252)-MIN($AV$2:$AV$252)=0,"",(AV97-MIN($AV$2:$AV$252))/(MAX($AV$2:$AV$252)-MIN($AV$2:$AV$252))*100))</x:f>
      </x:c>
      <x:c r="AX97">
        <x:f>IF(I97="","",LOG10(I97+1))</x:f>
      </x:c>
      <x:c r="AY97" s="10">
        <x:f>IF(AX97="","",IF(MAX($AX$2:$AX$252)-MIN($AX$2:$AX$252)=0,"",(AX97-MIN($AX$2:$AX$252))/(MAX($AX$2:$AX$252)-MIN($AX$2:$AX$252))*100))</x:f>
      </x:c>
      <x:c r="AZ97">
        <x:f>IF(J97="","",LOG10(J97+1))</x:f>
      </x:c>
      <x:c r="BA97" s="10">
        <x:f>IF(AZ97="","",IF(MAX($AZ$2:$AZ$252)-MIN($AZ$2:$AZ$252)=0,"",(AZ97-MIN($AZ$2:$AZ$252))/(MAX($AZ$2:$AZ$252)-MIN($AZ$2:$AZ$252))*100))</x:f>
      </x:c>
      <x:c r="BB97">
        <x:f>IF(K97="","",LOG10(K97+1))</x:f>
      </x:c>
      <x:c r="BC97" s="10">
        <x:f>IF(BB97="","",IF(MAX($BB$2:$BB$252)-MIN($BB$2:$BB$252)=0,"",(BB97-MIN($BB$2:$BB$252))/(MAX($BB$2:$BB$252)-MIN($BB$2:$BB$252))*100))</x:f>
      </x:c>
      <x:c r="BD97">
        <x:f>IF(L97="","",LOG10(L97+1))</x:f>
      </x:c>
      <x:c r="BE97" s="10">
        <x:f>IF(BD97="","",IF(MAX($BD$2:$BD$252)-MIN($BD$2:$BD$252)=0,"",(BD97-MIN($BD$2:$BD$252))/(MAX($BD$2:$BD$252)-MIN($BD$2:$BD$252))*100))</x:f>
      </x:c>
      <x:c r="BF97" s="10">
        <x:f>IF(P97="","",IF(MAX($P$2:$P$252)-MIN($P$2:$P$252)=0,"",(P97-MIN($P$2:$P$252))/(MAX($P$2:$P$252)-MIN($P$2:$P$252))*100))</x:f>
      </x:c>
      <x:c r="BG97">
        <x:f>IF(AF97="","",LOG10(AF97+1))</x:f>
      </x:c>
      <x:c r="BH97" s="10">
        <x:f>IF(BG97="","",IF(MAX($BG$2:$BG$252)-MIN($BG$2:$BG$252)=0,"",(BG97-MIN($BG$2:$BG$252))/(MAX($BG$2:$BG$252)-MIN($BG$2:$BG$252))*100))</x:f>
      </x:c>
      <x:c r="BI97">
        <x:f>IF(AC97="","",LOG10(AC97+1))</x:f>
      </x:c>
      <x:c r="BJ97" s="10">
        <x:f>IF(BI97="","",IF(MAX($BI$2:$BI$252)-MIN($BI$2:$BI$252)=0,"",(BI97-MIN($BI$2:$BI$252))/(MAX($BI$2:$BI$252)-MIN($BI$2:$BI$252))*100))</x:f>
      </x:c>
      <x:c r="BK97">
        <x:f>IF(AD97="","",(AD97*2)+(AE97*1))</x:f>
      </x:c>
      <x:c r="BL97" s="10">
        <x:f>IF(BK97="","",IF(MAX($BK$2:$BK$252)-MIN($BK$2:$BK$252)=0,"",(BK97-MIN($BK$2:$BK$252))/(MAX($BK$2:$BK$252)-MIN($BK$2:$BK$252))*100))</x:f>
      </x:c>
      <x:c r="BM97" s="10">
        <x:f>IF(AB97="","",IF(MAX($AB$2:$AB$252)-MIN($AB$2:$AB$252)=0,"",(AB97-MIN($AB$2:$AB$252))/(MAX($AB$2:$AB$252)-MIN($AB$2:$AB$252))*100))</x:f>
      </x:c>
      <x:c r="BN97" s="10">
        <x:f>IF(X97="","",X97)</x:f>
      </x:c>
      <x:c r="BO97" s="10">
        <x:f>IF(X97="","",100-X97)</x:f>
      </x:c>
      <x:c r="BP97" s="10">
        <x:f>IF((Weights!$C$2*IF(BH97="",0,1)+Weights!$C$3*IF(BJ97="",0,1)+Weights!$C$4*IF(BL97="",0,1))=0,"",(Weights!$C$2*IF(BH97="",0,BH97)+Weights!$C$3*IF(BJ97="",0,BJ97)+Weights!$C$4*IF(BL97="",0,BL97))/(Weights!$C$2*IF(BH97="",0,1)+Weights!$C$3*IF(BJ97="",0,1)+Weights!$C$4*IF(BL97="",0,1)))</x:f>
      </x:c>
      <x:c r="BQ97" s="10">
        <x:f>IF((Weights!$C$5*IF(BA97="",0,1)+Weights!$C$6*IF(AW97="",0,1)+Weights!$C$7*IF(AU97="",0,1))=0,"",(Weights!$C$5*IF(BA97="",0,BA97)+Weights!$C$6*IF(AW97="",0,AW97)+Weights!$C$7*IF(AU97="",0,AU97))/(Weights!$C$5*IF(BA97="",0,1)+Weights!$C$6*IF(AW97="",0,1)+Weights!$C$7*IF(AU97="",0,1)))</x:f>
      </x:c>
      <x:c r="BR97" s="10">
        <x:f>IF((Weights!$C$8*IF(AW97="",0,1)+Weights!$C$9*IF(BC97="",0,1)+Weights!$C$10*IF(BF97="",0,1))=0,"",(Weights!$C$8*IF(AW97="",0,AW97)+Weights!$C$9*IF(BC97="",0,BC97)+Weights!$C$10*IF(BF97="",0,BF97))/(Weights!$C$8*IF(AW97="",0,1)+Weights!$C$9*IF(BC97="",0,1)+Weights!$C$10*IF(BF97="",0,1)))</x:f>
      </x:c>
      <x:c r="BS97" s="10">
        <x:f>IF(Y97="","",Y97)</x:f>
      </x:c>
      <x:c r="BT97" s="10">
        <x:f>IF(AS97="","",AS97)</x:f>
      </x:c>
      <x:c r="BU97" s="10">
        <x:f>IF(AJ97&lt;&gt;"",(0.6*AJ97+0.4*AU97),IF((Weights!$C$11*IF(AU97="",0,1)+Weights!$C$12*IF(BM97="",0,1))=0,"",(Weights!$C$11*IF(AU97="",0,AU97)+Weights!$C$12*IF(BM97="",0,BM97))/(Weights!$C$11*IF(AU97="",0,1)+Weights!$C$12*IF(BM97="",0,1))))</x:f>
      </x:c>
      <x:c r="BV97" s="10">
        <x:f>IF(CG97="",0,CG97)</x:f>
      </x:c>
      <x:c r="BW97" s="10">
        <x:f>IF(AP97="","",AP97)</x:f>
      </x:c>
      <x:c r="BX97" s="10">
        <x:f>IF(AO97="","",AO97)</x:f>
      </x:c>
      <x:c r="BY97" s="10">
        <x:f>IF(AL97="","",AL97)</x:f>
      </x:c>
      <x:c r="BZ97" s="10">
        <x:f>IF(AM97="","",AM97)</x:f>
      </x:c>
      <x:c r="CA97" s="10">
        <x:f>IF(AK97&lt;&gt;"",AK97,AW97)</x:f>
      </x:c>
      <x:c r="CB97" s="10">
        <x:f>IF((Weights!$C$13*IF(BP97="",0,1)+Weights!$C$14*IF(BR97="",0,1)+Weights!$C$15*IF(BQ97="",0,1)+Weights!$C$16*IF(BS97="",0,1)+Weights!$C$17*IF(BU97="",0,1)+Weights!$C$18*IF(BT97="",0,1)+Weights!$C$19*IF(BW97="",0,1)+Weights!$C$20*IF(BZ97="",0,1)+Weights!$C$21*IF(BO97="",0,1)+Weights!$C$22)=0,"",(Weights!$C$13*IF(BP97="",0,BP97)+Weights!$C$14*IF(BR97="",0,BR97)+Weights!$C$15*IF(BQ97="",0,BQ97)+Weights!$C$16*IF(BS97="",0,BS97)+Weights!$C$17*IF(BU97="",0,BU97)+Weights!$C$18*IF(BT97="",0,BT97)+Weights!$C$19*IF(BW97="",0,BW97)+Weights!$C$20*IF(BZ97="",0,BZ97)+Weights!$C$21*IF(BO97="",0,BO97)+Weights!$C$22*BV97)/(Weights!$C$13*IF(BP97="",0,1)+Weights!$C$14*IF(BR97="",0,1)+Weights!$C$15*IF(BQ97="",0,1)+Weights!$C$16*IF(BS97="",0,1)+Weights!$C$17*IF(BU97="",0,1)+Weights!$C$18*IF(BT97="",0,1)+Weights!$C$19*IF(BW97="",0,1)+Weights!$C$20*IF(BZ97="",0,1)+Weights!$C$21*IF(BO97="",0,1)+Weights!$C$22))</x:f>
      </x:c>
      <x:c r="CC97" s="10">
        <x:f>IF((Weights!$C$23*IF(BQ97="",0,1)+Weights!$C$24*IF(BN97="",0,1)+Weights!$C$25*IF(BS97="",0,1)+Weights!$C$26*IF(BY97="",0,1)+Weights!$C$27*IF(BX97="",0,1)+Weights!$C$28*IF(BT97="",0,1)+Weights!$C$29*IF(CA97="",0,1)+Weights!$C$30+Weights!$C$31*IF(BU97="",0,1))=0,"",(Weights!$C$23*IF(BQ97="",0,BQ97)+Weights!$C$24*IF(BN97="",0,BN97)+Weights!$C$25*IF(BS97="",0,BS97)+Weights!$C$26*IF(BY97="",0,BY97)+Weights!$C$27*IF(BX97="",0,BX97)+Weights!$C$28*IF(BT97="",0,BT97)+Weights!$C$29*IF(CA97="",0,CA97)+Weights!$C$30*BV97+Weights!$C$31*IF(BU97="",0,BU97))/(Weights!$C$23*IF(BQ97="",0,1)+Weights!$C$24*IF(BN97="",0,1)+Weights!$C$25*IF(BS97="",0,1)+Weights!$C$26*IF(BY97="",0,1)+Weights!$C$27*IF(BX97="",0,1)+Weights!$C$28*IF(BT97="",0,1)+Weights!$C$29*IF(CA97="",0,1)+Weights!$C$30+Weights!$C$31*IF(BU97="",0,1)))</x:f>
      </x:c>
      <x:c r="CD97" s="10">
        <x:f>IF(AND(CB97="",CC97=""),"",IF(CB97="",CC97,IF(CC97="",CB97,AVERAGE(CB97,CC97))))</x:f>
      </x:c>
      <x:c r="CE97" s="7">
        <x:f>ROUND(100*((IF(BP97&lt;&gt;"",1,0)+IF(BQ97&lt;&gt;"",1,0)+IF(BR97&lt;&gt;"",1,0)+IF(BS97&lt;&gt;"",1,0)+IF(BU97&lt;&gt;"",1,0)+IF(BT97&lt;&gt;"",1,0)+IF(BN97&lt;&gt;"",1,0)+IF(AW97&lt;&gt;"",1,0))/8),0)</x:f>
      </x:c>
      <x:c r="CF97">
        <x:f>IF(V97="","",LOG10(V97+1))</x:f>
      </x:c>
      <x:c r="CG97">
        <x:f>IF(CF97="","",IF(MAX($CF$2:$CF$252)-MIN($CF$2:$CF$252)=0,"",(CF97-MIN($CF$2:$CF$252))/(MAX($CF$2:$CF$252)-MIN($CF$2:$CF$252))*100))</x:f>
      </x:c>
    </x:row>
    <x:row r="98">
      <x:c r="A98" t="inlineStr">
        <x:is>
          <x:t xml:space="preserve">MAC</x:t>
        </x:is>
      </x:c>
      <x:c r="B98" t="inlineStr">
        <x:is>
          <x:t xml:space="preserve">Macao SAR, China</x:t>
        </x:is>
      </x:c>
      <x:c r="C98" t="inlineStr">
        <x:is>
          <x:t xml:space="preserve">East Asia &amp; Pacific</x:t>
        </x:is>
      </x:c>
      <x:c r="D98" t="inlineStr">
        <x:is>
          <x:t xml:space="preserve">High income</x:t>
        </x:is>
      </x:c>
      <x:c r="F98" t="n">
        <x:v>2024</x:v>
      </x:c>
      <x:c r="G98" t="n">
        <x:v>687000</x:v>
      </x:c>
      <x:c r="N98" s="8" t="n"/>
      <x:c r="O98" s="9" t="n"/>
      <x:c r="P98" s="8" t="n"/>
      <x:c r="Q98" t="n">
        <x:v>2024</x:v>
      </x:c>
      <x:c r="R98" s="8" t="n">
        <x:v>49467258923.3244</x:v>
      </x:c>
      <x:c r="S98" t="n">
        <x:v>0</x:v>
      </x:c>
      <x:c r="T98" t="n">
        <x:v>0</x:v>
      </x:c>
      <x:c r="U98" t="inlineStr">
        <x:is>
          <x:t xml:space="preserve">No</x:t>
        </x:is>
      </x:c>
      <x:c r="W98" t="inlineStr">
        <x:is>
          <x:t xml:space="preserve">No</x:t>
        </x:is>
      </x:c>
      <x:c r="AB98" s="8" t="n"/>
      <x:c r="AR98">
        <x:f>IF(G98="","",LOG10(G98+1))</x:f>
      </x:c>
      <x:c r="AS98" s="10">
        <x:f>IF(AR98="","",IF(MAX($AR$2:$AR$252)-MIN($AR$2:$AR$252)=0,"",(AR98-MIN($AR$2:$AR$252))/(MAX($AR$2:$AR$252)-MIN($AR$2:$AR$252))*100))</x:f>
      </x:c>
      <x:c r="AT98">
        <x:f>IF(R98="","",LOG10(R98+1))</x:f>
      </x:c>
      <x:c r="AU98" s="10">
        <x:f>IF(AT98="","",IF(MAX($AT$2:$AT$252)-MIN($AT$2:$AT$252)=0,"",(AT98-MIN($AT$2:$AT$252))/(MAX($AT$2:$AT$252)-MIN($AT$2:$AT$252))*100))</x:f>
      </x:c>
      <x:c r="AV98">
        <x:f>IF(N98="","",LOG10(N98+1))</x:f>
      </x:c>
      <x:c r="AW98" s="10">
        <x:f>IF(AV98="","",IF(MAX($AV$2:$AV$252)-MIN($AV$2:$AV$252)=0,"",(AV98-MIN($AV$2:$AV$252))/(MAX($AV$2:$AV$252)-MIN($AV$2:$AV$252))*100))</x:f>
      </x:c>
      <x:c r="AX98">
        <x:f>IF(I98="","",LOG10(I98+1))</x:f>
      </x:c>
      <x:c r="AY98" s="10">
        <x:f>IF(AX98="","",IF(MAX($AX$2:$AX$252)-MIN($AX$2:$AX$252)=0,"",(AX98-MIN($AX$2:$AX$252))/(MAX($AX$2:$AX$252)-MIN($AX$2:$AX$252))*100))</x:f>
      </x:c>
      <x:c r="AZ98">
        <x:f>IF(J98="","",LOG10(J98+1))</x:f>
      </x:c>
      <x:c r="BA98" s="10">
        <x:f>IF(AZ98="","",IF(MAX($AZ$2:$AZ$252)-MIN($AZ$2:$AZ$252)=0,"",(AZ98-MIN($AZ$2:$AZ$252))/(MAX($AZ$2:$AZ$252)-MIN($AZ$2:$AZ$252))*100))</x:f>
      </x:c>
      <x:c r="BB98">
        <x:f>IF(K98="","",LOG10(K98+1))</x:f>
      </x:c>
      <x:c r="BC98" s="10">
        <x:f>IF(BB98="","",IF(MAX($BB$2:$BB$252)-MIN($BB$2:$BB$252)=0,"",(BB98-MIN($BB$2:$BB$252))/(MAX($BB$2:$BB$252)-MIN($BB$2:$BB$252))*100))</x:f>
      </x:c>
      <x:c r="BD98">
        <x:f>IF(L98="","",LOG10(L98+1))</x:f>
      </x:c>
      <x:c r="BE98" s="10">
        <x:f>IF(BD98="","",IF(MAX($BD$2:$BD$252)-MIN($BD$2:$BD$252)=0,"",(BD98-MIN($BD$2:$BD$252))/(MAX($BD$2:$BD$252)-MIN($BD$2:$BD$252))*100))</x:f>
      </x:c>
      <x:c r="BF98" s="10">
        <x:f>IF(P98="","",IF(MAX($P$2:$P$252)-MIN($P$2:$P$252)=0,"",(P98-MIN($P$2:$P$252))/(MAX($P$2:$P$252)-MIN($P$2:$P$252))*100))</x:f>
      </x:c>
      <x:c r="BG98">
        <x:f>IF(AF98="","",LOG10(AF98+1))</x:f>
      </x:c>
      <x:c r="BH98" s="10">
        <x:f>IF(BG98="","",IF(MAX($BG$2:$BG$252)-MIN($BG$2:$BG$252)=0,"",(BG98-MIN($BG$2:$BG$252))/(MAX($BG$2:$BG$252)-MIN($BG$2:$BG$252))*100))</x:f>
      </x:c>
      <x:c r="BI98">
        <x:f>IF(AC98="","",LOG10(AC98+1))</x:f>
      </x:c>
      <x:c r="BJ98" s="10">
        <x:f>IF(BI98="","",IF(MAX($BI$2:$BI$252)-MIN($BI$2:$BI$252)=0,"",(BI98-MIN($BI$2:$BI$252))/(MAX($BI$2:$BI$252)-MIN($BI$2:$BI$252))*100))</x:f>
      </x:c>
      <x:c r="BK98">
        <x:f>IF(AD98="","",(AD98*2)+(AE98*1))</x:f>
      </x:c>
      <x:c r="BL98" s="10">
        <x:f>IF(BK98="","",IF(MAX($BK$2:$BK$252)-MIN($BK$2:$BK$252)=0,"",(BK98-MIN($BK$2:$BK$252))/(MAX($BK$2:$BK$252)-MIN($BK$2:$BK$252))*100))</x:f>
      </x:c>
      <x:c r="BM98" s="10">
        <x:f>IF(AB98="","",IF(MAX($AB$2:$AB$252)-MIN($AB$2:$AB$252)=0,"",(AB98-MIN($AB$2:$AB$252))/(MAX($AB$2:$AB$252)-MIN($AB$2:$AB$252))*100))</x:f>
      </x:c>
      <x:c r="BN98" s="10">
        <x:f>IF(X98="","",X98)</x:f>
      </x:c>
      <x:c r="BO98" s="10">
        <x:f>IF(X98="","",100-X98)</x:f>
      </x:c>
      <x:c r="BP98" s="10">
        <x:f>IF((Weights!$C$2*IF(BH98="",0,1)+Weights!$C$3*IF(BJ98="",0,1)+Weights!$C$4*IF(BL98="",0,1))=0,"",(Weights!$C$2*IF(BH98="",0,BH98)+Weights!$C$3*IF(BJ98="",0,BJ98)+Weights!$C$4*IF(BL98="",0,BL98))/(Weights!$C$2*IF(BH98="",0,1)+Weights!$C$3*IF(BJ98="",0,1)+Weights!$C$4*IF(BL98="",0,1)))</x:f>
      </x:c>
      <x:c r="BQ98" s="10">
        <x:f>IF((Weights!$C$5*IF(BA98="",0,1)+Weights!$C$6*IF(AW98="",0,1)+Weights!$C$7*IF(AU98="",0,1))=0,"",(Weights!$C$5*IF(BA98="",0,BA98)+Weights!$C$6*IF(AW98="",0,AW98)+Weights!$C$7*IF(AU98="",0,AU98))/(Weights!$C$5*IF(BA98="",0,1)+Weights!$C$6*IF(AW98="",0,1)+Weights!$C$7*IF(AU98="",0,1)))</x:f>
      </x:c>
      <x:c r="BR98" s="10">
        <x:f>IF((Weights!$C$8*IF(AW98="",0,1)+Weights!$C$9*IF(BC98="",0,1)+Weights!$C$10*IF(BF98="",0,1))=0,"",(Weights!$C$8*IF(AW98="",0,AW98)+Weights!$C$9*IF(BC98="",0,BC98)+Weights!$C$10*IF(BF98="",0,BF98))/(Weights!$C$8*IF(AW98="",0,1)+Weights!$C$9*IF(BC98="",0,1)+Weights!$C$10*IF(BF98="",0,1)))</x:f>
      </x:c>
      <x:c r="BS98" s="10">
        <x:f>IF(Y98="","",Y98)</x:f>
      </x:c>
      <x:c r="BT98" s="10">
        <x:f>IF(AS98="","",AS98)</x:f>
      </x:c>
      <x:c r="BU98" s="10">
        <x:f>IF(AJ98&lt;&gt;"",(0.6*AJ98+0.4*AU98),IF((Weights!$C$11*IF(AU98="",0,1)+Weights!$C$12*IF(BM98="",0,1))=0,"",(Weights!$C$11*IF(AU98="",0,AU98)+Weights!$C$12*IF(BM98="",0,BM98))/(Weights!$C$11*IF(AU98="",0,1)+Weights!$C$12*IF(BM98="",0,1))))</x:f>
      </x:c>
      <x:c r="BV98" s="10">
        <x:f>IF(CG98="",0,CG98)</x:f>
      </x:c>
      <x:c r="BW98" s="10">
        <x:f>IF(AP98="","",AP98)</x:f>
      </x:c>
      <x:c r="BX98" s="10">
        <x:f>IF(AO98="","",AO98)</x:f>
      </x:c>
      <x:c r="BY98" s="10">
        <x:f>IF(AL98="","",AL98)</x:f>
      </x:c>
      <x:c r="BZ98" s="10">
        <x:f>IF(AM98="","",AM98)</x:f>
      </x:c>
      <x:c r="CA98" s="10">
        <x:f>IF(AK98&lt;&gt;"",AK98,AW98)</x:f>
      </x:c>
      <x:c r="CB98" s="10">
        <x:f>IF((Weights!$C$13*IF(BP98="",0,1)+Weights!$C$14*IF(BR98="",0,1)+Weights!$C$15*IF(BQ98="",0,1)+Weights!$C$16*IF(BS98="",0,1)+Weights!$C$17*IF(BU98="",0,1)+Weights!$C$18*IF(BT98="",0,1)+Weights!$C$19*IF(BW98="",0,1)+Weights!$C$20*IF(BZ98="",0,1)+Weights!$C$21*IF(BO98="",0,1)+Weights!$C$22)=0,"",(Weights!$C$13*IF(BP98="",0,BP98)+Weights!$C$14*IF(BR98="",0,BR98)+Weights!$C$15*IF(BQ98="",0,BQ98)+Weights!$C$16*IF(BS98="",0,BS98)+Weights!$C$17*IF(BU98="",0,BU98)+Weights!$C$18*IF(BT98="",0,BT98)+Weights!$C$19*IF(BW98="",0,BW98)+Weights!$C$20*IF(BZ98="",0,BZ98)+Weights!$C$21*IF(BO98="",0,BO98)+Weights!$C$22*BV98)/(Weights!$C$13*IF(BP98="",0,1)+Weights!$C$14*IF(BR98="",0,1)+Weights!$C$15*IF(BQ98="",0,1)+Weights!$C$16*IF(BS98="",0,1)+Weights!$C$17*IF(BU98="",0,1)+Weights!$C$18*IF(BT98="",0,1)+Weights!$C$19*IF(BW98="",0,1)+Weights!$C$20*IF(BZ98="",0,1)+Weights!$C$21*IF(BO98="",0,1)+Weights!$C$22))</x:f>
      </x:c>
      <x:c r="CC98" s="10">
        <x:f>IF((Weights!$C$23*IF(BQ98="",0,1)+Weights!$C$24*IF(BN98="",0,1)+Weights!$C$25*IF(BS98="",0,1)+Weights!$C$26*IF(BY98="",0,1)+Weights!$C$27*IF(BX98="",0,1)+Weights!$C$28*IF(BT98="",0,1)+Weights!$C$29*IF(CA98="",0,1)+Weights!$C$30+Weights!$C$31*IF(BU98="",0,1))=0,"",(Weights!$C$23*IF(BQ98="",0,BQ98)+Weights!$C$24*IF(BN98="",0,BN98)+Weights!$C$25*IF(BS98="",0,BS98)+Weights!$C$26*IF(BY98="",0,BY98)+Weights!$C$27*IF(BX98="",0,BX98)+Weights!$C$28*IF(BT98="",0,BT98)+Weights!$C$29*IF(CA98="",0,CA98)+Weights!$C$30*BV98+Weights!$C$31*IF(BU98="",0,BU98))/(Weights!$C$23*IF(BQ98="",0,1)+Weights!$C$24*IF(BN98="",0,1)+Weights!$C$25*IF(BS98="",0,1)+Weights!$C$26*IF(BY98="",0,1)+Weights!$C$27*IF(BX98="",0,1)+Weights!$C$28*IF(BT98="",0,1)+Weights!$C$29*IF(CA98="",0,1)+Weights!$C$30+Weights!$C$31*IF(BU98="",0,1)))</x:f>
      </x:c>
      <x:c r="CD98" s="10">
        <x:f>IF(AND(CB98="",CC98=""),"",IF(CB98="",CC98,IF(CC98="",CB98,AVERAGE(CB98,CC98))))</x:f>
      </x:c>
      <x:c r="CE98" s="7">
        <x:f>ROUND(100*((IF(BP98&lt;&gt;"",1,0)+IF(BQ98&lt;&gt;"",1,0)+IF(BR98&lt;&gt;"",1,0)+IF(BS98&lt;&gt;"",1,0)+IF(BU98&lt;&gt;"",1,0)+IF(BT98&lt;&gt;"",1,0)+IF(BN98&lt;&gt;"",1,0)+IF(AW98&lt;&gt;"",1,0))/8),0)</x:f>
      </x:c>
      <x:c r="CF98">
        <x:f>IF(V98="","",LOG10(V98+1))</x:f>
      </x:c>
      <x:c r="CG98">
        <x:f>IF(CF98="","",IF(MAX($CF$2:$CF$252)-MIN($CF$2:$CF$252)=0,"",(CF98-MIN($CF$2:$CF$252))/(MAX($CF$2:$CF$252)-MIN($CF$2:$CF$252))*100))</x:f>
      </x:c>
    </x:row>
    <x:row r="99">
      <x:c r="A99" t="inlineStr">
        <x:is>
          <x:t xml:space="preserve">MYS</x:t>
        </x:is>
      </x:c>
      <x:c r="B99" t="inlineStr">
        <x:is>
          <x:t xml:space="preserve">Malaysia</x:t>
        </x:is>
      </x:c>
      <x:c r="C99" t="inlineStr">
        <x:is>
          <x:t xml:space="preserve">East Asia &amp; Pacific</x:t>
        </x:is>
      </x:c>
      <x:c r="D99" t="inlineStr">
        <x:is>
          <x:t xml:space="preserve">Upper middle income</x:t>
        </x:is>
      </x:c>
      <x:c r="E99" t="inlineStr">
        <x:is>
          <x:t xml:space="preserve">Asia</x:t>
        </x:is>
      </x:c>
      <x:c r="F99" t="n">
        <x:v>2024</x:v>
      </x:c>
      <x:c r="G99" t="n">
        <x:v>35557673</x:v>
      </x:c>
      <x:c r="H99" t="n">
        <x:v>2020</x:v>
      </x:c>
      <x:c r="I99" t="n">
        <x:v>136000</x:v>
      </x:c>
      <x:c r="J99" t="n">
        <x:v>88400</x:v>
      </x:c>
      <x:c r="K99" t="n">
        <x:v>27200</x:v>
      </x:c>
      <x:c r="L99" t="n">
        <x:v>16320</x:v>
      </x:c>
      <x:c r="M99" t="n">
        <x:v>2024</x:v>
      </x:c>
      <x:c r="N99" s="8" t="n">
        <x:v>4312858466.81122</x:v>
      </x:c>
      <x:c r="O99" s="9" t="n">
        <x:v>0.987556748730683</x:v>
      </x:c>
      <x:c r="P99" s="8" t="n">
        <x:v>31712.19460890603</x:v>
      </x:c>
      <x:c r="Q99" t="n">
        <x:v>2024</x:v>
      </x:c>
      <x:c r="R99" s="8" t="n">
        <x:v>422227005428.688</x:v>
      </x:c>
      <x:c r="S99" t="n">
        <x:v>4</x:v>
      </x:c>
      <x:c r="T99" t="n">
        <x:v>0</x:v>
      </x:c>
      <x:c r="U99" t="inlineStr">
        <x:is>
          <x:t xml:space="preserve">No</x:t>
        </x:is>
      </x:c>
      <x:c r="W99" t="inlineStr">
        <x:is>
          <x:t xml:space="preserve">No</x:t>
        </x:is>
      </x:c>
      <x:c r="X99" t="n">
        <x:v>44.71817361916706</x:v>
      </x:c>
      <x:c r="Y99" t="n">
        <x:v>70.78402686029801</x:v>
      </x:c>
      <x:c r="Z99" t="n">
        <x:v>338226.4865631385</x:v>
      </x:c>
      <x:c r="AA99" t="n">
        <x:v>92.78395763408601</x:v>
      </x:c>
      <x:c r="AB99" s="8" t="n">
        <x:v>27499.84768334655</x:v>
      </x:c>
      <x:c r="AC99" t="n">
        <x:v>101</x:v>
      </x:c>
      <x:c r="AD99" t="n">
        <x:v>0</x:v>
      </x:c>
      <x:c r="AE99" t="n">
        <x:v>0</x:v>
      </x:c>
      <x:c r="AF99" t="n">
        <x:v>25.7</x:v>
      </x:c>
      <x:c r="AG99" t="n">
        <x:v>45</x:v>
      </x:c>
      <x:c r="AH99" t="n">
        <x:v>32</x:v>
      </x:c>
      <x:c r="AI99" t="n">
        <x:v>20.6</x:v>
      </x:c>
      <x:c r="AJ99" t="n">
        <x:v>8.1</x:v>
      </x:c>
      <x:c r="AK99" t="n">
        <x:v>10.1</x:v>
      </x:c>
      <x:c r="AL99" t="n">
        <x:v>32.1</x:v>
      </x:c>
      <x:c r="AM99" t="n">
        <x:v>6.5</x:v>
      </x:c>
      <x:c r="AN99" t="n">
        <x:v>19.7</x:v>
      </x:c>
      <x:c r="AO99" t="n">
        <x:v>13.8</x:v>
      </x:c>
      <x:c r="AP99" t="n">
        <x:v>58.8</x:v>
      </x:c>
      <x:c r="AQ99" t="n">
        <x:v>32.9</x:v>
      </x:c>
      <x:c r="AR99">
        <x:f>IF(G99="","",LOG10(G99+1))</x:f>
      </x:c>
      <x:c r="AS99" s="10">
        <x:f>IF(AR99="","",IF(MAX($AR$2:$AR$252)-MIN($AR$2:$AR$252)=0,"",(AR99-MIN($AR$2:$AR$252))/(MAX($AR$2:$AR$252)-MIN($AR$2:$AR$252))*100))</x:f>
      </x:c>
      <x:c r="AT99">
        <x:f>IF(R99="","",LOG10(R99+1))</x:f>
      </x:c>
      <x:c r="AU99" s="10">
        <x:f>IF(AT99="","",IF(MAX($AT$2:$AT$252)-MIN($AT$2:$AT$252)=0,"",(AT99-MIN($AT$2:$AT$252))/(MAX($AT$2:$AT$252)-MIN($AT$2:$AT$252))*100))</x:f>
      </x:c>
      <x:c r="AV99">
        <x:f>IF(N99="","",LOG10(N99+1))</x:f>
      </x:c>
      <x:c r="AW99" s="10">
        <x:f>IF(AV99="","",IF(MAX($AV$2:$AV$252)-MIN($AV$2:$AV$252)=0,"",(AV99-MIN($AV$2:$AV$252))/(MAX($AV$2:$AV$252)-MIN($AV$2:$AV$252))*100))</x:f>
      </x:c>
      <x:c r="AX99">
        <x:f>IF(I99="","",LOG10(I99+1))</x:f>
      </x:c>
      <x:c r="AY99" s="10">
        <x:f>IF(AX99="","",IF(MAX($AX$2:$AX$252)-MIN($AX$2:$AX$252)=0,"",(AX99-MIN($AX$2:$AX$252))/(MAX($AX$2:$AX$252)-MIN($AX$2:$AX$252))*100))</x:f>
      </x:c>
      <x:c r="AZ99">
        <x:f>IF(J99="","",LOG10(J99+1))</x:f>
      </x:c>
      <x:c r="BA99" s="10">
        <x:f>IF(AZ99="","",IF(MAX($AZ$2:$AZ$252)-MIN($AZ$2:$AZ$252)=0,"",(AZ99-MIN($AZ$2:$AZ$252))/(MAX($AZ$2:$AZ$252)-MIN($AZ$2:$AZ$252))*100))</x:f>
      </x:c>
      <x:c r="BB99">
        <x:f>IF(K99="","",LOG10(K99+1))</x:f>
      </x:c>
      <x:c r="BC99" s="10">
        <x:f>IF(BB99="","",IF(MAX($BB$2:$BB$252)-MIN($BB$2:$BB$252)=0,"",(BB99-MIN($BB$2:$BB$252))/(MAX($BB$2:$BB$252)-MIN($BB$2:$BB$252))*100))</x:f>
      </x:c>
      <x:c r="BD99">
        <x:f>IF(L99="","",LOG10(L99+1))</x:f>
      </x:c>
      <x:c r="BE99" s="10">
        <x:f>IF(BD99="","",IF(MAX($BD$2:$BD$252)-MIN($BD$2:$BD$252)=0,"",(BD99-MIN($BD$2:$BD$252))/(MAX($BD$2:$BD$252)-MIN($BD$2:$BD$252))*100))</x:f>
      </x:c>
      <x:c r="BF99" s="10">
        <x:f>IF(P99="","",IF(MAX($P$2:$P$252)-MIN($P$2:$P$252)=0,"",(P99-MIN($P$2:$P$252))/(MAX($P$2:$P$252)-MIN($P$2:$P$252))*100))</x:f>
      </x:c>
      <x:c r="BG99">
        <x:f>IF(AF99="","",LOG10(AF99+1))</x:f>
      </x:c>
      <x:c r="BH99" s="10">
        <x:f>IF(BG99="","",IF(MAX($BG$2:$BG$252)-MIN($BG$2:$BG$252)=0,"",(BG99-MIN($BG$2:$BG$252))/(MAX($BG$2:$BG$252)-MIN($BG$2:$BG$252))*100))</x:f>
      </x:c>
      <x:c r="BI99">
        <x:f>IF(AC99="","",LOG10(AC99+1))</x:f>
      </x:c>
      <x:c r="BJ99" s="10">
        <x:f>IF(BI99="","",IF(MAX($BI$2:$BI$252)-MIN($BI$2:$BI$252)=0,"",(BI99-MIN($BI$2:$BI$252))/(MAX($BI$2:$BI$252)-MIN($BI$2:$BI$252))*100))</x:f>
      </x:c>
      <x:c r="BK99">
        <x:f>IF(AD99="","",(AD99*2)+(AE99*1))</x:f>
      </x:c>
      <x:c r="BL99" s="10">
        <x:f>IF(BK99="","",IF(MAX($BK$2:$BK$252)-MIN($BK$2:$BK$252)=0,"",(BK99-MIN($BK$2:$BK$252))/(MAX($BK$2:$BK$252)-MIN($BK$2:$BK$252))*100))</x:f>
      </x:c>
      <x:c r="BM99" s="10">
        <x:f>IF(AB99="","",IF(MAX($AB$2:$AB$252)-MIN($AB$2:$AB$252)=0,"",(AB99-MIN($AB$2:$AB$252))/(MAX($AB$2:$AB$252)-MIN($AB$2:$AB$252))*100))</x:f>
      </x:c>
      <x:c r="BN99" s="10">
        <x:f>IF(X99="","",X99)</x:f>
      </x:c>
      <x:c r="BO99" s="10">
        <x:f>IF(X99="","",100-X99)</x:f>
      </x:c>
      <x:c r="BP99" s="10">
        <x:f>IF((Weights!$C$2*IF(BH99="",0,1)+Weights!$C$3*IF(BJ99="",0,1)+Weights!$C$4*IF(BL99="",0,1))=0,"",(Weights!$C$2*IF(BH99="",0,BH99)+Weights!$C$3*IF(BJ99="",0,BJ99)+Weights!$C$4*IF(BL99="",0,BL99))/(Weights!$C$2*IF(BH99="",0,1)+Weights!$C$3*IF(BJ99="",0,1)+Weights!$C$4*IF(BL99="",0,1)))</x:f>
      </x:c>
      <x:c r="BQ99" s="10">
        <x:f>IF((Weights!$C$5*IF(BA99="",0,1)+Weights!$C$6*IF(AW99="",0,1)+Weights!$C$7*IF(AU99="",0,1))=0,"",(Weights!$C$5*IF(BA99="",0,BA99)+Weights!$C$6*IF(AW99="",0,AW99)+Weights!$C$7*IF(AU99="",0,AU99))/(Weights!$C$5*IF(BA99="",0,1)+Weights!$C$6*IF(AW99="",0,1)+Weights!$C$7*IF(AU99="",0,1)))</x:f>
      </x:c>
      <x:c r="BR99" s="10">
        <x:f>IF((Weights!$C$8*IF(AW99="",0,1)+Weights!$C$9*IF(BC99="",0,1)+Weights!$C$10*IF(BF99="",0,1))=0,"",(Weights!$C$8*IF(AW99="",0,AW99)+Weights!$C$9*IF(BC99="",0,BC99)+Weights!$C$10*IF(BF99="",0,BF99))/(Weights!$C$8*IF(AW99="",0,1)+Weights!$C$9*IF(BC99="",0,1)+Weights!$C$10*IF(BF99="",0,1)))</x:f>
      </x:c>
      <x:c r="BS99" s="10">
        <x:f>IF(Y99="","",Y99)</x:f>
      </x:c>
      <x:c r="BT99" s="10">
        <x:f>IF(AS99="","",AS99)</x:f>
      </x:c>
      <x:c r="BU99" s="10">
        <x:f>IF(AJ99&lt;&gt;"",(0.6*AJ99+0.4*AU99),IF((Weights!$C$11*IF(AU99="",0,1)+Weights!$C$12*IF(BM99="",0,1))=0,"",(Weights!$C$11*IF(AU99="",0,AU99)+Weights!$C$12*IF(BM99="",0,BM99))/(Weights!$C$11*IF(AU99="",0,1)+Weights!$C$12*IF(BM99="",0,1))))</x:f>
      </x:c>
      <x:c r="BV99" s="10">
        <x:f>IF(CG99="",0,CG99)</x:f>
      </x:c>
      <x:c r="BW99" s="10">
        <x:f>IF(AP99="","",AP99)</x:f>
      </x:c>
      <x:c r="BX99" s="10">
        <x:f>IF(AO99="","",AO99)</x:f>
      </x:c>
      <x:c r="BY99" s="10">
        <x:f>IF(AL99="","",AL99)</x:f>
      </x:c>
      <x:c r="BZ99" s="10">
        <x:f>IF(AM99="","",AM99)</x:f>
      </x:c>
      <x:c r="CA99" s="10">
        <x:f>IF(AK99&lt;&gt;"",AK99,AW99)</x:f>
      </x:c>
      <x:c r="CB99" s="10">
        <x:f>IF((Weights!$C$13*IF(BP99="",0,1)+Weights!$C$14*IF(BR99="",0,1)+Weights!$C$15*IF(BQ99="",0,1)+Weights!$C$16*IF(BS99="",0,1)+Weights!$C$17*IF(BU99="",0,1)+Weights!$C$18*IF(BT99="",0,1)+Weights!$C$19*IF(BW99="",0,1)+Weights!$C$20*IF(BZ99="",0,1)+Weights!$C$21*IF(BO99="",0,1)+Weights!$C$22)=0,"",(Weights!$C$13*IF(BP99="",0,BP99)+Weights!$C$14*IF(BR99="",0,BR99)+Weights!$C$15*IF(BQ99="",0,BQ99)+Weights!$C$16*IF(BS99="",0,BS99)+Weights!$C$17*IF(BU99="",0,BU99)+Weights!$C$18*IF(BT99="",0,BT99)+Weights!$C$19*IF(BW99="",0,BW99)+Weights!$C$20*IF(BZ99="",0,BZ99)+Weights!$C$21*IF(BO99="",0,BO99)+Weights!$C$22*BV99)/(Weights!$C$13*IF(BP99="",0,1)+Weights!$C$14*IF(BR99="",0,1)+Weights!$C$15*IF(BQ99="",0,1)+Weights!$C$16*IF(BS99="",0,1)+Weights!$C$17*IF(BU99="",0,1)+Weights!$C$18*IF(BT99="",0,1)+Weights!$C$19*IF(BW99="",0,1)+Weights!$C$20*IF(BZ99="",0,1)+Weights!$C$21*IF(BO99="",0,1)+Weights!$C$22))</x:f>
      </x:c>
      <x:c r="CC99" s="10">
        <x:f>IF((Weights!$C$23*IF(BQ99="",0,1)+Weights!$C$24*IF(BN99="",0,1)+Weights!$C$25*IF(BS99="",0,1)+Weights!$C$26*IF(BY99="",0,1)+Weights!$C$27*IF(BX99="",0,1)+Weights!$C$28*IF(BT99="",0,1)+Weights!$C$29*IF(CA99="",0,1)+Weights!$C$30+Weights!$C$31*IF(BU99="",0,1))=0,"",(Weights!$C$23*IF(BQ99="",0,BQ99)+Weights!$C$24*IF(BN99="",0,BN99)+Weights!$C$25*IF(BS99="",0,BS99)+Weights!$C$26*IF(BY99="",0,BY99)+Weights!$C$27*IF(BX99="",0,BX99)+Weights!$C$28*IF(BT99="",0,BT99)+Weights!$C$29*IF(CA99="",0,CA99)+Weights!$C$30*BV99+Weights!$C$31*IF(BU99="",0,BU99))/(Weights!$C$23*IF(BQ99="",0,1)+Weights!$C$24*IF(BN99="",0,1)+Weights!$C$25*IF(BS99="",0,1)+Weights!$C$26*IF(BY99="",0,1)+Weights!$C$27*IF(BX99="",0,1)+Weights!$C$28*IF(BT99="",0,1)+Weights!$C$29*IF(CA99="",0,1)+Weights!$C$30+Weights!$C$31*IF(BU99="",0,1)))</x:f>
      </x:c>
      <x:c r="CD99" s="10">
        <x:f>IF(AND(CB99="",CC99=""),"",IF(CB99="",CC99,IF(CC99="",CB99,AVERAGE(CB99,CC99))))</x:f>
      </x:c>
      <x:c r="CE99" s="7">
        <x:f>ROUND(100*((IF(BP99&lt;&gt;"",1,0)+IF(BQ99&lt;&gt;"",1,0)+IF(BR99&lt;&gt;"",1,0)+IF(BS99&lt;&gt;"",1,0)+IF(BU99&lt;&gt;"",1,0)+IF(BT99&lt;&gt;"",1,0)+IF(BN99&lt;&gt;"",1,0)+IF(AW99&lt;&gt;"",1,0))/8),0)</x:f>
      </x:c>
      <x:c r="CF99">
        <x:f>IF(V99="","",LOG10(V99+1))</x:f>
      </x:c>
      <x:c r="CG99">
        <x:f>IF(CF99="","",IF(MAX($CF$2:$CF$252)-MIN($CF$2:$CF$252)=0,"",(CF99-MIN($CF$2:$CF$252))/(MAX($CF$2:$CF$252)-MIN($CF$2:$CF$252))*100))</x:f>
      </x:c>
    </x:row>
    <x:row r="100">
      <x:c r="A100" t="inlineStr">
        <x:is>
          <x:t xml:space="preserve">MTQ</x:t>
        </x:is>
      </x:c>
      <x:c r="B100" t="inlineStr">
        <x:is>
          <x:t xml:space="preserve">Martinique</x:t>
        </x:is>
      </x:c>
      <x:c r="N100" s="8" t="n"/>
      <x:c r="O100" s="9" t="n"/>
      <x:c r="P100" s="8" t="n"/>
      <x:c r="R100" s="8" t="n"/>
      <x:c r="AB100" s="8" t="n"/>
      <x:c r="AR100">
        <x:f>IF(G100="","",LOG10(G100+1))</x:f>
      </x:c>
      <x:c r="AS100" s="10">
        <x:f>IF(AR100="","",IF(MAX($AR$2:$AR$252)-MIN($AR$2:$AR$252)=0,"",(AR100-MIN($AR$2:$AR$252))/(MAX($AR$2:$AR$252)-MIN($AR$2:$AR$252))*100))</x:f>
      </x:c>
      <x:c r="AT100">
        <x:f>IF(R100="","",LOG10(R100+1))</x:f>
      </x:c>
      <x:c r="AU100" s="10">
        <x:f>IF(AT100="","",IF(MAX($AT$2:$AT$252)-MIN($AT$2:$AT$252)=0,"",(AT100-MIN($AT$2:$AT$252))/(MAX($AT$2:$AT$252)-MIN($AT$2:$AT$252))*100))</x:f>
      </x:c>
      <x:c r="AV100">
        <x:f>IF(N100="","",LOG10(N100+1))</x:f>
      </x:c>
      <x:c r="AW100" s="10">
        <x:f>IF(AV100="","",IF(MAX($AV$2:$AV$252)-MIN($AV$2:$AV$252)=0,"",(AV100-MIN($AV$2:$AV$252))/(MAX($AV$2:$AV$252)-MIN($AV$2:$AV$252))*100))</x:f>
      </x:c>
      <x:c r="AX100">
        <x:f>IF(I100="","",LOG10(I100+1))</x:f>
      </x:c>
      <x:c r="AY100" s="10">
        <x:f>IF(AX100="","",IF(MAX($AX$2:$AX$252)-MIN($AX$2:$AX$252)=0,"",(AX100-MIN($AX$2:$AX$252))/(MAX($AX$2:$AX$252)-MIN($AX$2:$AX$252))*100))</x:f>
      </x:c>
      <x:c r="AZ100">
        <x:f>IF(J100="","",LOG10(J100+1))</x:f>
      </x:c>
      <x:c r="BA100" s="10">
        <x:f>IF(AZ100="","",IF(MAX($AZ$2:$AZ$252)-MIN($AZ$2:$AZ$252)=0,"",(AZ100-MIN($AZ$2:$AZ$252))/(MAX($AZ$2:$AZ$252)-MIN($AZ$2:$AZ$252))*100))</x:f>
      </x:c>
      <x:c r="BB100">
        <x:f>IF(K100="","",LOG10(K100+1))</x:f>
      </x:c>
      <x:c r="BC100" s="10">
        <x:f>IF(BB100="","",IF(MAX($BB$2:$BB$252)-MIN($BB$2:$BB$252)=0,"",(BB100-MIN($BB$2:$BB$252))/(MAX($BB$2:$BB$252)-MIN($BB$2:$BB$252))*100))</x:f>
      </x:c>
      <x:c r="BD100">
        <x:f>IF(L100="","",LOG10(L100+1))</x:f>
      </x:c>
      <x:c r="BE100" s="10">
        <x:f>IF(BD100="","",IF(MAX($BD$2:$BD$252)-MIN($BD$2:$BD$252)=0,"",(BD100-MIN($BD$2:$BD$252))/(MAX($BD$2:$BD$252)-MIN($BD$2:$BD$252))*100))</x:f>
      </x:c>
      <x:c r="BF100" s="10">
        <x:f>IF(P100="","",IF(MAX($P$2:$P$252)-MIN($P$2:$P$252)=0,"",(P100-MIN($P$2:$P$252))/(MAX($P$2:$P$252)-MIN($P$2:$P$252))*100))</x:f>
      </x:c>
      <x:c r="BG100">
        <x:f>IF(AF100="","",LOG10(AF100+1))</x:f>
      </x:c>
      <x:c r="BH100" s="10">
        <x:f>IF(BG100="","",IF(MAX($BG$2:$BG$252)-MIN($BG$2:$BG$252)=0,"",(BG100-MIN($BG$2:$BG$252))/(MAX($BG$2:$BG$252)-MIN($BG$2:$BG$252))*100))</x:f>
      </x:c>
      <x:c r="BI100">
        <x:f>IF(AC100="","",LOG10(AC100+1))</x:f>
      </x:c>
      <x:c r="BJ100" s="10">
        <x:f>IF(BI100="","",IF(MAX($BI$2:$BI$252)-MIN($BI$2:$BI$252)=0,"",(BI100-MIN($BI$2:$BI$252))/(MAX($BI$2:$BI$252)-MIN($BI$2:$BI$252))*100))</x:f>
      </x:c>
      <x:c r="BK100">
        <x:f>IF(AD100="","",(AD100*2)+(AE100*1))</x:f>
      </x:c>
      <x:c r="BL100" s="10">
        <x:f>IF(BK100="","",IF(MAX($BK$2:$BK$252)-MIN($BK$2:$BK$252)=0,"",(BK100-MIN($BK$2:$BK$252))/(MAX($BK$2:$BK$252)-MIN($BK$2:$BK$252))*100))</x:f>
      </x:c>
      <x:c r="BM100" s="10">
        <x:f>IF(AB100="","",IF(MAX($AB$2:$AB$252)-MIN($AB$2:$AB$252)=0,"",(AB100-MIN($AB$2:$AB$252))/(MAX($AB$2:$AB$252)-MIN($AB$2:$AB$252))*100))</x:f>
      </x:c>
      <x:c r="BN100" s="10">
        <x:f>IF(X100="","",X100)</x:f>
      </x:c>
      <x:c r="BO100" s="10">
        <x:f>IF(X100="","",100-X100)</x:f>
      </x:c>
      <x:c r="BP100" s="10">
        <x:f>IF((Weights!$C$2*IF(BH100="",0,1)+Weights!$C$3*IF(BJ100="",0,1)+Weights!$C$4*IF(BL100="",0,1))=0,"",(Weights!$C$2*IF(BH100="",0,BH100)+Weights!$C$3*IF(BJ100="",0,BJ100)+Weights!$C$4*IF(BL100="",0,BL100))/(Weights!$C$2*IF(BH100="",0,1)+Weights!$C$3*IF(BJ100="",0,1)+Weights!$C$4*IF(BL100="",0,1)))</x:f>
      </x:c>
      <x:c r="BQ100" s="10">
        <x:f>IF((Weights!$C$5*IF(BA100="",0,1)+Weights!$C$6*IF(AW100="",0,1)+Weights!$C$7*IF(AU100="",0,1))=0,"",(Weights!$C$5*IF(BA100="",0,BA100)+Weights!$C$6*IF(AW100="",0,AW100)+Weights!$C$7*IF(AU100="",0,AU100))/(Weights!$C$5*IF(BA100="",0,1)+Weights!$C$6*IF(AW100="",0,1)+Weights!$C$7*IF(AU100="",0,1)))</x:f>
      </x:c>
      <x:c r="BR100" s="10">
        <x:f>IF((Weights!$C$8*IF(AW100="",0,1)+Weights!$C$9*IF(BC100="",0,1)+Weights!$C$10*IF(BF100="",0,1))=0,"",(Weights!$C$8*IF(AW100="",0,AW100)+Weights!$C$9*IF(BC100="",0,BC100)+Weights!$C$10*IF(BF100="",0,BF100))/(Weights!$C$8*IF(AW100="",0,1)+Weights!$C$9*IF(BC100="",0,1)+Weights!$C$10*IF(BF100="",0,1)))</x:f>
      </x:c>
      <x:c r="BS100" s="10">
        <x:f>IF(Y100="","",Y100)</x:f>
      </x:c>
      <x:c r="BT100" s="10">
        <x:f>IF(AS100="","",AS100)</x:f>
      </x:c>
      <x:c r="BU100" s="10">
        <x:f>IF(AJ100&lt;&gt;"",(0.6*AJ100+0.4*AU100),IF((Weights!$C$11*IF(AU100="",0,1)+Weights!$C$12*IF(BM100="",0,1))=0,"",(Weights!$C$11*IF(AU100="",0,AU100)+Weights!$C$12*IF(BM100="",0,BM100))/(Weights!$C$11*IF(AU100="",0,1)+Weights!$C$12*IF(BM100="",0,1))))</x:f>
      </x:c>
      <x:c r="BV100" s="10">
        <x:f>IF(CG100="",0,CG100)</x:f>
      </x:c>
      <x:c r="BW100" s="10">
        <x:f>IF(AP100="","",AP100)</x:f>
      </x:c>
      <x:c r="BX100" s="10">
        <x:f>IF(AO100="","",AO100)</x:f>
      </x:c>
      <x:c r="BY100" s="10">
        <x:f>IF(AL100="","",AL100)</x:f>
      </x:c>
      <x:c r="BZ100" s="10">
        <x:f>IF(AM100="","",AM100)</x:f>
      </x:c>
      <x:c r="CA100" s="10">
        <x:f>IF(AK100&lt;&gt;"",AK100,AW100)</x:f>
      </x:c>
      <x:c r="CB100" s="10">
        <x:f>IF((Weights!$C$13*IF(BP100="",0,1)+Weights!$C$14*IF(BR100="",0,1)+Weights!$C$15*IF(BQ100="",0,1)+Weights!$C$16*IF(BS100="",0,1)+Weights!$C$17*IF(BU100="",0,1)+Weights!$C$18*IF(BT100="",0,1)+Weights!$C$19*IF(BW100="",0,1)+Weights!$C$20*IF(BZ100="",0,1)+Weights!$C$21*IF(BO100="",0,1)+Weights!$C$22)=0,"",(Weights!$C$13*IF(BP100="",0,BP100)+Weights!$C$14*IF(BR100="",0,BR100)+Weights!$C$15*IF(BQ100="",0,BQ100)+Weights!$C$16*IF(BS100="",0,BS100)+Weights!$C$17*IF(BU100="",0,BU100)+Weights!$C$18*IF(BT100="",0,BT100)+Weights!$C$19*IF(BW100="",0,BW100)+Weights!$C$20*IF(BZ100="",0,BZ100)+Weights!$C$21*IF(BO100="",0,BO100)+Weights!$C$22*BV100)/(Weights!$C$13*IF(BP100="",0,1)+Weights!$C$14*IF(BR100="",0,1)+Weights!$C$15*IF(BQ100="",0,1)+Weights!$C$16*IF(BS100="",0,1)+Weights!$C$17*IF(BU100="",0,1)+Weights!$C$18*IF(BT100="",0,1)+Weights!$C$19*IF(BW100="",0,1)+Weights!$C$20*IF(BZ100="",0,1)+Weights!$C$21*IF(BO100="",0,1)+Weights!$C$22))</x:f>
      </x:c>
      <x:c r="CC100" s="10">
        <x:f>IF((Weights!$C$23*IF(BQ100="",0,1)+Weights!$C$24*IF(BN100="",0,1)+Weights!$C$25*IF(BS100="",0,1)+Weights!$C$26*IF(BY100="",0,1)+Weights!$C$27*IF(BX100="",0,1)+Weights!$C$28*IF(BT100="",0,1)+Weights!$C$29*IF(CA100="",0,1)+Weights!$C$30+Weights!$C$31*IF(BU100="",0,1))=0,"",(Weights!$C$23*IF(BQ100="",0,BQ100)+Weights!$C$24*IF(BN100="",0,BN100)+Weights!$C$25*IF(BS100="",0,BS100)+Weights!$C$26*IF(BY100="",0,BY100)+Weights!$C$27*IF(BX100="",0,BX100)+Weights!$C$28*IF(BT100="",0,BT100)+Weights!$C$29*IF(CA100="",0,CA100)+Weights!$C$30*BV100+Weights!$C$31*IF(BU100="",0,BU100))/(Weights!$C$23*IF(BQ100="",0,1)+Weights!$C$24*IF(BN100="",0,1)+Weights!$C$25*IF(BS100="",0,1)+Weights!$C$26*IF(BY100="",0,1)+Weights!$C$27*IF(BX100="",0,1)+Weights!$C$28*IF(BT100="",0,1)+Weights!$C$29*IF(CA100="",0,1)+Weights!$C$30+Weights!$C$31*IF(BU100="",0,1)))</x:f>
      </x:c>
      <x:c r="CD100" s="10">
        <x:f>IF(AND(CB100="",CC100=""),"",IF(CB100="",CC100,IF(CC100="",CB100,AVERAGE(CB100,CC100))))</x:f>
      </x:c>
      <x:c r="CE100" s="7">
        <x:f>ROUND(100*((IF(BP100&lt;&gt;"",1,0)+IF(BQ100&lt;&gt;"",1,0)+IF(BR100&lt;&gt;"",1,0)+IF(BS100&lt;&gt;"",1,0)+IF(BU100&lt;&gt;"",1,0)+IF(BT100&lt;&gt;"",1,0)+IF(BN100&lt;&gt;"",1,0)+IF(AW100&lt;&gt;"",1,0))/8),0)</x:f>
      </x:c>
      <x:c r="CF100">
        <x:f>IF(V100="","",LOG10(V100+1))</x:f>
      </x:c>
      <x:c r="CG100">
        <x:f>IF(CF100="","",IF(MAX($CF$2:$CF$252)-MIN($CF$2:$CF$252)=0,"",(CF100-MIN($CF$2:$CF$252))/(MAX($CF$2:$CF$252)-MIN($CF$2:$CF$252))*100))</x:f>
      </x:c>
    </x:row>
    <x:row r="101">
      <x:c r="A101" t="inlineStr">
        <x:is>
          <x:t xml:space="preserve">MYT</x:t>
        </x:is>
      </x:c>
      <x:c r="B101" t="inlineStr">
        <x:is>
          <x:t xml:space="preserve">Mayotte</x:t>
        </x:is>
      </x:c>
      <x:c r="N101" s="8" t="n"/>
      <x:c r="O101" s="9" t="n"/>
      <x:c r="P101" s="8" t="n"/>
      <x:c r="R101" s="8" t="n"/>
      <x:c r="AB101" s="8" t="n"/>
      <x:c r="AR101">
        <x:f>IF(G101="","",LOG10(G101+1))</x:f>
      </x:c>
      <x:c r="AS101" s="10">
        <x:f>IF(AR101="","",IF(MAX($AR$2:$AR$252)-MIN($AR$2:$AR$252)=0,"",(AR101-MIN($AR$2:$AR$252))/(MAX($AR$2:$AR$252)-MIN($AR$2:$AR$252))*100))</x:f>
      </x:c>
      <x:c r="AT101">
        <x:f>IF(R101="","",LOG10(R101+1))</x:f>
      </x:c>
      <x:c r="AU101" s="10">
        <x:f>IF(AT101="","",IF(MAX($AT$2:$AT$252)-MIN($AT$2:$AT$252)=0,"",(AT101-MIN($AT$2:$AT$252))/(MAX($AT$2:$AT$252)-MIN($AT$2:$AT$252))*100))</x:f>
      </x:c>
      <x:c r="AV101">
        <x:f>IF(N101="","",LOG10(N101+1))</x:f>
      </x:c>
      <x:c r="AW101" s="10">
        <x:f>IF(AV101="","",IF(MAX($AV$2:$AV$252)-MIN($AV$2:$AV$252)=0,"",(AV101-MIN($AV$2:$AV$252))/(MAX($AV$2:$AV$252)-MIN($AV$2:$AV$252))*100))</x:f>
      </x:c>
      <x:c r="AX101">
        <x:f>IF(I101="","",LOG10(I101+1))</x:f>
      </x:c>
      <x:c r="AY101" s="10">
        <x:f>IF(AX101="","",IF(MAX($AX$2:$AX$252)-MIN($AX$2:$AX$252)=0,"",(AX101-MIN($AX$2:$AX$252))/(MAX($AX$2:$AX$252)-MIN($AX$2:$AX$252))*100))</x:f>
      </x:c>
      <x:c r="AZ101">
        <x:f>IF(J101="","",LOG10(J101+1))</x:f>
      </x:c>
      <x:c r="BA101" s="10">
        <x:f>IF(AZ101="","",IF(MAX($AZ$2:$AZ$252)-MIN($AZ$2:$AZ$252)=0,"",(AZ101-MIN($AZ$2:$AZ$252))/(MAX($AZ$2:$AZ$252)-MIN($AZ$2:$AZ$252))*100))</x:f>
      </x:c>
      <x:c r="BB101">
        <x:f>IF(K101="","",LOG10(K101+1))</x:f>
      </x:c>
      <x:c r="BC101" s="10">
        <x:f>IF(BB101="","",IF(MAX($BB$2:$BB$252)-MIN($BB$2:$BB$252)=0,"",(BB101-MIN($BB$2:$BB$252))/(MAX($BB$2:$BB$252)-MIN($BB$2:$BB$252))*100))</x:f>
      </x:c>
      <x:c r="BD101">
        <x:f>IF(L101="","",LOG10(L101+1))</x:f>
      </x:c>
      <x:c r="BE101" s="10">
        <x:f>IF(BD101="","",IF(MAX($BD$2:$BD$252)-MIN($BD$2:$BD$252)=0,"",(BD101-MIN($BD$2:$BD$252))/(MAX($BD$2:$BD$252)-MIN($BD$2:$BD$252))*100))</x:f>
      </x:c>
      <x:c r="BF101" s="10">
        <x:f>IF(P101="","",IF(MAX($P$2:$P$252)-MIN($P$2:$P$252)=0,"",(P101-MIN($P$2:$P$252))/(MAX($P$2:$P$252)-MIN($P$2:$P$252))*100))</x:f>
      </x:c>
      <x:c r="BG101">
        <x:f>IF(AF101="","",LOG10(AF101+1))</x:f>
      </x:c>
      <x:c r="BH101" s="10">
        <x:f>IF(BG101="","",IF(MAX($BG$2:$BG$252)-MIN($BG$2:$BG$252)=0,"",(BG101-MIN($BG$2:$BG$252))/(MAX($BG$2:$BG$252)-MIN($BG$2:$BG$252))*100))</x:f>
      </x:c>
      <x:c r="BI101">
        <x:f>IF(AC101="","",LOG10(AC101+1))</x:f>
      </x:c>
      <x:c r="BJ101" s="10">
        <x:f>IF(BI101="","",IF(MAX($BI$2:$BI$252)-MIN($BI$2:$BI$252)=0,"",(BI101-MIN($BI$2:$BI$252))/(MAX($BI$2:$BI$252)-MIN($BI$2:$BI$252))*100))</x:f>
      </x:c>
      <x:c r="BK101">
        <x:f>IF(AD101="","",(AD101*2)+(AE101*1))</x:f>
      </x:c>
      <x:c r="BL101" s="10">
        <x:f>IF(BK101="","",IF(MAX($BK$2:$BK$252)-MIN($BK$2:$BK$252)=0,"",(BK101-MIN($BK$2:$BK$252))/(MAX($BK$2:$BK$252)-MIN($BK$2:$BK$252))*100))</x:f>
      </x:c>
      <x:c r="BM101" s="10">
        <x:f>IF(AB101="","",IF(MAX($AB$2:$AB$252)-MIN($AB$2:$AB$252)=0,"",(AB101-MIN($AB$2:$AB$252))/(MAX($AB$2:$AB$252)-MIN($AB$2:$AB$252))*100))</x:f>
      </x:c>
      <x:c r="BN101" s="10">
        <x:f>IF(X101="","",X101)</x:f>
      </x:c>
      <x:c r="BO101" s="10">
        <x:f>IF(X101="","",100-X101)</x:f>
      </x:c>
      <x:c r="BP101" s="10">
        <x:f>IF((Weights!$C$2*IF(BH101="",0,1)+Weights!$C$3*IF(BJ101="",0,1)+Weights!$C$4*IF(BL101="",0,1))=0,"",(Weights!$C$2*IF(BH101="",0,BH101)+Weights!$C$3*IF(BJ101="",0,BJ101)+Weights!$C$4*IF(BL101="",0,BL101))/(Weights!$C$2*IF(BH101="",0,1)+Weights!$C$3*IF(BJ101="",0,1)+Weights!$C$4*IF(BL101="",0,1)))</x:f>
      </x:c>
      <x:c r="BQ101" s="10">
        <x:f>IF((Weights!$C$5*IF(BA101="",0,1)+Weights!$C$6*IF(AW101="",0,1)+Weights!$C$7*IF(AU101="",0,1))=0,"",(Weights!$C$5*IF(BA101="",0,BA101)+Weights!$C$6*IF(AW101="",0,AW101)+Weights!$C$7*IF(AU101="",0,AU101))/(Weights!$C$5*IF(BA101="",0,1)+Weights!$C$6*IF(AW101="",0,1)+Weights!$C$7*IF(AU101="",0,1)))</x:f>
      </x:c>
      <x:c r="BR101" s="10">
        <x:f>IF((Weights!$C$8*IF(AW101="",0,1)+Weights!$C$9*IF(BC101="",0,1)+Weights!$C$10*IF(BF101="",0,1))=0,"",(Weights!$C$8*IF(AW101="",0,AW101)+Weights!$C$9*IF(BC101="",0,BC101)+Weights!$C$10*IF(BF101="",0,BF101))/(Weights!$C$8*IF(AW101="",0,1)+Weights!$C$9*IF(BC101="",0,1)+Weights!$C$10*IF(BF101="",0,1)))</x:f>
      </x:c>
      <x:c r="BS101" s="10">
        <x:f>IF(Y101="","",Y101)</x:f>
      </x:c>
      <x:c r="BT101" s="10">
        <x:f>IF(AS101="","",AS101)</x:f>
      </x:c>
      <x:c r="BU101" s="10">
        <x:f>IF(AJ101&lt;&gt;"",(0.6*AJ101+0.4*AU101),IF((Weights!$C$11*IF(AU101="",0,1)+Weights!$C$12*IF(BM101="",0,1))=0,"",(Weights!$C$11*IF(AU101="",0,AU101)+Weights!$C$12*IF(BM101="",0,BM101))/(Weights!$C$11*IF(AU101="",0,1)+Weights!$C$12*IF(BM101="",0,1))))</x:f>
      </x:c>
      <x:c r="BV101" s="10">
        <x:f>IF(CG101="",0,CG101)</x:f>
      </x:c>
      <x:c r="BW101" s="10">
        <x:f>IF(AP101="","",AP101)</x:f>
      </x:c>
      <x:c r="BX101" s="10">
        <x:f>IF(AO101="","",AO101)</x:f>
      </x:c>
      <x:c r="BY101" s="10">
        <x:f>IF(AL101="","",AL101)</x:f>
      </x:c>
      <x:c r="BZ101" s="10">
        <x:f>IF(AM101="","",AM101)</x:f>
      </x:c>
      <x:c r="CA101" s="10">
        <x:f>IF(AK101&lt;&gt;"",AK101,AW101)</x:f>
      </x:c>
      <x:c r="CB101" s="10">
        <x:f>IF((Weights!$C$13*IF(BP101="",0,1)+Weights!$C$14*IF(BR101="",0,1)+Weights!$C$15*IF(BQ101="",0,1)+Weights!$C$16*IF(BS101="",0,1)+Weights!$C$17*IF(BU101="",0,1)+Weights!$C$18*IF(BT101="",0,1)+Weights!$C$19*IF(BW101="",0,1)+Weights!$C$20*IF(BZ101="",0,1)+Weights!$C$21*IF(BO101="",0,1)+Weights!$C$22)=0,"",(Weights!$C$13*IF(BP101="",0,BP101)+Weights!$C$14*IF(BR101="",0,BR101)+Weights!$C$15*IF(BQ101="",0,BQ101)+Weights!$C$16*IF(BS101="",0,BS101)+Weights!$C$17*IF(BU101="",0,BU101)+Weights!$C$18*IF(BT101="",0,BT101)+Weights!$C$19*IF(BW101="",0,BW101)+Weights!$C$20*IF(BZ101="",0,BZ101)+Weights!$C$21*IF(BO101="",0,BO101)+Weights!$C$22*BV101)/(Weights!$C$13*IF(BP101="",0,1)+Weights!$C$14*IF(BR101="",0,1)+Weights!$C$15*IF(BQ101="",0,1)+Weights!$C$16*IF(BS101="",0,1)+Weights!$C$17*IF(BU101="",0,1)+Weights!$C$18*IF(BT101="",0,1)+Weights!$C$19*IF(BW101="",0,1)+Weights!$C$20*IF(BZ101="",0,1)+Weights!$C$21*IF(BO101="",0,1)+Weights!$C$22))</x:f>
      </x:c>
      <x:c r="CC101" s="10">
        <x:f>IF((Weights!$C$23*IF(BQ101="",0,1)+Weights!$C$24*IF(BN101="",0,1)+Weights!$C$25*IF(BS101="",0,1)+Weights!$C$26*IF(BY101="",0,1)+Weights!$C$27*IF(BX101="",0,1)+Weights!$C$28*IF(BT101="",0,1)+Weights!$C$29*IF(CA101="",0,1)+Weights!$C$30+Weights!$C$31*IF(BU101="",0,1))=0,"",(Weights!$C$23*IF(BQ101="",0,BQ101)+Weights!$C$24*IF(BN101="",0,BN101)+Weights!$C$25*IF(BS101="",0,BS101)+Weights!$C$26*IF(BY101="",0,BY101)+Weights!$C$27*IF(BX101="",0,BX101)+Weights!$C$28*IF(BT101="",0,BT101)+Weights!$C$29*IF(CA101="",0,CA101)+Weights!$C$30*BV101+Weights!$C$31*IF(BU101="",0,BU101))/(Weights!$C$23*IF(BQ101="",0,1)+Weights!$C$24*IF(BN101="",0,1)+Weights!$C$25*IF(BS101="",0,1)+Weights!$C$26*IF(BY101="",0,1)+Weights!$C$27*IF(BX101="",0,1)+Weights!$C$28*IF(BT101="",0,1)+Weights!$C$29*IF(CA101="",0,1)+Weights!$C$30+Weights!$C$31*IF(BU101="",0,1)))</x:f>
      </x:c>
      <x:c r="CD101" s="10">
        <x:f>IF(AND(CB101="",CC101=""),"",IF(CB101="",CC101,IF(CC101="",CB101,AVERAGE(CB101,CC101))))</x:f>
      </x:c>
      <x:c r="CE101" s="7">
        <x:f>ROUND(100*((IF(BP101&lt;&gt;"",1,0)+IF(BQ101&lt;&gt;"",1,0)+IF(BR101&lt;&gt;"",1,0)+IF(BS101&lt;&gt;"",1,0)+IF(BU101&lt;&gt;"",1,0)+IF(BT101&lt;&gt;"",1,0)+IF(BN101&lt;&gt;"",1,0)+IF(AW101&lt;&gt;"",1,0))/8),0)</x:f>
      </x:c>
      <x:c r="CF101">
        <x:f>IF(V101="","",LOG10(V101+1))</x:f>
      </x:c>
      <x:c r="CG101">
        <x:f>IF(CF101="","",IF(MAX($CF$2:$CF$252)-MIN($CF$2:$CF$252)=0,"",(CF101-MIN($CF$2:$CF$252))/(MAX($CF$2:$CF$252)-MIN($CF$2:$CF$252))*100))</x:f>
      </x:c>
    </x:row>
    <x:row r="102">
      <x:c r="A102" t="inlineStr">
        <x:is>
          <x:t xml:space="preserve">MDA</x:t>
        </x:is>
      </x:c>
      <x:c r="B102" t="inlineStr">
        <x:is>
          <x:t xml:space="preserve">Moldova</x:t>
        </x:is>
      </x:c>
      <x:c r="C102" t="inlineStr">
        <x:is>
          <x:t xml:space="preserve">Europe &amp; Central Asia</x:t>
        </x:is>
      </x:c>
      <x:c r="D102" t="inlineStr">
        <x:is>
          <x:t xml:space="preserve">Upper middle income</x:t>
        </x:is>
      </x:c>
      <x:c r="E102" t="inlineStr">
        <x:is>
          <x:t xml:space="preserve">Europe</x:t>
        </x:is>
      </x:c>
      <x:c r="F102" t="n">
        <x:v>2024</x:v>
      </x:c>
      <x:c r="G102" t="n">
        <x:v>2402306</x:v>
      </x:c>
      <x:c r="H102" t="n">
        <x:v>2020</x:v>
      </x:c>
      <x:c r="I102" t="n">
        <x:v>6000</x:v>
      </x:c>
      <x:c r="J102" t="n">
        <x:v>3900</x:v>
      </x:c>
      <x:c r="K102" t="n">
        <x:v>1200</x:v>
      </x:c>
      <x:c r="L102" t="n">
        <x:v>720</x:v>
      </x:c>
      <x:c r="M102" t="n">
        <x:v>2024</x:v>
      </x:c>
      <x:c r="N102" s="8" t="n">
        <x:v>110725502.000124</x:v>
      </x:c>
      <x:c r="O102" s="9" t="n">
        <x:v>0.5977808384911349</x:v>
      </x:c>
      <x:c r="P102" s="8" t="n">
        <x:v>18454.250333354</x:v>
      </x:c>
      <x:c r="Q102" t="n">
        <x:v>2024</x:v>
      </x:c>
      <x:c r="R102" s="8" t="n">
        <x:v>18200340853.6517</x:v>
      </x:c>
      <x:c r="S102" t="n">
        <x:v>0</x:v>
      </x:c>
      <x:c r="T102" t="n">
        <x:v>0</x:v>
      </x:c>
      <x:c r="U102" t="inlineStr">
        <x:is>
          <x:t xml:space="preserve">No</x:t>
        </x:is>
      </x:c>
      <x:c r="W102" t="inlineStr">
        <x:is>
          <x:t xml:space="preserve">No</x:t>
        </x:is>
      </x:c>
      <x:c r="X102" t="n">
        <x:v>18.8231489271145</x:v>
      </x:c>
      <x:c r="Y102" t="n">
        <x:v>47.68857499962312</x:v>
      </x:c>
      <x:c r="Z102" t="n">
        <x:v>32320.39177383667</x:v>
      </x:c>
      <x:c r="AA102" t="n">
        <x:v>107.4900646103027</x:v>
      </x:c>
      <x:c r="AB102" s="8" t="n">
        <x:v>5336.601690039006</x:v>
      </x:c>
      <x:c r="AR102">
        <x:f>IF(G102="","",LOG10(G102+1))</x:f>
      </x:c>
      <x:c r="AS102" s="10">
        <x:f>IF(AR102="","",IF(MAX($AR$2:$AR$252)-MIN($AR$2:$AR$252)=0,"",(AR102-MIN($AR$2:$AR$252))/(MAX($AR$2:$AR$252)-MIN($AR$2:$AR$252))*100))</x:f>
      </x:c>
      <x:c r="AT102">
        <x:f>IF(R102="","",LOG10(R102+1))</x:f>
      </x:c>
      <x:c r="AU102" s="10">
        <x:f>IF(AT102="","",IF(MAX($AT$2:$AT$252)-MIN($AT$2:$AT$252)=0,"",(AT102-MIN($AT$2:$AT$252))/(MAX($AT$2:$AT$252)-MIN($AT$2:$AT$252))*100))</x:f>
      </x:c>
      <x:c r="AV102">
        <x:f>IF(N102="","",LOG10(N102+1))</x:f>
      </x:c>
      <x:c r="AW102" s="10">
        <x:f>IF(AV102="","",IF(MAX($AV$2:$AV$252)-MIN($AV$2:$AV$252)=0,"",(AV102-MIN($AV$2:$AV$252))/(MAX($AV$2:$AV$252)-MIN($AV$2:$AV$252))*100))</x:f>
      </x:c>
      <x:c r="AX102">
        <x:f>IF(I102="","",LOG10(I102+1))</x:f>
      </x:c>
      <x:c r="AY102" s="10">
        <x:f>IF(AX102="","",IF(MAX($AX$2:$AX$252)-MIN($AX$2:$AX$252)=0,"",(AX102-MIN($AX$2:$AX$252))/(MAX($AX$2:$AX$252)-MIN($AX$2:$AX$252))*100))</x:f>
      </x:c>
      <x:c r="AZ102">
        <x:f>IF(J102="","",LOG10(J102+1))</x:f>
      </x:c>
      <x:c r="BA102" s="10">
        <x:f>IF(AZ102="","",IF(MAX($AZ$2:$AZ$252)-MIN($AZ$2:$AZ$252)=0,"",(AZ102-MIN($AZ$2:$AZ$252))/(MAX($AZ$2:$AZ$252)-MIN($AZ$2:$AZ$252))*100))</x:f>
      </x:c>
      <x:c r="BB102">
        <x:f>IF(K102="","",LOG10(K102+1))</x:f>
      </x:c>
      <x:c r="BC102" s="10">
        <x:f>IF(BB102="","",IF(MAX($BB$2:$BB$252)-MIN($BB$2:$BB$252)=0,"",(BB102-MIN($BB$2:$BB$252))/(MAX($BB$2:$BB$252)-MIN($BB$2:$BB$252))*100))</x:f>
      </x:c>
      <x:c r="BD102">
        <x:f>IF(L102="","",LOG10(L102+1))</x:f>
      </x:c>
      <x:c r="BE102" s="10">
        <x:f>IF(BD102="","",IF(MAX($BD$2:$BD$252)-MIN($BD$2:$BD$252)=0,"",(BD102-MIN($BD$2:$BD$252))/(MAX($BD$2:$BD$252)-MIN($BD$2:$BD$252))*100))</x:f>
      </x:c>
      <x:c r="BF102" s="10">
        <x:f>IF(P102="","",IF(MAX($P$2:$P$252)-MIN($P$2:$P$252)=0,"",(P102-MIN($P$2:$P$252))/(MAX($P$2:$P$252)-MIN($P$2:$P$252))*100))</x:f>
      </x:c>
      <x:c r="BG102">
        <x:f>IF(AF102="","",LOG10(AF102+1))</x:f>
      </x:c>
      <x:c r="BH102" s="10">
        <x:f>IF(BG102="","",IF(MAX($BG$2:$BG$252)-MIN($BG$2:$BG$252)=0,"",(BG102-MIN($BG$2:$BG$252))/(MAX($BG$2:$BG$252)-MIN($BG$2:$BG$252))*100))</x:f>
      </x:c>
      <x:c r="BI102">
        <x:f>IF(AC102="","",LOG10(AC102+1))</x:f>
      </x:c>
      <x:c r="BJ102" s="10">
        <x:f>IF(BI102="","",IF(MAX($BI$2:$BI$252)-MIN($BI$2:$BI$252)=0,"",(BI102-MIN($BI$2:$BI$252))/(MAX($BI$2:$BI$252)-MIN($BI$2:$BI$252))*100))</x:f>
      </x:c>
      <x:c r="BK102">
        <x:f>IF(AD102="","",(AD102*2)+(AE102*1))</x:f>
      </x:c>
      <x:c r="BL102" s="10">
        <x:f>IF(BK102="","",IF(MAX($BK$2:$BK$252)-MIN($BK$2:$BK$252)=0,"",(BK102-MIN($BK$2:$BK$252))/(MAX($BK$2:$BK$252)-MIN($BK$2:$BK$252))*100))</x:f>
      </x:c>
      <x:c r="BM102" s="10">
        <x:f>IF(AB102="","",IF(MAX($AB$2:$AB$252)-MIN($AB$2:$AB$252)=0,"",(AB102-MIN($AB$2:$AB$252))/(MAX($AB$2:$AB$252)-MIN($AB$2:$AB$252))*100))</x:f>
      </x:c>
      <x:c r="BN102" s="10">
        <x:f>IF(X102="","",X102)</x:f>
      </x:c>
      <x:c r="BO102" s="10">
        <x:f>IF(X102="","",100-X102)</x:f>
      </x:c>
      <x:c r="BP102" s="10">
        <x:f>IF((Weights!$C$2*IF(BH102="",0,1)+Weights!$C$3*IF(BJ102="",0,1)+Weights!$C$4*IF(BL102="",0,1))=0,"",(Weights!$C$2*IF(BH102="",0,BH102)+Weights!$C$3*IF(BJ102="",0,BJ102)+Weights!$C$4*IF(BL102="",0,BL102))/(Weights!$C$2*IF(BH102="",0,1)+Weights!$C$3*IF(BJ102="",0,1)+Weights!$C$4*IF(BL102="",0,1)))</x:f>
      </x:c>
      <x:c r="BQ102" s="10">
        <x:f>IF((Weights!$C$5*IF(BA102="",0,1)+Weights!$C$6*IF(AW102="",0,1)+Weights!$C$7*IF(AU102="",0,1))=0,"",(Weights!$C$5*IF(BA102="",0,BA102)+Weights!$C$6*IF(AW102="",0,AW102)+Weights!$C$7*IF(AU102="",0,AU102))/(Weights!$C$5*IF(BA102="",0,1)+Weights!$C$6*IF(AW102="",0,1)+Weights!$C$7*IF(AU102="",0,1)))</x:f>
      </x:c>
      <x:c r="BR102" s="10">
        <x:f>IF((Weights!$C$8*IF(AW102="",0,1)+Weights!$C$9*IF(BC102="",0,1)+Weights!$C$10*IF(BF102="",0,1))=0,"",(Weights!$C$8*IF(AW102="",0,AW102)+Weights!$C$9*IF(BC102="",0,BC102)+Weights!$C$10*IF(BF102="",0,BF102))/(Weights!$C$8*IF(AW102="",0,1)+Weights!$C$9*IF(BC102="",0,1)+Weights!$C$10*IF(BF102="",0,1)))</x:f>
      </x:c>
      <x:c r="BS102" s="10">
        <x:f>IF(Y102="","",Y102)</x:f>
      </x:c>
      <x:c r="BT102" s="10">
        <x:f>IF(AS102="","",AS102)</x:f>
      </x:c>
      <x:c r="BU102" s="10">
        <x:f>IF(AJ102&lt;&gt;"",(0.6*AJ102+0.4*AU102),IF((Weights!$C$11*IF(AU102="",0,1)+Weights!$C$12*IF(BM102="",0,1))=0,"",(Weights!$C$11*IF(AU102="",0,AU102)+Weights!$C$12*IF(BM102="",0,BM102))/(Weights!$C$11*IF(AU102="",0,1)+Weights!$C$12*IF(BM102="",0,1))))</x:f>
      </x:c>
      <x:c r="BV102" s="10">
        <x:f>IF(CG102="",0,CG102)</x:f>
      </x:c>
      <x:c r="BW102" s="10">
        <x:f>IF(AP102="","",AP102)</x:f>
      </x:c>
      <x:c r="BX102" s="10">
        <x:f>IF(AO102="","",AO102)</x:f>
      </x:c>
      <x:c r="BY102" s="10">
        <x:f>IF(AL102="","",AL102)</x:f>
      </x:c>
      <x:c r="BZ102" s="10">
        <x:f>IF(AM102="","",AM102)</x:f>
      </x:c>
      <x:c r="CA102" s="10">
        <x:f>IF(AK102&lt;&gt;"",AK102,AW102)</x:f>
      </x:c>
      <x:c r="CB102" s="10">
        <x:f>IF((Weights!$C$13*IF(BP102="",0,1)+Weights!$C$14*IF(BR102="",0,1)+Weights!$C$15*IF(BQ102="",0,1)+Weights!$C$16*IF(BS102="",0,1)+Weights!$C$17*IF(BU102="",0,1)+Weights!$C$18*IF(BT102="",0,1)+Weights!$C$19*IF(BW102="",0,1)+Weights!$C$20*IF(BZ102="",0,1)+Weights!$C$21*IF(BO102="",0,1)+Weights!$C$22)=0,"",(Weights!$C$13*IF(BP102="",0,BP102)+Weights!$C$14*IF(BR102="",0,BR102)+Weights!$C$15*IF(BQ102="",0,BQ102)+Weights!$C$16*IF(BS102="",0,BS102)+Weights!$C$17*IF(BU102="",0,BU102)+Weights!$C$18*IF(BT102="",0,BT102)+Weights!$C$19*IF(BW102="",0,BW102)+Weights!$C$20*IF(BZ102="",0,BZ102)+Weights!$C$21*IF(BO102="",0,BO102)+Weights!$C$22*BV102)/(Weights!$C$13*IF(BP102="",0,1)+Weights!$C$14*IF(BR102="",0,1)+Weights!$C$15*IF(BQ102="",0,1)+Weights!$C$16*IF(BS102="",0,1)+Weights!$C$17*IF(BU102="",0,1)+Weights!$C$18*IF(BT102="",0,1)+Weights!$C$19*IF(BW102="",0,1)+Weights!$C$20*IF(BZ102="",0,1)+Weights!$C$21*IF(BO102="",0,1)+Weights!$C$22))</x:f>
      </x:c>
      <x:c r="CC102" s="10">
        <x:f>IF((Weights!$C$23*IF(BQ102="",0,1)+Weights!$C$24*IF(BN102="",0,1)+Weights!$C$25*IF(BS102="",0,1)+Weights!$C$26*IF(BY102="",0,1)+Weights!$C$27*IF(BX102="",0,1)+Weights!$C$28*IF(BT102="",0,1)+Weights!$C$29*IF(CA102="",0,1)+Weights!$C$30+Weights!$C$31*IF(BU102="",0,1))=0,"",(Weights!$C$23*IF(BQ102="",0,BQ102)+Weights!$C$24*IF(BN102="",0,BN102)+Weights!$C$25*IF(BS102="",0,BS102)+Weights!$C$26*IF(BY102="",0,BY102)+Weights!$C$27*IF(BX102="",0,BX102)+Weights!$C$28*IF(BT102="",0,BT102)+Weights!$C$29*IF(CA102="",0,CA102)+Weights!$C$30*BV102+Weights!$C$31*IF(BU102="",0,BU102))/(Weights!$C$23*IF(BQ102="",0,1)+Weights!$C$24*IF(BN102="",0,1)+Weights!$C$25*IF(BS102="",0,1)+Weights!$C$26*IF(BY102="",0,1)+Weights!$C$27*IF(BX102="",0,1)+Weights!$C$28*IF(BT102="",0,1)+Weights!$C$29*IF(CA102="",0,1)+Weights!$C$30+Weights!$C$31*IF(BU102="",0,1)))</x:f>
      </x:c>
      <x:c r="CD102" s="10">
        <x:f>IF(AND(CB102="",CC102=""),"",IF(CB102="",CC102,IF(CC102="",CB102,AVERAGE(CB102,CC102))))</x:f>
      </x:c>
      <x:c r="CE102" s="7">
        <x:f>ROUND(100*((IF(BP102&lt;&gt;"",1,0)+IF(BQ102&lt;&gt;"",1,0)+IF(BR102&lt;&gt;"",1,0)+IF(BS102&lt;&gt;"",1,0)+IF(BU102&lt;&gt;"",1,0)+IF(BT102&lt;&gt;"",1,0)+IF(BN102&lt;&gt;"",1,0)+IF(AW102&lt;&gt;"",1,0))/8),0)</x:f>
      </x:c>
      <x:c r="CF102">
        <x:f>IF(V102="","",LOG10(V102+1))</x:f>
      </x:c>
      <x:c r="CG102">
        <x:f>IF(CF102="","",IF(MAX($CF$2:$CF$252)-MIN($CF$2:$CF$252)=0,"",(CF102-MIN($CF$2:$CF$252))/(MAX($CF$2:$CF$252)-MIN($CF$2:$CF$252))*100))</x:f>
      </x:c>
    </x:row>
    <x:row r="103">
      <x:c r="A103" t="inlineStr">
        <x:is>
          <x:t xml:space="preserve">MNG</x:t>
        </x:is>
      </x:c>
      <x:c r="B103" t="inlineStr">
        <x:is>
          <x:t xml:space="preserve">Mongolia</x:t>
        </x:is>
      </x:c>
      <x:c r="C103" t="inlineStr">
        <x:is>
          <x:t xml:space="preserve">East Asia &amp; Pacific</x:t>
        </x:is>
      </x:c>
      <x:c r="D103" t="inlineStr">
        <x:is>
          <x:t xml:space="preserve">Upper middle income</x:t>
        </x:is>
      </x:c>
      <x:c r="E103" t="inlineStr">
        <x:is>
          <x:t xml:space="preserve">Asia</x:t>
        </x:is>
      </x:c>
      <x:c r="F103" t="n">
        <x:v>2024</x:v>
      </x:c>
      <x:c r="G103" t="n">
        <x:v>3524788</x:v>
      </x:c>
      <x:c r="H103" t="n">
        <x:v>2020</x:v>
      </x:c>
      <x:c r="I103" t="n">
        <x:v>18000</x:v>
      </x:c>
      <x:c r="J103" t="n">
        <x:v>11700</x:v>
      </x:c>
      <x:c r="K103" t="n">
        <x:v>3600</x:v>
      </x:c>
      <x:c r="L103" t="n">
        <x:v>2160</x:v>
      </x:c>
      <x:c r="M103" t="n">
        <x:v>2024</x:v>
      </x:c>
      <x:c r="N103" s="8" t="n">
        <x:v>180843441.375323</x:v>
      </x:c>
      <x:c r="O103" s="9" t="n">
        <x:v>0.742307300960191</x:v>
      </x:c>
      <x:c r="P103" s="8" t="n">
        <x:v>10046.85785418461</x:v>
      </x:c>
      <x:c r="Q103" t="n">
        <x:v>2024</x:v>
      </x:c>
      <x:c r="R103" s="8" t="n">
        <x:v>23794540024.5132</x:v>
      </x:c>
      <x:c r="S103" t="n">
        <x:v>0</x:v>
      </x:c>
      <x:c r="T103" t="n">
        <x:v>0</x:v>
      </x:c>
      <x:c r="U103" t="inlineStr">
        <x:is>
          <x:t xml:space="preserve">No</x:t>
        </x:is>
      </x:c>
      <x:c r="W103" t="inlineStr">
        <x:is>
          <x:t xml:space="preserve">No</x:t>
        </x:is>
      </x:c>
      <x:c r="X103" t="n">
        <x:v>17.19249677409334</x:v>
      </x:c>
      <x:c r="Y103" t="n">
        <x:v>37.08068029639682</x:v>
      </x:c>
      <x:c r="Z103" t="n">
        <x:v>1544322.150191047</x:v>
      </x:c>
      <x:c r="AA103" t="n">
        <x:v>1.98678947887941</x:v>
      </x:c>
      <x:c r="AB103" s="8" t="n">
        <x:v>12059.01879349191</x:v>
      </x:c>
      <x:c r="AI103" t="n">
        <x:v>6</x:v>
      </x:c>
      <x:c r="AJ103" t="n">
        <x:v>1.8</x:v>
      </x:c>
      <x:c r="AK103" t="n">
        <x:v>2.3</x:v>
      </x:c>
      <x:c r="AL103" t="n">
        <x:v>23.8</x:v>
      </x:c>
      <x:c r="AM103" t="n">
        <x:v>1.6</x:v>
      </x:c>
      <x:c r="AN103" t="n">
        <x:v>1.7</x:v>
      </x:c>
      <x:c r="AO103" t="n">
        <x:v>2.5</x:v>
      </x:c>
      <x:c r="AP103" t="n">
        <x:v>19.7</x:v>
      </x:c>
      <x:c r="AQ103" t="n">
        <x:v>2.5</x:v>
      </x:c>
      <x:c r="AR103">
        <x:f>IF(G103="","",LOG10(G103+1))</x:f>
      </x:c>
      <x:c r="AS103" s="10">
        <x:f>IF(AR103="","",IF(MAX($AR$2:$AR$252)-MIN($AR$2:$AR$252)=0,"",(AR103-MIN($AR$2:$AR$252))/(MAX($AR$2:$AR$252)-MIN($AR$2:$AR$252))*100))</x:f>
      </x:c>
      <x:c r="AT103">
        <x:f>IF(R103="","",LOG10(R103+1))</x:f>
      </x:c>
      <x:c r="AU103" s="10">
        <x:f>IF(AT103="","",IF(MAX($AT$2:$AT$252)-MIN($AT$2:$AT$252)=0,"",(AT103-MIN($AT$2:$AT$252))/(MAX($AT$2:$AT$252)-MIN($AT$2:$AT$252))*100))</x:f>
      </x:c>
      <x:c r="AV103">
        <x:f>IF(N103="","",LOG10(N103+1))</x:f>
      </x:c>
      <x:c r="AW103" s="10">
        <x:f>IF(AV103="","",IF(MAX($AV$2:$AV$252)-MIN($AV$2:$AV$252)=0,"",(AV103-MIN($AV$2:$AV$252))/(MAX($AV$2:$AV$252)-MIN($AV$2:$AV$252))*100))</x:f>
      </x:c>
      <x:c r="AX103">
        <x:f>IF(I103="","",LOG10(I103+1))</x:f>
      </x:c>
      <x:c r="AY103" s="10">
        <x:f>IF(AX103="","",IF(MAX($AX$2:$AX$252)-MIN($AX$2:$AX$252)=0,"",(AX103-MIN($AX$2:$AX$252))/(MAX($AX$2:$AX$252)-MIN($AX$2:$AX$252))*100))</x:f>
      </x:c>
      <x:c r="AZ103">
        <x:f>IF(J103="","",LOG10(J103+1))</x:f>
      </x:c>
      <x:c r="BA103" s="10">
        <x:f>IF(AZ103="","",IF(MAX($AZ$2:$AZ$252)-MIN($AZ$2:$AZ$252)=0,"",(AZ103-MIN($AZ$2:$AZ$252))/(MAX($AZ$2:$AZ$252)-MIN($AZ$2:$AZ$252))*100))</x:f>
      </x:c>
      <x:c r="BB103">
        <x:f>IF(K103="","",LOG10(K103+1))</x:f>
      </x:c>
      <x:c r="BC103" s="10">
        <x:f>IF(BB103="","",IF(MAX($BB$2:$BB$252)-MIN($BB$2:$BB$252)=0,"",(BB103-MIN($BB$2:$BB$252))/(MAX($BB$2:$BB$252)-MIN($BB$2:$BB$252))*100))</x:f>
      </x:c>
      <x:c r="BD103">
        <x:f>IF(L103="","",LOG10(L103+1))</x:f>
      </x:c>
      <x:c r="BE103" s="10">
        <x:f>IF(BD103="","",IF(MAX($BD$2:$BD$252)-MIN($BD$2:$BD$252)=0,"",(BD103-MIN($BD$2:$BD$252))/(MAX($BD$2:$BD$252)-MIN($BD$2:$BD$252))*100))</x:f>
      </x:c>
      <x:c r="BF103" s="10">
        <x:f>IF(P103="","",IF(MAX($P$2:$P$252)-MIN($P$2:$P$252)=0,"",(P103-MIN($P$2:$P$252))/(MAX($P$2:$P$252)-MIN($P$2:$P$252))*100))</x:f>
      </x:c>
      <x:c r="BG103">
        <x:f>IF(AF103="","",LOG10(AF103+1))</x:f>
      </x:c>
      <x:c r="BH103" s="10">
        <x:f>IF(BG103="","",IF(MAX($BG$2:$BG$252)-MIN($BG$2:$BG$252)=0,"",(BG103-MIN($BG$2:$BG$252))/(MAX($BG$2:$BG$252)-MIN($BG$2:$BG$252))*100))</x:f>
      </x:c>
      <x:c r="BI103">
        <x:f>IF(AC103="","",LOG10(AC103+1))</x:f>
      </x:c>
      <x:c r="BJ103" s="10">
        <x:f>IF(BI103="","",IF(MAX($BI$2:$BI$252)-MIN($BI$2:$BI$252)=0,"",(BI103-MIN($BI$2:$BI$252))/(MAX($BI$2:$BI$252)-MIN($BI$2:$BI$252))*100))</x:f>
      </x:c>
      <x:c r="BK103">
        <x:f>IF(AD103="","",(AD103*2)+(AE103*1))</x:f>
      </x:c>
      <x:c r="BL103" s="10">
        <x:f>IF(BK103="","",IF(MAX($BK$2:$BK$252)-MIN($BK$2:$BK$252)=0,"",(BK103-MIN($BK$2:$BK$252))/(MAX($BK$2:$BK$252)-MIN($BK$2:$BK$252))*100))</x:f>
      </x:c>
      <x:c r="BM103" s="10">
        <x:f>IF(AB103="","",IF(MAX($AB$2:$AB$252)-MIN($AB$2:$AB$252)=0,"",(AB103-MIN($AB$2:$AB$252))/(MAX($AB$2:$AB$252)-MIN($AB$2:$AB$252))*100))</x:f>
      </x:c>
      <x:c r="BN103" s="10">
        <x:f>IF(X103="","",X103)</x:f>
      </x:c>
      <x:c r="BO103" s="10">
        <x:f>IF(X103="","",100-X103)</x:f>
      </x:c>
      <x:c r="BP103" s="10">
        <x:f>IF((Weights!$C$2*IF(BH103="",0,1)+Weights!$C$3*IF(BJ103="",0,1)+Weights!$C$4*IF(BL103="",0,1))=0,"",(Weights!$C$2*IF(BH103="",0,BH103)+Weights!$C$3*IF(BJ103="",0,BJ103)+Weights!$C$4*IF(BL103="",0,BL103))/(Weights!$C$2*IF(BH103="",0,1)+Weights!$C$3*IF(BJ103="",0,1)+Weights!$C$4*IF(BL103="",0,1)))</x:f>
      </x:c>
      <x:c r="BQ103" s="10">
        <x:f>IF((Weights!$C$5*IF(BA103="",0,1)+Weights!$C$6*IF(AW103="",0,1)+Weights!$C$7*IF(AU103="",0,1))=0,"",(Weights!$C$5*IF(BA103="",0,BA103)+Weights!$C$6*IF(AW103="",0,AW103)+Weights!$C$7*IF(AU103="",0,AU103))/(Weights!$C$5*IF(BA103="",0,1)+Weights!$C$6*IF(AW103="",0,1)+Weights!$C$7*IF(AU103="",0,1)))</x:f>
      </x:c>
      <x:c r="BR103" s="10">
        <x:f>IF((Weights!$C$8*IF(AW103="",0,1)+Weights!$C$9*IF(BC103="",0,1)+Weights!$C$10*IF(BF103="",0,1))=0,"",(Weights!$C$8*IF(AW103="",0,AW103)+Weights!$C$9*IF(BC103="",0,BC103)+Weights!$C$10*IF(BF103="",0,BF103))/(Weights!$C$8*IF(AW103="",0,1)+Weights!$C$9*IF(BC103="",0,1)+Weights!$C$10*IF(BF103="",0,1)))</x:f>
      </x:c>
      <x:c r="BS103" s="10">
        <x:f>IF(Y103="","",Y103)</x:f>
      </x:c>
      <x:c r="BT103" s="10">
        <x:f>IF(AS103="","",AS103)</x:f>
      </x:c>
      <x:c r="BU103" s="10">
        <x:f>IF(AJ103&lt;&gt;"",(0.6*AJ103+0.4*AU103),IF((Weights!$C$11*IF(AU103="",0,1)+Weights!$C$12*IF(BM103="",0,1))=0,"",(Weights!$C$11*IF(AU103="",0,AU103)+Weights!$C$12*IF(BM103="",0,BM103))/(Weights!$C$11*IF(AU103="",0,1)+Weights!$C$12*IF(BM103="",0,1))))</x:f>
      </x:c>
      <x:c r="BV103" s="10">
        <x:f>IF(CG103="",0,CG103)</x:f>
      </x:c>
      <x:c r="BW103" s="10">
        <x:f>IF(AP103="","",AP103)</x:f>
      </x:c>
      <x:c r="BX103" s="10">
        <x:f>IF(AO103="","",AO103)</x:f>
      </x:c>
      <x:c r="BY103" s="10">
        <x:f>IF(AL103="","",AL103)</x:f>
      </x:c>
      <x:c r="BZ103" s="10">
        <x:f>IF(AM103="","",AM103)</x:f>
      </x:c>
      <x:c r="CA103" s="10">
        <x:f>IF(AK103&lt;&gt;"",AK103,AW103)</x:f>
      </x:c>
      <x:c r="CB103" s="10">
        <x:f>IF((Weights!$C$13*IF(BP103="",0,1)+Weights!$C$14*IF(BR103="",0,1)+Weights!$C$15*IF(BQ103="",0,1)+Weights!$C$16*IF(BS103="",0,1)+Weights!$C$17*IF(BU103="",0,1)+Weights!$C$18*IF(BT103="",0,1)+Weights!$C$19*IF(BW103="",0,1)+Weights!$C$20*IF(BZ103="",0,1)+Weights!$C$21*IF(BO103="",0,1)+Weights!$C$22)=0,"",(Weights!$C$13*IF(BP103="",0,BP103)+Weights!$C$14*IF(BR103="",0,BR103)+Weights!$C$15*IF(BQ103="",0,BQ103)+Weights!$C$16*IF(BS103="",0,BS103)+Weights!$C$17*IF(BU103="",0,BU103)+Weights!$C$18*IF(BT103="",0,BT103)+Weights!$C$19*IF(BW103="",0,BW103)+Weights!$C$20*IF(BZ103="",0,BZ103)+Weights!$C$21*IF(BO103="",0,BO103)+Weights!$C$22*BV103)/(Weights!$C$13*IF(BP103="",0,1)+Weights!$C$14*IF(BR103="",0,1)+Weights!$C$15*IF(BQ103="",0,1)+Weights!$C$16*IF(BS103="",0,1)+Weights!$C$17*IF(BU103="",0,1)+Weights!$C$18*IF(BT103="",0,1)+Weights!$C$19*IF(BW103="",0,1)+Weights!$C$20*IF(BZ103="",0,1)+Weights!$C$21*IF(BO103="",0,1)+Weights!$C$22))</x:f>
      </x:c>
      <x:c r="CC103" s="10">
        <x:f>IF((Weights!$C$23*IF(BQ103="",0,1)+Weights!$C$24*IF(BN103="",0,1)+Weights!$C$25*IF(BS103="",0,1)+Weights!$C$26*IF(BY103="",0,1)+Weights!$C$27*IF(BX103="",0,1)+Weights!$C$28*IF(BT103="",0,1)+Weights!$C$29*IF(CA103="",0,1)+Weights!$C$30+Weights!$C$31*IF(BU103="",0,1))=0,"",(Weights!$C$23*IF(BQ103="",0,BQ103)+Weights!$C$24*IF(BN103="",0,BN103)+Weights!$C$25*IF(BS103="",0,BS103)+Weights!$C$26*IF(BY103="",0,BY103)+Weights!$C$27*IF(BX103="",0,BX103)+Weights!$C$28*IF(BT103="",0,BT103)+Weights!$C$29*IF(CA103="",0,CA103)+Weights!$C$30*BV103+Weights!$C$31*IF(BU103="",0,BU103))/(Weights!$C$23*IF(BQ103="",0,1)+Weights!$C$24*IF(BN103="",0,1)+Weights!$C$25*IF(BS103="",0,1)+Weights!$C$26*IF(BY103="",0,1)+Weights!$C$27*IF(BX103="",0,1)+Weights!$C$28*IF(BT103="",0,1)+Weights!$C$29*IF(CA103="",0,1)+Weights!$C$30+Weights!$C$31*IF(BU103="",0,1)))</x:f>
      </x:c>
      <x:c r="CD103" s="10">
        <x:f>IF(AND(CB103="",CC103=""),"",IF(CB103="",CC103,IF(CC103="",CB103,AVERAGE(CB103,CC103))))</x:f>
      </x:c>
      <x:c r="CE103" s="7">
        <x:f>ROUND(100*((IF(BP103&lt;&gt;"",1,0)+IF(BQ103&lt;&gt;"",1,0)+IF(BR103&lt;&gt;"",1,0)+IF(BS103&lt;&gt;"",1,0)+IF(BU103&lt;&gt;"",1,0)+IF(BT103&lt;&gt;"",1,0)+IF(BN103&lt;&gt;"",1,0)+IF(AW103&lt;&gt;"",1,0))/8),0)</x:f>
      </x:c>
      <x:c r="CF103">
        <x:f>IF(V103="","",LOG10(V103+1))</x:f>
      </x:c>
      <x:c r="CG103">
        <x:f>IF(CF103="","",IF(MAX($CF$2:$CF$252)-MIN($CF$2:$CF$252)=0,"",(CF103-MIN($CF$2:$CF$252))/(MAX($CF$2:$CF$252)-MIN($CF$2:$CF$252))*100))</x:f>
      </x:c>
    </x:row>
    <x:row r="104">
      <x:c r="A104" t="inlineStr">
        <x:is>
          <x:t xml:space="preserve">MNE</x:t>
        </x:is>
      </x:c>
      <x:c r="B104" t="inlineStr">
        <x:is>
          <x:t xml:space="preserve">Montenegro</x:t>
        </x:is>
      </x:c>
      <x:c r="C104" t="inlineStr">
        <x:is>
          <x:t xml:space="preserve">Europe &amp; Central Asia</x:t>
        </x:is>
      </x:c>
      <x:c r="D104" t="inlineStr">
        <x:is>
          <x:t xml:space="preserve">Upper middle income</x:t>
        </x:is>
      </x:c>
      <x:c r="E104" t="inlineStr">
        <x:is>
          <x:t xml:space="preserve">Europe</x:t>
        </x:is>
      </x:c>
      <x:c r="F104" t="n">
        <x:v>2024</x:v>
      </x:c>
      <x:c r="G104" t="n">
        <x:v>623525</x:v>
      </x:c>
      <x:c r="H104" t="n">
        <x:v>2020</x:v>
      </x:c>
      <x:c r="I104" t="n">
        <x:v>12000</x:v>
      </x:c>
      <x:c r="J104" t="n">
        <x:v>7800</x:v>
      </x:c>
      <x:c r="K104" t="n">
        <x:v>2400</x:v>
      </x:c>
      <x:c r="L104" t="n">
        <x:v>1440</x:v>
      </x:c>
      <x:c r="M104" t="n">
        <x:v>2024</x:v>
      </x:c>
      <x:c r="N104" s="8" t="n">
        <x:v>150033208.503973</x:v>
      </x:c>
      <x:c r="O104" s="9" t="n">
        <x:v>1.83253539270475</x:v>
      </x:c>
      <x:c r="P104" s="8" t="n">
        <x:v>12502.76737533108</x:v>
      </x:c>
      <x:c r="Q104" t="n">
        <x:v>2024</x:v>
      </x:c>
      <x:c r="R104" s="8" t="n">
        <x:v>8270016670.86774</x:v>
      </x:c>
      <x:c r="S104" t="n">
        <x:v>0</x:v>
      </x:c>
      <x:c r="T104" t="n">
        <x:v>0</x:v>
      </x:c>
      <x:c r="U104" t="inlineStr">
        <x:is>
          <x:t xml:space="preserve">No</x:t>
        </x:is>
      </x:c>
      <x:c r="W104" t="inlineStr">
        <x:is>
          <x:t xml:space="preserve">No</x:t>
        </x:is>
      </x:c>
      <x:c r="X104" t="n">
        <x:v>11.38963261111986</x:v>
      </x:c>
      <x:c r="Y104" t="n">
        <x:v>59.21435170374594</x:v>
      </x:c>
      <x:c r="Z104" t="n">
        <x:v>13443.67805947191</x:v>
      </x:c>
      <x:c r="AA104" t="n">
        <x:v>47.79569974507708</x:v>
      </x:c>
      <x:c r="AB104" s="8" t="n">
        <x:v>16512.33367053148</x:v>
      </x:c>
      <x:c r="AC104" t="n">
        <x:v>13</x:v>
      </x:c>
      <x:c r="AD104" t="n">
        <x:v>0</x:v>
      </x:c>
      <x:c r="AE104" t="n">
        <x:v>0</x:v>
      </x:c>
      <x:c r="AR104">
        <x:f>IF(G104="","",LOG10(G104+1))</x:f>
      </x:c>
      <x:c r="AS104" s="10">
        <x:f>IF(AR104="","",IF(MAX($AR$2:$AR$252)-MIN($AR$2:$AR$252)=0,"",(AR104-MIN($AR$2:$AR$252))/(MAX($AR$2:$AR$252)-MIN($AR$2:$AR$252))*100))</x:f>
      </x:c>
      <x:c r="AT104">
        <x:f>IF(R104="","",LOG10(R104+1))</x:f>
      </x:c>
      <x:c r="AU104" s="10">
        <x:f>IF(AT104="","",IF(MAX($AT$2:$AT$252)-MIN($AT$2:$AT$252)=0,"",(AT104-MIN($AT$2:$AT$252))/(MAX($AT$2:$AT$252)-MIN($AT$2:$AT$252))*100))</x:f>
      </x:c>
      <x:c r="AV104">
        <x:f>IF(N104="","",LOG10(N104+1))</x:f>
      </x:c>
      <x:c r="AW104" s="10">
        <x:f>IF(AV104="","",IF(MAX($AV$2:$AV$252)-MIN($AV$2:$AV$252)=0,"",(AV104-MIN($AV$2:$AV$252))/(MAX($AV$2:$AV$252)-MIN($AV$2:$AV$252))*100))</x:f>
      </x:c>
      <x:c r="AX104">
        <x:f>IF(I104="","",LOG10(I104+1))</x:f>
      </x:c>
      <x:c r="AY104" s="10">
        <x:f>IF(AX104="","",IF(MAX($AX$2:$AX$252)-MIN($AX$2:$AX$252)=0,"",(AX104-MIN($AX$2:$AX$252))/(MAX($AX$2:$AX$252)-MIN($AX$2:$AX$252))*100))</x:f>
      </x:c>
      <x:c r="AZ104">
        <x:f>IF(J104="","",LOG10(J104+1))</x:f>
      </x:c>
      <x:c r="BA104" s="10">
        <x:f>IF(AZ104="","",IF(MAX($AZ$2:$AZ$252)-MIN($AZ$2:$AZ$252)=0,"",(AZ104-MIN($AZ$2:$AZ$252))/(MAX($AZ$2:$AZ$252)-MIN($AZ$2:$AZ$252))*100))</x:f>
      </x:c>
      <x:c r="BB104">
        <x:f>IF(K104="","",LOG10(K104+1))</x:f>
      </x:c>
      <x:c r="BC104" s="10">
        <x:f>IF(BB104="","",IF(MAX($BB$2:$BB$252)-MIN($BB$2:$BB$252)=0,"",(BB104-MIN($BB$2:$BB$252))/(MAX($BB$2:$BB$252)-MIN($BB$2:$BB$252))*100))</x:f>
      </x:c>
      <x:c r="BD104">
        <x:f>IF(L104="","",LOG10(L104+1))</x:f>
      </x:c>
      <x:c r="BE104" s="10">
        <x:f>IF(BD104="","",IF(MAX($BD$2:$BD$252)-MIN($BD$2:$BD$252)=0,"",(BD104-MIN($BD$2:$BD$252))/(MAX($BD$2:$BD$252)-MIN($BD$2:$BD$252))*100))</x:f>
      </x:c>
      <x:c r="BF104" s="10">
        <x:f>IF(P104="","",IF(MAX($P$2:$P$252)-MIN($P$2:$P$252)=0,"",(P104-MIN($P$2:$P$252))/(MAX($P$2:$P$252)-MIN($P$2:$P$252))*100))</x:f>
      </x:c>
      <x:c r="BG104">
        <x:f>IF(AF104="","",LOG10(AF104+1))</x:f>
      </x:c>
      <x:c r="BH104" s="10">
        <x:f>IF(BG104="","",IF(MAX($BG$2:$BG$252)-MIN($BG$2:$BG$252)=0,"",(BG104-MIN($BG$2:$BG$252))/(MAX($BG$2:$BG$252)-MIN($BG$2:$BG$252))*100))</x:f>
      </x:c>
      <x:c r="BI104">
        <x:f>IF(AC104="","",LOG10(AC104+1))</x:f>
      </x:c>
      <x:c r="BJ104" s="10">
        <x:f>IF(BI104="","",IF(MAX($BI$2:$BI$252)-MIN($BI$2:$BI$252)=0,"",(BI104-MIN($BI$2:$BI$252))/(MAX($BI$2:$BI$252)-MIN($BI$2:$BI$252))*100))</x:f>
      </x:c>
      <x:c r="BK104">
        <x:f>IF(AD104="","",(AD104*2)+(AE104*1))</x:f>
      </x:c>
      <x:c r="BL104" s="10">
        <x:f>IF(BK104="","",IF(MAX($BK$2:$BK$252)-MIN($BK$2:$BK$252)=0,"",(BK104-MIN($BK$2:$BK$252))/(MAX($BK$2:$BK$252)-MIN($BK$2:$BK$252))*100))</x:f>
      </x:c>
      <x:c r="BM104" s="10">
        <x:f>IF(AB104="","",IF(MAX($AB$2:$AB$252)-MIN($AB$2:$AB$252)=0,"",(AB104-MIN($AB$2:$AB$252))/(MAX($AB$2:$AB$252)-MIN($AB$2:$AB$252))*100))</x:f>
      </x:c>
      <x:c r="BN104" s="10">
        <x:f>IF(X104="","",X104)</x:f>
      </x:c>
      <x:c r="BO104" s="10">
        <x:f>IF(X104="","",100-X104)</x:f>
      </x:c>
      <x:c r="BP104" s="10">
        <x:f>IF((Weights!$C$2*IF(BH104="",0,1)+Weights!$C$3*IF(BJ104="",0,1)+Weights!$C$4*IF(BL104="",0,1))=0,"",(Weights!$C$2*IF(BH104="",0,BH104)+Weights!$C$3*IF(BJ104="",0,BJ104)+Weights!$C$4*IF(BL104="",0,BL104))/(Weights!$C$2*IF(BH104="",0,1)+Weights!$C$3*IF(BJ104="",0,1)+Weights!$C$4*IF(BL104="",0,1)))</x:f>
      </x:c>
      <x:c r="BQ104" s="10">
        <x:f>IF((Weights!$C$5*IF(BA104="",0,1)+Weights!$C$6*IF(AW104="",0,1)+Weights!$C$7*IF(AU104="",0,1))=0,"",(Weights!$C$5*IF(BA104="",0,BA104)+Weights!$C$6*IF(AW104="",0,AW104)+Weights!$C$7*IF(AU104="",0,AU104))/(Weights!$C$5*IF(BA104="",0,1)+Weights!$C$6*IF(AW104="",0,1)+Weights!$C$7*IF(AU104="",0,1)))</x:f>
      </x:c>
      <x:c r="BR104" s="10">
        <x:f>IF((Weights!$C$8*IF(AW104="",0,1)+Weights!$C$9*IF(BC104="",0,1)+Weights!$C$10*IF(BF104="",0,1))=0,"",(Weights!$C$8*IF(AW104="",0,AW104)+Weights!$C$9*IF(BC104="",0,BC104)+Weights!$C$10*IF(BF104="",0,BF104))/(Weights!$C$8*IF(AW104="",0,1)+Weights!$C$9*IF(BC104="",0,1)+Weights!$C$10*IF(BF104="",0,1)))</x:f>
      </x:c>
      <x:c r="BS104" s="10">
        <x:f>IF(Y104="","",Y104)</x:f>
      </x:c>
      <x:c r="BT104" s="10">
        <x:f>IF(AS104="","",AS104)</x:f>
      </x:c>
      <x:c r="BU104" s="10">
        <x:f>IF(AJ104&lt;&gt;"",(0.6*AJ104+0.4*AU104),IF((Weights!$C$11*IF(AU104="",0,1)+Weights!$C$12*IF(BM104="",0,1))=0,"",(Weights!$C$11*IF(AU104="",0,AU104)+Weights!$C$12*IF(BM104="",0,BM104))/(Weights!$C$11*IF(AU104="",0,1)+Weights!$C$12*IF(BM104="",0,1))))</x:f>
      </x:c>
      <x:c r="BV104" s="10">
        <x:f>IF(CG104="",0,CG104)</x:f>
      </x:c>
      <x:c r="BW104" s="10">
        <x:f>IF(AP104="","",AP104)</x:f>
      </x:c>
      <x:c r="BX104" s="10">
        <x:f>IF(AO104="","",AO104)</x:f>
      </x:c>
      <x:c r="BY104" s="10">
        <x:f>IF(AL104="","",AL104)</x:f>
      </x:c>
      <x:c r="BZ104" s="10">
        <x:f>IF(AM104="","",AM104)</x:f>
      </x:c>
      <x:c r="CA104" s="10">
        <x:f>IF(AK104&lt;&gt;"",AK104,AW104)</x:f>
      </x:c>
      <x:c r="CB104" s="10">
        <x:f>IF((Weights!$C$13*IF(BP104="",0,1)+Weights!$C$14*IF(BR104="",0,1)+Weights!$C$15*IF(BQ104="",0,1)+Weights!$C$16*IF(BS104="",0,1)+Weights!$C$17*IF(BU104="",0,1)+Weights!$C$18*IF(BT104="",0,1)+Weights!$C$19*IF(BW104="",0,1)+Weights!$C$20*IF(BZ104="",0,1)+Weights!$C$21*IF(BO104="",0,1)+Weights!$C$22)=0,"",(Weights!$C$13*IF(BP104="",0,BP104)+Weights!$C$14*IF(BR104="",0,BR104)+Weights!$C$15*IF(BQ104="",0,BQ104)+Weights!$C$16*IF(BS104="",0,BS104)+Weights!$C$17*IF(BU104="",0,BU104)+Weights!$C$18*IF(BT104="",0,BT104)+Weights!$C$19*IF(BW104="",0,BW104)+Weights!$C$20*IF(BZ104="",0,BZ104)+Weights!$C$21*IF(BO104="",0,BO104)+Weights!$C$22*BV104)/(Weights!$C$13*IF(BP104="",0,1)+Weights!$C$14*IF(BR104="",0,1)+Weights!$C$15*IF(BQ104="",0,1)+Weights!$C$16*IF(BS104="",0,1)+Weights!$C$17*IF(BU104="",0,1)+Weights!$C$18*IF(BT104="",0,1)+Weights!$C$19*IF(BW104="",0,1)+Weights!$C$20*IF(BZ104="",0,1)+Weights!$C$21*IF(BO104="",0,1)+Weights!$C$22))</x:f>
      </x:c>
      <x:c r="CC104" s="10">
        <x:f>IF((Weights!$C$23*IF(BQ104="",0,1)+Weights!$C$24*IF(BN104="",0,1)+Weights!$C$25*IF(BS104="",0,1)+Weights!$C$26*IF(BY104="",0,1)+Weights!$C$27*IF(BX104="",0,1)+Weights!$C$28*IF(BT104="",0,1)+Weights!$C$29*IF(CA104="",0,1)+Weights!$C$30+Weights!$C$31*IF(BU104="",0,1))=0,"",(Weights!$C$23*IF(BQ104="",0,BQ104)+Weights!$C$24*IF(BN104="",0,BN104)+Weights!$C$25*IF(BS104="",0,BS104)+Weights!$C$26*IF(BY104="",0,BY104)+Weights!$C$27*IF(BX104="",0,BX104)+Weights!$C$28*IF(BT104="",0,BT104)+Weights!$C$29*IF(CA104="",0,CA104)+Weights!$C$30*BV104+Weights!$C$31*IF(BU104="",0,BU104))/(Weights!$C$23*IF(BQ104="",0,1)+Weights!$C$24*IF(BN104="",0,1)+Weights!$C$25*IF(BS104="",0,1)+Weights!$C$26*IF(BY104="",0,1)+Weights!$C$27*IF(BX104="",0,1)+Weights!$C$28*IF(BT104="",0,1)+Weights!$C$29*IF(CA104="",0,1)+Weights!$C$30+Weights!$C$31*IF(BU104="",0,1)))</x:f>
      </x:c>
      <x:c r="CD104" s="10">
        <x:f>IF(AND(CB104="",CC104=""),"",IF(CB104="",CC104,IF(CC104="",CB104,AVERAGE(CB104,CC104))))</x:f>
      </x:c>
      <x:c r="CE104" s="7">
        <x:f>ROUND(100*((IF(BP104&lt;&gt;"",1,0)+IF(BQ104&lt;&gt;"",1,0)+IF(BR104&lt;&gt;"",1,0)+IF(BS104&lt;&gt;"",1,0)+IF(BU104&lt;&gt;"",1,0)+IF(BT104&lt;&gt;"",1,0)+IF(BN104&lt;&gt;"",1,0)+IF(AW104&lt;&gt;"",1,0))/8),0)</x:f>
      </x:c>
      <x:c r="CF104">
        <x:f>IF(V104="","",LOG10(V104+1))</x:f>
      </x:c>
      <x:c r="CG104">
        <x:f>IF(CF104="","",IF(MAX($CF$2:$CF$252)-MIN($CF$2:$CF$252)=0,"",(CF104-MIN($CF$2:$CF$252))/(MAX($CF$2:$CF$252)-MIN($CF$2:$CF$252))*100))</x:f>
      </x:c>
    </x:row>
    <x:row r="105">
      <x:c r="A105" t="inlineStr">
        <x:is>
          <x:t xml:space="preserve">MSR</x:t>
        </x:is>
      </x:c>
      <x:c r="B105" t="inlineStr">
        <x:is>
          <x:t xml:space="preserve">Montserrat</x:t>
        </x:is>
      </x:c>
      <x:c r="N105" s="8" t="n"/>
      <x:c r="O105" s="9" t="n"/>
      <x:c r="P105" s="8" t="n"/>
      <x:c r="R105" s="8" t="n"/>
      <x:c r="AB105" s="8" t="n"/>
      <x:c r="AR105">
        <x:f>IF(G105="","",LOG10(G105+1))</x:f>
      </x:c>
      <x:c r="AS105" s="10">
        <x:f>IF(AR105="","",IF(MAX($AR$2:$AR$252)-MIN($AR$2:$AR$252)=0,"",(AR105-MIN($AR$2:$AR$252))/(MAX($AR$2:$AR$252)-MIN($AR$2:$AR$252))*100))</x:f>
      </x:c>
      <x:c r="AT105">
        <x:f>IF(R105="","",LOG10(R105+1))</x:f>
      </x:c>
      <x:c r="AU105" s="10">
        <x:f>IF(AT105="","",IF(MAX($AT$2:$AT$252)-MIN($AT$2:$AT$252)=0,"",(AT105-MIN($AT$2:$AT$252))/(MAX($AT$2:$AT$252)-MIN($AT$2:$AT$252))*100))</x:f>
      </x:c>
      <x:c r="AV105">
        <x:f>IF(N105="","",LOG10(N105+1))</x:f>
      </x:c>
      <x:c r="AW105" s="10">
        <x:f>IF(AV105="","",IF(MAX($AV$2:$AV$252)-MIN($AV$2:$AV$252)=0,"",(AV105-MIN($AV$2:$AV$252))/(MAX($AV$2:$AV$252)-MIN($AV$2:$AV$252))*100))</x:f>
      </x:c>
      <x:c r="AX105">
        <x:f>IF(I105="","",LOG10(I105+1))</x:f>
      </x:c>
      <x:c r="AY105" s="10">
        <x:f>IF(AX105="","",IF(MAX($AX$2:$AX$252)-MIN($AX$2:$AX$252)=0,"",(AX105-MIN($AX$2:$AX$252))/(MAX($AX$2:$AX$252)-MIN($AX$2:$AX$252))*100))</x:f>
      </x:c>
      <x:c r="AZ105">
        <x:f>IF(J105="","",LOG10(J105+1))</x:f>
      </x:c>
      <x:c r="BA105" s="10">
        <x:f>IF(AZ105="","",IF(MAX($AZ$2:$AZ$252)-MIN($AZ$2:$AZ$252)=0,"",(AZ105-MIN($AZ$2:$AZ$252))/(MAX($AZ$2:$AZ$252)-MIN($AZ$2:$AZ$252))*100))</x:f>
      </x:c>
      <x:c r="BB105">
        <x:f>IF(K105="","",LOG10(K105+1))</x:f>
      </x:c>
      <x:c r="BC105" s="10">
        <x:f>IF(BB105="","",IF(MAX($BB$2:$BB$252)-MIN($BB$2:$BB$252)=0,"",(BB105-MIN($BB$2:$BB$252))/(MAX($BB$2:$BB$252)-MIN($BB$2:$BB$252))*100))</x:f>
      </x:c>
      <x:c r="BD105">
        <x:f>IF(L105="","",LOG10(L105+1))</x:f>
      </x:c>
      <x:c r="BE105" s="10">
        <x:f>IF(BD105="","",IF(MAX($BD$2:$BD$252)-MIN($BD$2:$BD$252)=0,"",(BD105-MIN($BD$2:$BD$252))/(MAX($BD$2:$BD$252)-MIN($BD$2:$BD$252))*100))</x:f>
      </x:c>
      <x:c r="BF105" s="10">
        <x:f>IF(P105="","",IF(MAX($P$2:$P$252)-MIN($P$2:$P$252)=0,"",(P105-MIN($P$2:$P$252))/(MAX($P$2:$P$252)-MIN($P$2:$P$252))*100))</x:f>
      </x:c>
      <x:c r="BG105">
        <x:f>IF(AF105="","",LOG10(AF105+1))</x:f>
      </x:c>
      <x:c r="BH105" s="10">
        <x:f>IF(BG105="","",IF(MAX($BG$2:$BG$252)-MIN($BG$2:$BG$252)=0,"",(BG105-MIN($BG$2:$BG$252))/(MAX($BG$2:$BG$252)-MIN($BG$2:$BG$252))*100))</x:f>
      </x:c>
      <x:c r="BI105">
        <x:f>IF(AC105="","",LOG10(AC105+1))</x:f>
      </x:c>
      <x:c r="BJ105" s="10">
        <x:f>IF(BI105="","",IF(MAX($BI$2:$BI$252)-MIN($BI$2:$BI$252)=0,"",(BI105-MIN($BI$2:$BI$252))/(MAX($BI$2:$BI$252)-MIN($BI$2:$BI$252))*100))</x:f>
      </x:c>
      <x:c r="BK105">
        <x:f>IF(AD105="","",(AD105*2)+(AE105*1))</x:f>
      </x:c>
      <x:c r="BL105" s="10">
        <x:f>IF(BK105="","",IF(MAX($BK$2:$BK$252)-MIN($BK$2:$BK$252)=0,"",(BK105-MIN($BK$2:$BK$252))/(MAX($BK$2:$BK$252)-MIN($BK$2:$BK$252))*100))</x:f>
      </x:c>
      <x:c r="BM105" s="10">
        <x:f>IF(AB105="","",IF(MAX($AB$2:$AB$252)-MIN($AB$2:$AB$252)=0,"",(AB105-MIN($AB$2:$AB$252))/(MAX($AB$2:$AB$252)-MIN($AB$2:$AB$252))*100))</x:f>
      </x:c>
      <x:c r="BN105" s="10">
        <x:f>IF(X105="","",X105)</x:f>
      </x:c>
      <x:c r="BO105" s="10">
        <x:f>IF(X105="","",100-X105)</x:f>
      </x:c>
      <x:c r="BP105" s="10">
        <x:f>IF((Weights!$C$2*IF(BH105="",0,1)+Weights!$C$3*IF(BJ105="",0,1)+Weights!$C$4*IF(BL105="",0,1))=0,"",(Weights!$C$2*IF(BH105="",0,BH105)+Weights!$C$3*IF(BJ105="",0,BJ105)+Weights!$C$4*IF(BL105="",0,BL105))/(Weights!$C$2*IF(BH105="",0,1)+Weights!$C$3*IF(BJ105="",0,1)+Weights!$C$4*IF(BL105="",0,1)))</x:f>
      </x:c>
      <x:c r="BQ105" s="10">
        <x:f>IF((Weights!$C$5*IF(BA105="",0,1)+Weights!$C$6*IF(AW105="",0,1)+Weights!$C$7*IF(AU105="",0,1))=0,"",(Weights!$C$5*IF(BA105="",0,BA105)+Weights!$C$6*IF(AW105="",0,AW105)+Weights!$C$7*IF(AU105="",0,AU105))/(Weights!$C$5*IF(BA105="",0,1)+Weights!$C$6*IF(AW105="",0,1)+Weights!$C$7*IF(AU105="",0,1)))</x:f>
      </x:c>
      <x:c r="BR105" s="10">
        <x:f>IF((Weights!$C$8*IF(AW105="",0,1)+Weights!$C$9*IF(BC105="",0,1)+Weights!$C$10*IF(BF105="",0,1))=0,"",(Weights!$C$8*IF(AW105="",0,AW105)+Weights!$C$9*IF(BC105="",0,BC105)+Weights!$C$10*IF(BF105="",0,BF105))/(Weights!$C$8*IF(AW105="",0,1)+Weights!$C$9*IF(BC105="",0,1)+Weights!$C$10*IF(BF105="",0,1)))</x:f>
      </x:c>
      <x:c r="BS105" s="10">
        <x:f>IF(Y105="","",Y105)</x:f>
      </x:c>
      <x:c r="BT105" s="10">
        <x:f>IF(AS105="","",AS105)</x:f>
      </x:c>
      <x:c r="BU105" s="10">
        <x:f>IF(AJ105&lt;&gt;"",(0.6*AJ105+0.4*AU105),IF((Weights!$C$11*IF(AU105="",0,1)+Weights!$C$12*IF(BM105="",0,1))=0,"",(Weights!$C$11*IF(AU105="",0,AU105)+Weights!$C$12*IF(BM105="",0,BM105))/(Weights!$C$11*IF(AU105="",0,1)+Weights!$C$12*IF(BM105="",0,1))))</x:f>
      </x:c>
      <x:c r="BV105" s="10">
        <x:f>IF(CG105="",0,CG105)</x:f>
      </x:c>
      <x:c r="BW105" s="10">
        <x:f>IF(AP105="","",AP105)</x:f>
      </x:c>
      <x:c r="BX105" s="10">
        <x:f>IF(AO105="","",AO105)</x:f>
      </x:c>
      <x:c r="BY105" s="10">
        <x:f>IF(AL105="","",AL105)</x:f>
      </x:c>
      <x:c r="BZ105" s="10">
        <x:f>IF(AM105="","",AM105)</x:f>
      </x:c>
      <x:c r="CA105" s="10">
        <x:f>IF(AK105&lt;&gt;"",AK105,AW105)</x:f>
      </x:c>
      <x:c r="CB105" s="10">
        <x:f>IF((Weights!$C$13*IF(BP105="",0,1)+Weights!$C$14*IF(BR105="",0,1)+Weights!$C$15*IF(BQ105="",0,1)+Weights!$C$16*IF(BS105="",0,1)+Weights!$C$17*IF(BU105="",0,1)+Weights!$C$18*IF(BT105="",0,1)+Weights!$C$19*IF(BW105="",0,1)+Weights!$C$20*IF(BZ105="",0,1)+Weights!$C$21*IF(BO105="",0,1)+Weights!$C$22)=0,"",(Weights!$C$13*IF(BP105="",0,BP105)+Weights!$C$14*IF(BR105="",0,BR105)+Weights!$C$15*IF(BQ105="",0,BQ105)+Weights!$C$16*IF(BS105="",0,BS105)+Weights!$C$17*IF(BU105="",0,BU105)+Weights!$C$18*IF(BT105="",0,BT105)+Weights!$C$19*IF(BW105="",0,BW105)+Weights!$C$20*IF(BZ105="",0,BZ105)+Weights!$C$21*IF(BO105="",0,BO105)+Weights!$C$22*BV105)/(Weights!$C$13*IF(BP105="",0,1)+Weights!$C$14*IF(BR105="",0,1)+Weights!$C$15*IF(BQ105="",0,1)+Weights!$C$16*IF(BS105="",0,1)+Weights!$C$17*IF(BU105="",0,1)+Weights!$C$18*IF(BT105="",0,1)+Weights!$C$19*IF(BW105="",0,1)+Weights!$C$20*IF(BZ105="",0,1)+Weights!$C$21*IF(BO105="",0,1)+Weights!$C$22))</x:f>
      </x:c>
      <x:c r="CC105" s="10">
        <x:f>IF((Weights!$C$23*IF(BQ105="",0,1)+Weights!$C$24*IF(BN105="",0,1)+Weights!$C$25*IF(BS105="",0,1)+Weights!$C$26*IF(BY105="",0,1)+Weights!$C$27*IF(BX105="",0,1)+Weights!$C$28*IF(BT105="",0,1)+Weights!$C$29*IF(CA105="",0,1)+Weights!$C$30+Weights!$C$31*IF(BU105="",0,1))=0,"",(Weights!$C$23*IF(BQ105="",0,BQ105)+Weights!$C$24*IF(BN105="",0,BN105)+Weights!$C$25*IF(BS105="",0,BS105)+Weights!$C$26*IF(BY105="",0,BY105)+Weights!$C$27*IF(BX105="",0,BX105)+Weights!$C$28*IF(BT105="",0,BT105)+Weights!$C$29*IF(CA105="",0,CA105)+Weights!$C$30*BV105+Weights!$C$31*IF(BU105="",0,BU105))/(Weights!$C$23*IF(BQ105="",0,1)+Weights!$C$24*IF(BN105="",0,1)+Weights!$C$25*IF(BS105="",0,1)+Weights!$C$26*IF(BY105="",0,1)+Weights!$C$27*IF(BX105="",0,1)+Weights!$C$28*IF(BT105="",0,1)+Weights!$C$29*IF(CA105="",0,1)+Weights!$C$30+Weights!$C$31*IF(BU105="",0,1)))</x:f>
      </x:c>
      <x:c r="CD105" s="10">
        <x:f>IF(AND(CB105="",CC105=""),"",IF(CB105="",CC105,IF(CC105="",CB105,AVERAGE(CB105,CC105))))</x:f>
      </x:c>
      <x:c r="CE105" s="7">
        <x:f>ROUND(100*((IF(BP105&lt;&gt;"",1,0)+IF(BQ105&lt;&gt;"",1,0)+IF(BR105&lt;&gt;"",1,0)+IF(BS105&lt;&gt;"",1,0)+IF(BU105&lt;&gt;"",1,0)+IF(BT105&lt;&gt;"",1,0)+IF(BN105&lt;&gt;"",1,0)+IF(AW105&lt;&gt;"",1,0))/8),0)</x:f>
      </x:c>
      <x:c r="CF105">
        <x:f>IF(V105="","",LOG10(V105+1))</x:f>
      </x:c>
      <x:c r="CG105">
        <x:f>IF(CF105="","",IF(MAX($CF$2:$CF$252)-MIN($CF$2:$CF$252)=0,"",(CF105-MIN($CF$2:$CF$252))/(MAX($CF$2:$CF$252)-MIN($CF$2:$CF$252))*100))</x:f>
      </x:c>
    </x:row>
    <x:row r="106">
      <x:c r="A106" t="inlineStr">
        <x:is>
          <x:t xml:space="preserve">NCL</x:t>
        </x:is>
      </x:c>
      <x:c r="B106" t="inlineStr">
        <x:is>
          <x:t xml:space="preserve">New Caledonia</x:t>
        </x:is>
      </x:c>
      <x:c r="C106" t="inlineStr">
        <x:is>
          <x:t xml:space="preserve">East Asia &amp; Pacific</x:t>
        </x:is>
      </x:c>
      <x:c r="D106" t="inlineStr">
        <x:is>
          <x:t xml:space="preserve">High income</x:t>
        </x:is>
      </x:c>
      <x:c r="E106" t="inlineStr">
        <x:is>
          <x:t xml:space="preserve">Oceania</x:t>
        </x:is>
      </x:c>
      <x:c r="F106" t="n">
        <x:v>2024</x:v>
      </x:c>
      <x:c r="G106" t="n">
        <x:v>292639</x:v>
      </x:c>
      <x:c r="N106" s="8" t="n"/>
      <x:c r="O106" s="9" t="n"/>
      <x:c r="P106" s="8" t="n"/>
      <x:c r="Q106" t="n">
        <x:v>2024</x:v>
      </x:c>
      <x:c r="R106" s="8" t="n">
        <x:v>8548919387.12607</x:v>
      </x:c>
      <x:c r="S106" t="n">
        <x:v>0</x:v>
      </x:c>
      <x:c r="T106" t="n">
        <x:v>0</x:v>
      </x:c>
      <x:c r="U106" t="inlineStr">
        <x:is>
          <x:t xml:space="preserve">No</x:t>
        </x:is>
      </x:c>
      <x:c r="W106" t="inlineStr">
        <x:is>
          <x:t xml:space="preserve">No</x:t>
        </x:is>
      </x:c>
      <x:c r="X106" t="n">
        <x:v>18.98684250193469</x:v>
      </x:c>
      <x:c r="Y106" t="n">
        <x:v>63.35423333002771</x:v>
      </x:c>
      <x:c r="Z106" t="n">
        <x:v>23219.01173628446</x:v>
      </x:c>
      <x:c r="AA106" t="n">
        <x:v>12.01903005905699</x:v>
      </x:c>
      <x:c r="AB106" s="8" t="n">
        <x:v>38592.46783961014</x:v>
      </x:c>
      <x:c r="AR106">
        <x:f>IF(G106="","",LOG10(G106+1))</x:f>
      </x:c>
      <x:c r="AS106" s="10">
        <x:f>IF(AR106="","",IF(MAX($AR$2:$AR$252)-MIN($AR$2:$AR$252)=0,"",(AR106-MIN($AR$2:$AR$252))/(MAX($AR$2:$AR$252)-MIN($AR$2:$AR$252))*100))</x:f>
      </x:c>
      <x:c r="AT106">
        <x:f>IF(R106="","",LOG10(R106+1))</x:f>
      </x:c>
      <x:c r="AU106" s="10">
        <x:f>IF(AT106="","",IF(MAX($AT$2:$AT$252)-MIN($AT$2:$AT$252)=0,"",(AT106-MIN($AT$2:$AT$252))/(MAX($AT$2:$AT$252)-MIN($AT$2:$AT$252))*100))</x:f>
      </x:c>
      <x:c r="AV106">
        <x:f>IF(N106="","",LOG10(N106+1))</x:f>
      </x:c>
      <x:c r="AW106" s="10">
        <x:f>IF(AV106="","",IF(MAX($AV$2:$AV$252)-MIN($AV$2:$AV$252)=0,"",(AV106-MIN($AV$2:$AV$252))/(MAX($AV$2:$AV$252)-MIN($AV$2:$AV$252))*100))</x:f>
      </x:c>
      <x:c r="AX106">
        <x:f>IF(I106="","",LOG10(I106+1))</x:f>
      </x:c>
      <x:c r="AY106" s="10">
        <x:f>IF(AX106="","",IF(MAX($AX$2:$AX$252)-MIN($AX$2:$AX$252)=0,"",(AX106-MIN($AX$2:$AX$252))/(MAX($AX$2:$AX$252)-MIN($AX$2:$AX$252))*100))</x:f>
      </x:c>
      <x:c r="AZ106">
        <x:f>IF(J106="","",LOG10(J106+1))</x:f>
      </x:c>
      <x:c r="BA106" s="10">
        <x:f>IF(AZ106="","",IF(MAX($AZ$2:$AZ$252)-MIN($AZ$2:$AZ$252)=0,"",(AZ106-MIN($AZ$2:$AZ$252))/(MAX($AZ$2:$AZ$252)-MIN($AZ$2:$AZ$252))*100))</x:f>
      </x:c>
      <x:c r="BB106">
        <x:f>IF(K106="","",LOG10(K106+1))</x:f>
      </x:c>
      <x:c r="BC106" s="10">
        <x:f>IF(BB106="","",IF(MAX($BB$2:$BB$252)-MIN($BB$2:$BB$252)=0,"",(BB106-MIN($BB$2:$BB$252))/(MAX($BB$2:$BB$252)-MIN($BB$2:$BB$252))*100))</x:f>
      </x:c>
      <x:c r="BD106">
        <x:f>IF(L106="","",LOG10(L106+1))</x:f>
      </x:c>
      <x:c r="BE106" s="10">
        <x:f>IF(BD106="","",IF(MAX($BD$2:$BD$252)-MIN($BD$2:$BD$252)=0,"",(BD106-MIN($BD$2:$BD$252))/(MAX($BD$2:$BD$252)-MIN($BD$2:$BD$252))*100))</x:f>
      </x:c>
      <x:c r="BF106" s="10">
        <x:f>IF(P106="","",IF(MAX($P$2:$P$252)-MIN($P$2:$P$252)=0,"",(P106-MIN($P$2:$P$252))/(MAX($P$2:$P$252)-MIN($P$2:$P$252))*100))</x:f>
      </x:c>
      <x:c r="BG106">
        <x:f>IF(AF106="","",LOG10(AF106+1))</x:f>
      </x:c>
      <x:c r="BH106" s="10">
        <x:f>IF(BG106="","",IF(MAX($BG$2:$BG$252)-MIN($BG$2:$BG$252)=0,"",(BG106-MIN($BG$2:$BG$252))/(MAX($BG$2:$BG$252)-MIN($BG$2:$BG$252))*100))</x:f>
      </x:c>
      <x:c r="BI106">
        <x:f>IF(AC106="","",LOG10(AC106+1))</x:f>
      </x:c>
      <x:c r="BJ106" s="10">
        <x:f>IF(BI106="","",IF(MAX($BI$2:$BI$252)-MIN($BI$2:$BI$252)=0,"",(BI106-MIN($BI$2:$BI$252))/(MAX($BI$2:$BI$252)-MIN($BI$2:$BI$252))*100))</x:f>
      </x:c>
      <x:c r="BK106">
        <x:f>IF(AD106="","",(AD106*2)+(AE106*1))</x:f>
      </x:c>
      <x:c r="BL106" s="10">
        <x:f>IF(BK106="","",IF(MAX($BK$2:$BK$252)-MIN($BK$2:$BK$252)=0,"",(BK106-MIN($BK$2:$BK$252))/(MAX($BK$2:$BK$252)-MIN($BK$2:$BK$252))*100))</x:f>
      </x:c>
      <x:c r="BM106" s="10">
        <x:f>IF(AB106="","",IF(MAX($AB$2:$AB$252)-MIN($AB$2:$AB$252)=0,"",(AB106-MIN($AB$2:$AB$252))/(MAX($AB$2:$AB$252)-MIN($AB$2:$AB$252))*100))</x:f>
      </x:c>
      <x:c r="BN106" s="10">
        <x:f>IF(X106="","",X106)</x:f>
      </x:c>
      <x:c r="BO106" s="10">
        <x:f>IF(X106="","",100-X106)</x:f>
      </x:c>
      <x:c r="BP106" s="10">
        <x:f>IF((Weights!$C$2*IF(BH106="",0,1)+Weights!$C$3*IF(BJ106="",0,1)+Weights!$C$4*IF(BL106="",0,1))=0,"",(Weights!$C$2*IF(BH106="",0,BH106)+Weights!$C$3*IF(BJ106="",0,BJ106)+Weights!$C$4*IF(BL106="",0,BL106))/(Weights!$C$2*IF(BH106="",0,1)+Weights!$C$3*IF(BJ106="",0,1)+Weights!$C$4*IF(BL106="",0,1)))</x:f>
      </x:c>
      <x:c r="BQ106" s="10">
        <x:f>IF((Weights!$C$5*IF(BA106="",0,1)+Weights!$C$6*IF(AW106="",0,1)+Weights!$C$7*IF(AU106="",0,1))=0,"",(Weights!$C$5*IF(BA106="",0,BA106)+Weights!$C$6*IF(AW106="",0,AW106)+Weights!$C$7*IF(AU106="",0,AU106))/(Weights!$C$5*IF(BA106="",0,1)+Weights!$C$6*IF(AW106="",0,1)+Weights!$C$7*IF(AU106="",0,1)))</x:f>
      </x:c>
      <x:c r="BR106" s="10">
        <x:f>IF((Weights!$C$8*IF(AW106="",0,1)+Weights!$C$9*IF(BC106="",0,1)+Weights!$C$10*IF(BF106="",0,1))=0,"",(Weights!$C$8*IF(AW106="",0,AW106)+Weights!$C$9*IF(BC106="",0,BC106)+Weights!$C$10*IF(BF106="",0,BF106))/(Weights!$C$8*IF(AW106="",0,1)+Weights!$C$9*IF(BC106="",0,1)+Weights!$C$10*IF(BF106="",0,1)))</x:f>
      </x:c>
      <x:c r="BS106" s="10">
        <x:f>IF(Y106="","",Y106)</x:f>
      </x:c>
      <x:c r="BT106" s="10">
        <x:f>IF(AS106="","",AS106)</x:f>
      </x:c>
      <x:c r="BU106" s="10">
        <x:f>IF(AJ106&lt;&gt;"",(0.6*AJ106+0.4*AU106),IF((Weights!$C$11*IF(AU106="",0,1)+Weights!$C$12*IF(BM106="",0,1))=0,"",(Weights!$C$11*IF(AU106="",0,AU106)+Weights!$C$12*IF(BM106="",0,BM106))/(Weights!$C$11*IF(AU106="",0,1)+Weights!$C$12*IF(BM106="",0,1))))</x:f>
      </x:c>
      <x:c r="BV106" s="10">
        <x:f>IF(CG106="",0,CG106)</x:f>
      </x:c>
      <x:c r="BW106" s="10">
        <x:f>IF(AP106="","",AP106)</x:f>
      </x:c>
      <x:c r="BX106" s="10">
        <x:f>IF(AO106="","",AO106)</x:f>
      </x:c>
      <x:c r="BY106" s="10">
        <x:f>IF(AL106="","",AL106)</x:f>
      </x:c>
      <x:c r="BZ106" s="10">
        <x:f>IF(AM106="","",AM106)</x:f>
      </x:c>
      <x:c r="CA106" s="10">
        <x:f>IF(AK106&lt;&gt;"",AK106,AW106)</x:f>
      </x:c>
      <x:c r="CB106" s="10">
        <x:f>IF((Weights!$C$13*IF(BP106="",0,1)+Weights!$C$14*IF(BR106="",0,1)+Weights!$C$15*IF(BQ106="",0,1)+Weights!$C$16*IF(BS106="",0,1)+Weights!$C$17*IF(BU106="",0,1)+Weights!$C$18*IF(BT106="",0,1)+Weights!$C$19*IF(BW106="",0,1)+Weights!$C$20*IF(BZ106="",0,1)+Weights!$C$21*IF(BO106="",0,1)+Weights!$C$22)=0,"",(Weights!$C$13*IF(BP106="",0,BP106)+Weights!$C$14*IF(BR106="",0,BR106)+Weights!$C$15*IF(BQ106="",0,BQ106)+Weights!$C$16*IF(BS106="",0,BS106)+Weights!$C$17*IF(BU106="",0,BU106)+Weights!$C$18*IF(BT106="",0,BT106)+Weights!$C$19*IF(BW106="",0,BW106)+Weights!$C$20*IF(BZ106="",0,BZ106)+Weights!$C$21*IF(BO106="",0,BO106)+Weights!$C$22*BV106)/(Weights!$C$13*IF(BP106="",0,1)+Weights!$C$14*IF(BR106="",0,1)+Weights!$C$15*IF(BQ106="",0,1)+Weights!$C$16*IF(BS106="",0,1)+Weights!$C$17*IF(BU106="",0,1)+Weights!$C$18*IF(BT106="",0,1)+Weights!$C$19*IF(BW106="",0,1)+Weights!$C$20*IF(BZ106="",0,1)+Weights!$C$21*IF(BO106="",0,1)+Weights!$C$22))</x:f>
      </x:c>
      <x:c r="CC106" s="10">
        <x:f>IF((Weights!$C$23*IF(BQ106="",0,1)+Weights!$C$24*IF(BN106="",0,1)+Weights!$C$25*IF(BS106="",0,1)+Weights!$C$26*IF(BY106="",0,1)+Weights!$C$27*IF(BX106="",0,1)+Weights!$C$28*IF(BT106="",0,1)+Weights!$C$29*IF(CA106="",0,1)+Weights!$C$30+Weights!$C$31*IF(BU106="",0,1))=0,"",(Weights!$C$23*IF(BQ106="",0,BQ106)+Weights!$C$24*IF(BN106="",0,BN106)+Weights!$C$25*IF(BS106="",0,BS106)+Weights!$C$26*IF(BY106="",0,BY106)+Weights!$C$27*IF(BX106="",0,BX106)+Weights!$C$28*IF(BT106="",0,BT106)+Weights!$C$29*IF(CA106="",0,CA106)+Weights!$C$30*BV106+Weights!$C$31*IF(BU106="",0,BU106))/(Weights!$C$23*IF(BQ106="",0,1)+Weights!$C$24*IF(BN106="",0,1)+Weights!$C$25*IF(BS106="",0,1)+Weights!$C$26*IF(BY106="",0,1)+Weights!$C$27*IF(BX106="",0,1)+Weights!$C$28*IF(BT106="",0,1)+Weights!$C$29*IF(CA106="",0,1)+Weights!$C$30+Weights!$C$31*IF(BU106="",0,1)))</x:f>
      </x:c>
      <x:c r="CD106" s="10">
        <x:f>IF(AND(CB106="",CC106=""),"",IF(CB106="",CC106,IF(CC106="",CB106,AVERAGE(CB106,CC106))))</x:f>
      </x:c>
      <x:c r="CE106" s="7">
        <x:f>ROUND(100*((IF(BP106&lt;&gt;"",1,0)+IF(BQ106&lt;&gt;"",1,0)+IF(BR106&lt;&gt;"",1,0)+IF(BS106&lt;&gt;"",1,0)+IF(BU106&lt;&gt;"",1,0)+IF(BT106&lt;&gt;"",1,0)+IF(BN106&lt;&gt;"",1,0)+IF(AW106&lt;&gt;"",1,0))/8),0)</x:f>
      </x:c>
      <x:c r="CF106">
        <x:f>IF(V106="","",LOG10(V106+1))</x:f>
      </x:c>
      <x:c r="CG106">
        <x:f>IF(CF106="","",IF(MAX($CF$2:$CF$252)-MIN($CF$2:$CF$252)=0,"",(CF106-MIN($CF$2:$CF$252))/(MAX($CF$2:$CF$252)-MIN($CF$2:$CF$252))*100))</x:f>
      </x:c>
    </x:row>
    <x:row r="107">
      <x:c r="A107" t="inlineStr">
        <x:is>
          <x:t xml:space="preserve">NZL</x:t>
        </x:is>
      </x:c>
      <x:c r="B107" t="inlineStr">
        <x:is>
          <x:t xml:space="preserve">New Zealand</x:t>
        </x:is>
      </x:c>
      <x:c r="C107" t="inlineStr">
        <x:is>
          <x:t xml:space="preserve">East Asia &amp; Pacific</x:t>
        </x:is>
      </x:c>
      <x:c r="D107" t="inlineStr">
        <x:is>
          <x:t xml:space="preserve">High income</x:t>
        </x:is>
      </x:c>
      <x:c r="E107" t="inlineStr">
        <x:is>
          <x:t xml:space="preserve">Oceania</x:t>
        </x:is>
      </x:c>
      <x:c r="F107" t="n">
        <x:v>2024</x:v>
      </x:c>
      <x:c r="G107" t="n">
        <x:v>5287500</x:v>
      </x:c>
      <x:c r="H107" t="n">
        <x:v>2020</x:v>
      </x:c>
      <x:c r="I107" t="n">
        <x:v>10000</x:v>
      </x:c>
      <x:c r="J107" t="n">
        <x:v>6500</x:v>
      </x:c>
      <x:c r="K107" t="n">
        <x:v>2000</x:v>
      </x:c>
      <x:c r="L107" t="n">
        <x:v>1200</x:v>
      </x:c>
      <x:c r="M107" t="n">
        <x:v>2024</x:v>
      </x:c>
      <x:c r="N107" s="8" t="n">
        <x:v>2998527517.58211</x:v>
      </x:c>
      <x:c r="O107" s="9" t="n">
        <x:v>1.19404695449297</x:v>
      </x:c>
      <x:c r="P107" s="8" t="n">
        <x:v>299852.751758211</x:v>
      </x:c>
      <x:c r="Q107" t="n">
        <x:v>2024</x:v>
      </x:c>
      <x:c r="R107" s="8" t="n">
        <x:v>260172385097.617</x:v>
      </x:c>
      <x:c r="S107" t="n">
        <x:v>1</x:v>
      </x:c>
      <x:c r="T107" t="n">
        <x:v>0</x:v>
      </x:c>
      <x:c r="U107" t="inlineStr">
        <x:is>
          <x:t xml:space="preserve">No</x:t>
        </x:is>
      </x:c>
      <x:c r="W107" t="inlineStr">
        <x:is>
          <x:t xml:space="preserve">No</x:t>
        </x:is>
      </x:c>
      <x:c r="X107" t="n">
        <x:v>46.74046426064699</x:v>
      </x:c>
      <x:c r="Y107" t="n">
        <x:v>65.18052214897884</x:v>
      </x:c>
      <x:c r="Z107" t="n">
        <x:v>277627.6045396538</x:v>
      </x:c>
      <x:c r="AA107" t="n">
        <x:v>16.24596015039198</x:v>
      </x:c>
      <x:c r="AB107" s="8" t="n">
        <x:v>38755.50486694202</x:v>
      </x:c>
      <x:c r="AC107" t="n">
        <x:v>9</x:v>
      </x:c>
      <x:c r="AD107" t="n">
        <x:v>0</x:v>
      </x:c>
      <x:c r="AE107" t="n">
        <x:v>0</x:v>
      </x:c>
      <x:c r="AI107" t="n">
        <x:v>16.8</x:v>
      </x:c>
      <x:c r="AJ107" t="n">
        <x:v>5.9</x:v>
      </x:c>
      <x:c r="AK107" t="n">
        <x:v>10.3</x:v>
      </x:c>
      <x:c r="AL107" t="n">
        <x:v>39.3</x:v>
      </x:c>
      <x:c r="AM107" t="n">
        <x:v>3.7</x:v>
      </x:c>
      <x:c r="AN107" t="n">
        <x:v>11.5</x:v>
      </x:c>
      <x:c r="AO107" t="n">
        <x:v>30.3</x:v>
      </x:c>
      <x:c r="AP107" t="n">
        <x:v>37.8</x:v>
      </x:c>
      <x:c r="AQ107" t="n">
        <x:v>11.4</x:v>
      </x:c>
      <x:c r="AR107">
        <x:f>IF(G107="","",LOG10(G107+1))</x:f>
      </x:c>
      <x:c r="AS107" s="10">
        <x:f>IF(AR107="","",IF(MAX($AR$2:$AR$252)-MIN($AR$2:$AR$252)=0,"",(AR107-MIN($AR$2:$AR$252))/(MAX($AR$2:$AR$252)-MIN($AR$2:$AR$252))*100))</x:f>
      </x:c>
      <x:c r="AT107">
        <x:f>IF(R107="","",LOG10(R107+1))</x:f>
      </x:c>
      <x:c r="AU107" s="10">
        <x:f>IF(AT107="","",IF(MAX($AT$2:$AT$252)-MIN($AT$2:$AT$252)=0,"",(AT107-MIN($AT$2:$AT$252))/(MAX($AT$2:$AT$252)-MIN($AT$2:$AT$252))*100))</x:f>
      </x:c>
      <x:c r="AV107">
        <x:f>IF(N107="","",LOG10(N107+1))</x:f>
      </x:c>
      <x:c r="AW107" s="10">
        <x:f>IF(AV107="","",IF(MAX($AV$2:$AV$252)-MIN($AV$2:$AV$252)=0,"",(AV107-MIN($AV$2:$AV$252))/(MAX($AV$2:$AV$252)-MIN($AV$2:$AV$252))*100))</x:f>
      </x:c>
      <x:c r="AX107">
        <x:f>IF(I107="","",LOG10(I107+1))</x:f>
      </x:c>
      <x:c r="AY107" s="10">
        <x:f>IF(AX107="","",IF(MAX($AX$2:$AX$252)-MIN($AX$2:$AX$252)=0,"",(AX107-MIN($AX$2:$AX$252))/(MAX($AX$2:$AX$252)-MIN($AX$2:$AX$252))*100))</x:f>
      </x:c>
      <x:c r="AZ107">
        <x:f>IF(J107="","",LOG10(J107+1))</x:f>
      </x:c>
      <x:c r="BA107" s="10">
        <x:f>IF(AZ107="","",IF(MAX($AZ$2:$AZ$252)-MIN($AZ$2:$AZ$252)=0,"",(AZ107-MIN($AZ$2:$AZ$252))/(MAX($AZ$2:$AZ$252)-MIN($AZ$2:$AZ$252))*100))</x:f>
      </x:c>
      <x:c r="BB107">
        <x:f>IF(K107="","",LOG10(K107+1))</x:f>
      </x:c>
      <x:c r="BC107" s="10">
        <x:f>IF(BB107="","",IF(MAX($BB$2:$BB$252)-MIN($BB$2:$BB$252)=0,"",(BB107-MIN($BB$2:$BB$252))/(MAX($BB$2:$BB$252)-MIN($BB$2:$BB$252))*100))</x:f>
      </x:c>
      <x:c r="BD107">
        <x:f>IF(L107="","",LOG10(L107+1))</x:f>
      </x:c>
      <x:c r="BE107" s="10">
        <x:f>IF(BD107="","",IF(MAX($BD$2:$BD$252)-MIN($BD$2:$BD$252)=0,"",(BD107-MIN($BD$2:$BD$252))/(MAX($BD$2:$BD$252)-MIN($BD$2:$BD$252))*100))</x:f>
      </x:c>
      <x:c r="BF107" s="10">
        <x:f>IF(P107="","",IF(MAX($P$2:$P$252)-MIN($P$2:$P$252)=0,"",(P107-MIN($P$2:$P$252))/(MAX($P$2:$P$252)-MIN($P$2:$P$252))*100))</x:f>
      </x:c>
      <x:c r="BG107">
        <x:f>IF(AF107="","",LOG10(AF107+1))</x:f>
      </x:c>
      <x:c r="BH107" s="10">
        <x:f>IF(BG107="","",IF(MAX($BG$2:$BG$252)-MIN($BG$2:$BG$252)=0,"",(BG107-MIN($BG$2:$BG$252))/(MAX($BG$2:$BG$252)-MIN($BG$2:$BG$252))*100))</x:f>
      </x:c>
      <x:c r="BI107">
        <x:f>IF(AC107="","",LOG10(AC107+1))</x:f>
      </x:c>
      <x:c r="BJ107" s="10">
        <x:f>IF(BI107="","",IF(MAX($BI$2:$BI$252)-MIN($BI$2:$BI$252)=0,"",(BI107-MIN($BI$2:$BI$252))/(MAX($BI$2:$BI$252)-MIN($BI$2:$BI$252))*100))</x:f>
      </x:c>
      <x:c r="BK107">
        <x:f>IF(AD107="","",(AD107*2)+(AE107*1))</x:f>
      </x:c>
      <x:c r="BL107" s="10">
        <x:f>IF(BK107="","",IF(MAX($BK$2:$BK$252)-MIN($BK$2:$BK$252)=0,"",(BK107-MIN($BK$2:$BK$252))/(MAX($BK$2:$BK$252)-MIN($BK$2:$BK$252))*100))</x:f>
      </x:c>
      <x:c r="BM107" s="10">
        <x:f>IF(AB107="","",IF(MAX($AB$2:$AB$252)-MIN($AB$2:$AB$252)=0,"",(AB107-MIN($AB$2:$AB$252))/(MAX($AB$2:$AB$252)-MIN($AB$2:$AB$252))*100))</x:f>
      </x:c>
      <x:c r="BN107" s="10">
        <x:f>IF(X107="","",X107)</x:f>
      </x:c>
      <x:c r="BO107" s="10">
        <x:f>IF(X107="","",100-X107)</x:f>
      </x:c>
      <x:c r="BP107" s="10">
        <x:f>IF((Weights!$C$2*IF(BH107="",0,1)+Weights!$C$3*IF(BJ107="",0,1)+Weights!$C$4*IF(BL107="",0,1))=0,"",(Weights!$C$2*IF(BH107="",0,BH107)+Weights!$C$3*IF(BJ107="",0,BJ107)+Weights!$C$4*IF(BL107="",0,BL107))/(Weights!$C$2*IF(BH107="",0,1)+Weights!$C$3*IF(BJ107="",0,1)+Weights!$C$4*IF(BL107="",0,1)))</x:f>
      </x:c>
      <x:c r="BQ107" s="10">
        <x:f>IF((Weights!$C$5*IF(BA107="",0,1)+Weights!$C$6*IF(AW107="",0,1)+Weights!$C$7*IF(AU107="",0,1))=0,"",(Weights!$C$5*IF(BA107="",0,BA107)+Weights!$C$6*IF(AW107="",0,AW107)+Weights!$C$7*IF(AU107="",0,AU107))/(Weights!$C$5*IF(BA107="",0,1)+Weights!$C$6*IF(AW107="",0,1)+Weights!$C$7*IF(AU107="",0,1)))</x:f>
      </x:c>
      <x:c r="BR107" s="10">
        <x:f>IF((Weights!$C$8*IF(AW107="",0,1)+Weights!$C$9*IF(BC107="",0,1)+Weights!$C$10*IF(BF107="",0,1))=0,"",(Weights!$C$8*IF(AW107="",0,AW107)+Weights!$C$9*IF(BC107="",0,BC107)+Weights!$C$10*IF(BF107="",0,BF107))/(Weights!$C$8*IF(AW107="",0,1)+Weights!$C$9*IF(BC107="",0,1)+Weights!$C$10*IF(BF107="",0,1)))</x:f>
      </x:c>
      <x:c r="BS107" s="10">
        <x:f>IF(Y107="","",Y107)</x:f>
      </x:c>
      <x:c r="BT107" s="10">
        <x:f>IF(AS107="","",AS107)</x:f>
      </x:c>
      <x:c r="BU107" s="10">
        <x:f>IF(AJ107&lt;&gt;"",(0.6*AJ107+0.4*AU107),IF((Weights!$C$11*IF(AU107="",0,1)+Weights!$C$12*IF(BM107="",0,1))=0,"",(Weights!$C$11*IF(AU107="",0,AU107)+Weights!$C$12*IF(BM107="",0,BM107))/(Weights!$C$11*IF(AU107="",0,1)+Weights!$C$12*IF(BM107="",0,1))))</x:f>
      </x:c>
      <x:c r="BV107" s="10">
        <x:f>IF(CG107="",0,CG107)</x:f>
      </x:c>
      <x:c r="BW107" s="10">
        <x:f>IF(AP107="","",AP107)</x:f>
      </x:c>
      <x:c r="BX107" s="10">
        <x:f>IF(AO107="","",AO107)</x:f>
      </x:c>
      <x:c r="BY107" s="10">
        <x:f>IF(AL107="","",AL107)</x:f>
      </x:c>
      <x:c r="BZ107" s="10">
        <x:f>IF(AM107="","",AM107)</x:f>
      </x:c>
      <x:c r="CA107" s="10">
        <x:f>IF(AK107&lt;&gt;"",AK107,AW107)</x:f>
      </x:c>
      <x:c r="CB107" s="10">
        <x:f>IF((Weights!$C$13*IF(BP107="",0,1)+Weights!$C$14*IF(BR107="",0,1)+Weights!$C$15*IF(BQ107="",0,1)+Weights!$C$16*IF(BS107="",0,1)+Weights!$C$17*IF(BU107="",0,1)+Weights!$C$18*IF(BT107="",0,1)+Weights!$C$19*IF(BW107="",0,1)+Weights!$C$20*IF(BZ107="",0,1)+Weights!$C$21*IF(BO107="",0,1)+Weights!$C$22)=0,"",(Weights!$C$13*IF(BP107="",0,BP107)+Weights!$C$14*IF(BR107="",0,BR107)+Weights!$C$15*IF(BQ107="",0,BQ107)+Weights!$C$16*IF(BS107="",0,BS107)+Weights!$C$17*IF(BU107="",0,BU107)+Weights!$C$18*IF(BT107="",0,BT107)+Weights!$C$19*IF(BW107="",0,BW107)+Weights!$C$20*IF(BZ107="",0,BZ107)+Weights!$C$21*IF(BO107="",0,BO107)+Weights!$C$22*BV107)/(Weights!$C$13*IF(BP107="",0,1)+Weights!$C$14*IF(BR107="",0,1)+Weights!$C$15*IF(BQ107="",0,1)+Weights!$C$16*IF(BS107="",0,1)+Weights!$C$17*IF(BU107="",0,1)+Weights!$C$18*IF(BT107="",0,1)+Weights!$C$19*IF(BW107="",0,1)+Weights!$C$20*IF(BZ107="",0,1)+Weights!$C$21*IF(BO107="",0,1)+Weights!$C$22))</x:f>
      </x:c>
      <x:c r="CC107" s="10">
        <x:f>IF((Weights!$C$23*IF(BQ107="",0,1)+Weights!$C$24*IF(BN107="",0,1)+Weights!$C$25*IF(BS107="",0,1)+Weights!$C$26*IF(BY107="",0,1)+Weights!$C$27*IF(BX107="",0,1)+Weights!$C$28*IF(BT107="",0,1)+Weights!$C$29*IF(CA107="",0,1)+Weights!$C$30+Weights!$C$31*IF(BU107="",0,1))=0,"",(Weights!$C$23*IF(BQ107="",0,BQ107)+Weights!$C$24*IF(BN107="",0,BN107)+Weights!$C$25*IF(BS107="",0,BS107)+Weights!$C$26*IF(BY107="",0,BY107)+Weights!$C$27*IF(BX107="",0,BX107)+Weights!$C$28*IF(BT107="",0,BT107)+Weights!$C$29*IF(CA107="",0,CA107)+Weights!$C$30*BV107+Weights!$C$31*IF(BU107="",0,BU107))/(Weights!$C$23*IF(BQ107="",0,1)+Weights!$C$24*IF(BN107="",0,1)+Weights!$C$25*IF(BS107="",0,1)+Weights!$C$26*IF(BY107="",0,1)+Weights!$C$27*IF(BX107="",0,1)+Weights!$C$28*IF(BT107="",0,1)+Weights!$C$29*IF(CA107="",0,1)+Weights!$C$30+Weights!$C$31*IF(BU107="",0,1)))</x:f>
      </x:c>
      <x:c r="CD107" s="10">
        <x:f>IF(AND(CB107="",CC107=""),"",IF(CB107="",CC107,IF(CC107="",CB107,AVERAGE(CB107,CC107))))</x:f>
      </x:c>
      <x:c r="CE107" s="7">
        <x:f>ROUND(100*((IF(BP107&lt;&gt;"",1,0)+IF(BQ107&lt;&gt;"",1,0)+IF(BR107&lt;&gt;"",1,0)+IF(BS107&lt;&gt;"",1,0)+IF(BU107&lt;&gt;"",1,0)+IF(BT107&lt;&gt;"",1,0)+IF(BN107&lt;&gt;"",1,0)+IF(AW107&lt;&gt;"",1,0))/8),0)</x:f>
      </x:c>
      <x:c r="CF107">
        <x:f>IF(V107="","",LOG10(V107+1))</x:f>
      </x:c>
      <x:c r="CG107">
        <x:f>IF(CF107="","",IF(MAX($CF$2:$CF$252)-MIN($CF$2:$CF$252)=0,"",(CF107-MIN($CF$2:$CF$252))/(MAX($CF$2:$CF$252)-MIN($CF$2:$CF$252))*100))</x:f>
      </x:c>
    </x:row>
    <x:row r="108">
      <x:c r="A108" t="inlineStr">
        <x:is>
          <x:t xml:space="preserve">NIU</x:t>
        </x:is>
      </x:c>
      <x:c r="B108" t="inlineStr">
        <x:is>
          <x:t xml:space="preserve">Niue</x:t>
        </x:is>
      </x:c>
      <x:c r="N108" s="8" t="n"/>
      <x:c r="O108" s="9" t="n"/>
      <x:c r="P108" s="8" t="n"/>
      <x:c r="R108" s="8" t="n"/>
      <x:c r="AB108" s="8" t="n"/>
      <x:c r="AR108">
        <x:f>IF(G108="","",LOG10(G108+1))</x:f>
      </x:c>
      <x:c r="AS108" s="10">
        <x:f>IF(AR108="","",IF(MAX($AR$2:$AR$252)-MIN($AR$2:$AR$252)=0,"",(AR108-MIN($AR$2:$AR$252))/(MAX($AR$2:$AR$252)-MIN($AR$2:$AR$252))*100))</x:f>
      </x:c>
      <x:c r="AT108">
        <x:f>IF(R108="","",LOG10(R108+1))</x:f>
      </x:c>
      <x:c r="AU108" s="10">
        <x:f>IF(AT108="","",IF(MAX($AT$2:$AT$252)-MIN($AT$2:$AT$252)=0,"",(AT108-MIN($AT$2:$AT$252))/(MAX($AT$2:$AT$252)-MIN($AT$2:$AT$252))*100))</x:f>
      </x:c>
      <x:c r="AV108">
        <x:f>IF(N108="","",LOG10(N108+1))</x:f>
      </x:c>
      <x:c r="AW108" s="10">
        <x:f>IF(AV108="","",IF(MAX($AV$2:$AV$252)-MIN($AV$2:$AV$252)=0,"",(AV108-MIN($AV$2:$AV$252))/(MAX($AV$2:$AV$252)-MIN($AV$2:$AV$252))*100))</x:f>
      </x:c>
      <x:c r="AX108">
        <x:f>IF(I108="","",LOG10(I108+1))</x:f>
      </x:c>
      <x:c r="AY108" s="10">
        <x:f>IF(AX108="","",IF(MAX($AX$2:$AX$252)-MIN($AX$2:$AX$252)=0,"",(AX108-MIN($AX$2:$AX$252))/(MAX($AX$2:$AX$252)-MIN($AX$2:$AX$252))*100))</x:f>
      </x:c>
      <x:c r="AZ108">
        <x:f>IF(J108="","",LOG10(J108+1))</x:f>
      </x:c>
      <x:c r="BA108" s="10">
        <x:f>IF(AZ108="","",IF(MAX($AZ$2:$AZ$252)-MIN($AZ$2:$AZ$252)=0,"",(AZ108-MIN($AZ$2:$AZ$252))/(MAX($AZ$2:$AZ$252)-MIN($AZ$2:$AZ$252))*100))</x:f>
      </x:c>
      <x:c r="BB108">
        <x:f>IF(K108="","",LOG10(K108+1))</x:f>
      </x:c>
      <x:c r="BC108" s="10">
        <x:f>IF(BB108="","",IF(MAX($BB$2:$BB$252)-MIN($BB$2:$BB$252)=0,"",(BB108-MIN($BB$2:$BB$252))/(MAX($BB$2:$BB$252)-MIN($BB$2:$BB$252))*100))</x:f>
      </x:c>
      <x:c r="BD108">
        <x:f>IF(L108="","",LOG10(L108+1))</x:f>
      </x:c>
      <x:c r="BE108" s="10">
        <x:f>IF(BD108="","",IF(MAX($BD$2:$BD$252)-MIN($BD$2:$BD$252)=0,"",(BD108-MIN($BD$2:$BD$252))/(MAX($BD$2:$BD$252)-MIN($BD$2:$BD$252))*100))</x:f>
      </x:c>
      <x:c r="BF108" s="10">
        <x:f>IF(P108="","",IF(MAX($P$2:$P$252)-MIN($P$2:$P$252)=0,"",(P108-MIN($P$2:$P$252))/(MAX($P$2:$P$252)-MIN($P$2:$P$252))*100))</x:f>
      </x:c>
      <x:c r="BG108">
        <x:f>IF(AF108="","",LOG10(AF108+1))</x:f>
      </x:c>
      <x:c r="BH108" s="10">
        <x:f>IF(BG108="","",IF(MAX($BG$2:$BG$252)-MIN($BG$2:$BG$252)=0,"",(BG108-MIN($BG$2:$BG$252))/(MAX($BG$2:$BG$252)-MIN($BG$2:$BG$252))*100))</x:f>
      </x:c>
      <x:c r="BI108">
        <x:f>IF(AC108="","",LOG10(AC108+1))</x:f>
      </x:c>
      <x:c r="BJ108" s="10">
        <x:f>IF(BI108="","",IF(MAX($BI$2:$BI$252)-MIN($BI$2:$BI$252)=0,"",(BI108-MIN($BI$2:$BI$252))/(MAX($BI$2:$BI$252)-MIN($BI$2:$BI$252))*100))</x:f>
      </x:c>
      <x:c r="BK108">
        <x:f>IF(AD108="","",(AD108*2)+(AE108*1))</x:f>
      </x:c>
      <x:c r="BL108" s="10">
        <x:f>IF(BK108="","",IF(MAX($BK$2:$BK$252)-MIN($BK$2:$BK$252)=0,"",(BK108-MIN($BK$2:$BK$252))/(MAX($BK$2:$BK$252)-MIN($BK$2:$BK$252))*100))</x:f>
      </x:c>
      <x:c r="BM108" s="10">
        <x:f>IF(AB108="","",IF(MAX($AB$2:$AB$252)-MIN($AB$2:$AB$252)=0,"",(AB108-MIN($AB$2:$AB$252))/(MAX($AB$2:$AB$252)-MIN($AB$2:$AB$252))*100))</x:f>
      </x:c>
      <x:c r="BN108" s="10">
        <x:f>IF(X108="","",X108)</x:f>
      </x:c>
      <x:c r="BO108" s="10">
        <x:f>IF(X108="","",100-X108)</x:f>
      </x:c>
      <x:c r="BP108" s="10">
        <x:f>IF((Weights!$C$2*IF(BH108="",0,1)+Weights!$C$3*IF(BJ108="",0,1)+Weights!$C$4*IF(BL108="",0,1))=0,"",(Weights!$C$2*IF(BH108="",0,BH108)+Weights!$C$3*IF(BJ108="",0,BJ108)+Weights!$C$4*IF(BL108="",0,BL108))/(Weights!$C$2*IF(BH108="",0,1)+Weights!$C$3*IF(BJ108="",0,1)+Weights!$C$4*IF(BL108="",0,1)))</x:f>
      </x:c>
      <x:c r="BQ108" s="10">
        <x:f>IF((Weights!$C$5*IF(BA108="",0,1)+Weights!$C$6*IF(AW108="",0,1)+Weights!$C$7*IF(AU108="",0,1))=0,"",(Weights!$C$5*IF(BA108="",0,BA108)+Weights!$C$6*IF(AW108="",0,AW108)+Weights!$C$7*IF(AU108="",0,AU108))/(Weights!$C$5*IF(BA108="",0,1)+Weights!$C$6*IF(AW108="",0,1)+Weights!$C$7*IF(AU108="",0,1)))</x:f>
      </x:c>
      <x:c r="BR108" s="10">
        <x:f>IF((Weights!$C$8*IF(AW108="",0,1)+Weights!$C$9*IF(BC108="",0,1)+Weights!$C$10*IF(BF108="",0,1))=0,"",(Weights!$C$8*IF(AW108="",0,AW108)+Weights!$C$9*IF(BC108="",0,BC108)+Weights!$C$10*IF(BF108="",0,BF108))/(Weights!$C$8*IF(AW108="",0,1)+Weights!$C$9*IF(BC108="",0,1)+Weights!$C$10*IF(BF108="",0,1)))</x:f>
      </x:c>
      <x:c r="BS108" s="10">
        <x:f>IF(Y108="","",Y108)</x:f>
      </x:c>
      <x:c r="BT108" s="10">
        <x:f>IF(AS108="","",AS108)</x:f>
      </x:c>
      <x:c r="BU108" s="10">
        <x:f>IF(AJ108&lt;&gt;"",(0.6*AJ108+0.4*AU108),IF((Weights!$C$11*IF(AU108="",0,1)+Weights!$C$12*IF(BM108="",0,1))=0,"",(Weights!$C$11*IF(AU108="",0,AU108)+Weights!$C$12*IF(BM108="",0,BM108))/(Weights!$C$11*IF(AU108="",0,1)+Weights!$C$12*IF(BM108="",0,1))))</x:f>
      </x:c>
      <x:c r="BV108" s="10">
        <x:f>IF(CG108="",0,CG108)</x:f>
      </x:c>
      <x:c r="BW108" s="10">
        <x:f>IF(AP108="","",AP108)</x:f>
      </x:c>
      <x:c r="BX108" s="10">
        <x:f>IF(AO108="","",AO108)</x:f>
      </x:c>
      <x:c r="BY108" s="10">
        <x:f>IF(AL108="","",AL108)</x:f>
      </x:c>
      <x:c r="BZ108" s="10">
        <x:f>IF(AM108="","",AM108)</x:f>
      </x:c>
      <x:c r="CA108" s="10">
        <x:f>IF(AK108&lt;&gt;"",AK108,AW108)</x:f>
      </x:c>
      <x:c r="CB108" s="10">
        <x:f>IF((Weights!$C$13*IF(BP108="",0,1)+Weights!$C$14*IF(BR108="",0,1)+Weights!$C$15*IF(BQ108="",0,1)+Weights!$C$16*IF(BS108="",0,1)+Weights!$C$17*IF(BU108="",0,1)+Weights!$C$18*IF(BT108="",0,1)+Weights!$C$19*IF(BW108="",0,1)+Weights!$C$20*IF(BZ108="",0,1)+Weights!$C$21*IF(BO108="",0,1)+Weights!$C$22)=0,"",(Weights!$C$13*IF(BP108="",0,BP108)+Weights!$C$14*IF(BR108="",0,BR108)+Weights!$C$15*IF(BQ108="",0,BQ108)+Weights!$C$16*IF(BS108="",0,BS108)+Weights!$C$17*IF(BU108="",0,BU108)+Weights!$C$18*IF(BT108="",0,BT108)+Weights!$C$19*IF(BW108="",0,BW108)+Weights!$C$20*IF(BZ108="",0,BZ108)+Weights!$C$21*IF(BO108="",0,BO108)+Weights!$C$22*BV108)/(Weights!$C$13*IF(BP108="",0,1)+Weights!$C$14*IF(BR108="",0,1)+Weights!$C$15*IF(BQ108="",0,1)+Weights!$C$16*IF(BS108="",0,1)+Weights!$C$17*IF(BU108="",0,1)+Weights!$C$18*IF(BT108="",0,1)+Weights!$C$19*IF(BW108="",0,1)+Weights!$C$20*IF(BZ108="",0,1)+Weights!$C$21*IF(BO108="",0,1)+Weights!$C$22))</x:f>
      </x:c>
      <x:c r="CC108" s="10">
        <x:f>IF((Weights!$C$23*IF(BQ108="",0,1)+Weights!$C$24*IF(BN108="",0,1)+Weights!$C$25*IF(BS108="",0,1)+Weights!$C$26*IF(BY108="",0,1)+Weights!$C$27*IF(BX108="",0,1)+Weights!$C$28*IF(BT108="",0,1)+Weights!$C$29*IF(CA108="",0,1)+Weights!$C$30+Weights!$C$31*IF(BU108="",0,1))=0,"",(Weights!$C$23*IF(BQ108="",0,BQ108)+Weights!$C$24*IF(BN108="",0,BN108)+Weights!$C$25*IF(BS108="",0,BS108)+Weights!$C$26*IF(BY108="",0,BY108)+Weights!$C$27*IF(BX108="",0,BX108)+Weights!$C$28*IF(BT108="",0,BT108)+Weights!$C$29*IF(CA108="",0,CA108)+Weights!$C$30*BV108+Weights!$C$31*IF(BU108="",0,BU108))/(Weights!$C$23*IF(BQ108="",0,1)+Weights!$C$24*IF(BN108="",0,1)+Weights!$C$25*IF(BS108="",0,1)+Weights!$C$26*IF(BY108="",0,1)+Weights!$C$27*IF(BX108="",0,1)+Weights!$C$28*IF(BT108="",0,1)+Weights!$C$29*IF(CA108="",0,1)+Weights!$C$30+Weights!$C$31*IF(BU108="",0,1)))</x:f>
      </x:c>
      <x:c r="CD108" s="10">
        <x:f>IF(AND(CB108="",CC108=""),"",IF(CB108="",CC108,IF(CC108="",CB108,AVERAGE(CB108,CC108))))</x:f>
      </x:c>
      <x:c r="CE108" s="7">
        <x:f>ROUND(100*((IF(BP108&lt;&gt;"",1,0)+IF(BQ108&lt;&gt;"",1,0)+IF(BR108&lt;&gt;"",1,0)+IF(BS108&lt;&gt;"",1,0)+IF(BU108&lt;&gt;"",1,0)+IF(BT108&lt;&gt;"",1,0)+IF(BN108&lt;&gt;"",1,0)+IF(AW108&lt;&gt;"",1,0))/8),0)</x:f>
      </x:c>
      <x:c r="CF108">
        <x:f>IF(V108="","",LOG10(V108+1))</x:f>
      </x:c>
      <x:c r="CG108">
        <x:f>IF(CF108="","",IF(MAX($CF$2:$CF$252)-MIN($CF$2:$CF$252)=0,"",(CF108-MIN($CF$2:$CF$252))/(MAX($CF$2:$CF$252)-MIN($CF$2:$CF$252))*100))</x:f>
      </x:c>
    </x:row>
    <x:row r="109">
      <x:c r="A109" t="inlineStr">
        <x:is>
          <x:t xml:space="preserve">NFK</x:t>
        </x:is>
      </x:c>
      <x:c r="B109" t="inlineStr">
        <x:is>
          <x:t xml:space="preserve">Norfolk Island</x:t>
        </x:is>
      </x:c>
      <x:c r="N109" s="8" t="n"/>
      <x:c r="O109" s="9" t="n"/>
      <x:c r="P109" s="8" t="n"/>
      <x:c r="R109" s="8" t="n"/>
      <x:c r="AB109" s="8" t="n"/>
      <x:c r="AR109">
        <x:f>IF(G109="","",LOG10(G109+1))</x:f>
      </x:c>
      <x:c r="AS109" s="10">
        <x:f>IF(AR109="","",IF(MAX($AR$2:$AR$252)-MIN($AR$2:$AR$252)=0,"",(AR109-MIN($AR$2:$AR$252))/(MAX($AR$2:$AR$252)-MIN($AR$2:$AR$252))*100))</x:f>
      </x:c>
      <x:c r="AT109">
        <x:f>IF(R109="","",LOG10(R109+1))</x:f>
      </x:c>
      <x:c r="AU109" s="10">
        <x:f>IF(AT109="","",IF(MAX($AT$2:$AT$252)-MIN($AT$2:$AT$252)=0,"",(AT109-MIN($AT$2:$AT$252))/(MAX($AT$2:$AT$252)-MIN($AT$2:$AT$252))*100))</x:f>
      </x:c>
      <x:c r="AV109">
        <x:f>IF(N109="","",LOG10(N109+1))</x:f>
      </x:c>
      <x:c r="AW109" s="10">
        <x:f>IF(AV109="","",IF(MAX($AV$2:$AV$252)-MIN($AV$2:$AV$252)=0,"",(AV109-MIN($AV$2:$AV$252))/(MAX($AV$2:$AV$252)-MIN($AV$2:$AV$252))*100))</x:f>
      </x:c>
      <x:c r="AX109">
        <x:f>IF(I109="","",LOG10(I109+1))</x:f>
      </x:c>
      <x:c r="AY109" s="10">
        <x:f>IF(AX109="","",IF(MAX($AX$2:$AX$252)-MIN($AX$2:$AX$252)=0,"",(AX109-MIN($AX$2:$AX$252))/(MAX($AX$2:$AX$252)-MIN($AX$2:$AX$252))*100))</x:f>
      </x:c>
      <x:c r="AZ109">
        <x:f>IF(J109="","",LOG10(J109+1))</x:f>
      </x:c>
      <x:c r="BA109" s="10">
        <x:f>IF(AZ109="","",IF(MAX($AZ$2:$AZ$252)-MIN($AZ$2:$AZ$252)=0,"",(AZ109-MIN($AZ$2:$AZ$252))/(MAX($AZ$2:$AZ$252)-MIN($AZ$2:$AZ$252))*100))</x:f>
      </x:c>
      <x:c r="BB109">
        <x:f>IF(K109="","",LOG10(K109+1))</x:f>
      </x:c>
      <x:c r="BC109" s="10">
        <x:f>IF(BB109="","",IF(MAX($BB$2:$BB$252)-MIN($BB$2:$BB$252)=0,"",(BB109-MIN($BB$2:$BB$252))/(MAX($BB$2:$BB$252)-MIN($BB$2:$BB$252))*100))</x:f>
      </x:c>
      <x:c r="BD109">
        <x:f>IF(L109="","",LOG10(L109+1))</x:f>
      </x:c>
      <x:c r="BE109" s="10">
        <x:f>IF(BD109="","",IF(MAX($BD$2:$BD$252)-MIN($BD$2:$BD$252)=0,"",(BD109-MIN($BD$2:$BD$252))/(MAX($BD$2:$BD$252)-MIN($BD$2:$BD$252))*100))</x:f>
      </x:c>
      <x:c r="BF109" s="10">
        <x:f>IF(P109="","",IF(MAX($P$2:$P$252)-MIN($P$2:$P$252)=0,"",(P109-MIN($P$2:$P$252))/(MAX($P$2:$P$252)-MIN($P$2:$P$252))*100))</x:f>
      </x:c>
      <x:c r="BG109">
        <x:f>IF(AF109="","",LOG10(AF109+1))</x:f>
      </x:c>
      <x:c r="BH109" s="10">
        <x:f>IF(BG109="","",IF(MAX($BG$2:$BG$252)-MIN($BG$2:$BG$252)=0,"",(BG109-MIN($BG$2:$BG$252))/(MAX($BG$2:$BG$252)-MIN($BG$2:$BG$252))*100))</x:f>
      </x:c>
      <x:c r="BI109">
        <x:f>IF(AC109="","",LOG10(AC109+1))</x:f>
      </x:c>
      <x:c r="BJ109" s="10">
        <x:f>IF(BI109="","",IF(MAX($BI$2:$BI$252)-MIN($BI$2:$BI$252)=0,"",(BI109-MIN($BI$2:$BI$252))/(MAX($BI$2:$BI$252)-MIN($BI$2:$BI$252))*100))</x:f>
      </x:c>
      <x:c r="BK109">
        <x:f>IF(AD109="","",(AD109*2)+(AE109*1))</x:f>
      </x:c>
      <x:c r="BL109" s="10">
        <x:f>IF(BK109="","",IF(MAX($BK$2:$BK$252)-MIN($BK$2:$BK$252)=0,"",(BK109-MIN($BK$2:$BK$252))/(MAX($BK$2:$BK$252)-MIN($BK$2:$BK$252))*100))</x:f>
      </x:c>
      <x:c r="BM109" s="10">
        <x:f>IF(AB109="","",IF(MAX($AB$2:$AB$252)-MIN($AB$2:$AB$252)=0,"",(AB109-MIN($AB$2:$AB$252))/(MAX($AB$2:$AB$252)-MIN($AB$2:$AB$252))*100))</x:f>
      </x:c>
      <x:c r="BN109" s="10">
        <x:f>IF(X109="","",X109)</x:f>
      </x:c>
      <x:c r="BO109" s="10">
        <x:f>IF(X109="","",100-X109)</x:f>
      </x:c>
      <x:c r="BP109" s="10">
        <x:f>IF((Weights!$C$2*IF(BH109="",0,1)+Weights!$C$3*IF(BJ109="",0,1)+Weights!$C$4*IF(BL109="",0,1))=0,"",(Weights!$C$2*IF(BH109="",0,BH109)+Weights!$C$3*IF(BJ109="",0,BJ109)+Weights!$C$4*IF(BL109="",0,BL109))/(Weights!$C$2*IF(BH109="",0,1)+Weights!$C$3*IF(BJ109="",0,1)+Weights!$C$4*IF(BL109="",0,1)))</x:f>
      </x:c>
      <x:c r="BQ109" s="10">
        <x:f>IF((Weights!$C$5*IF(BA109="",0,1)+Weights!$C$6*IF(AW109="",0,1)+Weights!$C$7*IF(AU109="",0,1))=0,"",(Weights!$C$5*IF(BA109="",0,BA109)+Weights!$C$6*IF(AW109="",0,AW109)+Weights!$C$7*IF(AU109="",0,AU109))/(Weights!$C$5*IF(BA109="",0,1)+Weights!$C$6*IF(AW109="",0,1)+Weights!$C$7*IF(AU109="",0,1)))</x:f>
      </x:c>
      <x:c r="BR109" s="10">
        <x:f>IF((Weights!$C$8*IF(AW109="",0,1)+Weights!$C$9*IF(BC109="",0,1)+Weights!$C$10*IF(BF109="",0,1))=0,"",(Weights!$C$8*IF(AW109="",0,AW109)+Weights!$C$9*IF(BC109="",0,BC109)+Weights!$C$10*IF(BF109="",0,BF109))/(Weights!$C$8*IF(AW109="",0,1)+Weights!$C$9*IF(BC109="",0,1)+Weights!$C$10*IF(BF109="",0,1)))</x:f>
      </x:c>
      <x:c r="BS109" s="10">
        <x:f>IF(Y109="","",Y109)</x:f>
      </x:c>
      <x:c r="BT109" s="10">
        <x:f>IF(AS109="","",AS109)</x:f>
      </x:c>
      <x:c r="BU109" s="10">
        <x:f>IF(AJ109&lt;&gt;"",(0.6*AJ109+0.4*AU109),IF((Weights!$C$11*IF(AU109="",0,1)+Weights!$C$12*IF(BM109="",0,1))=0,"",(Weights!$C$11*IF(AU109="",0,AU109)+Weights!$C$12*IF(BM109="",0,BM109))/(Weights!$C$11*IF(AU109="",0,1)+Weights!$C$12*IF(BM109="",0,1))))</x:f>
      </x:c>
      <x:c r="BV109" s="10">
        <x:f>IF(CG109="",0,CG109)</x:f>
      </x:c>
      <x:c r="BW109" s="10">
        <x:f>IF(AP109="","",AP109)</x:f>
      </x:c>
      <x:c r="BX109" s="10">
        <x:f>IF(AO109="","",AO109)</x:f>
      </x:c>
      <x:c r="BY109" s="10">
        <x:f>IF(AL109="","",AL109)</x:f>
      </x:c>
      <x:c r="BZ109" s="10">
        <x:f>IF(AM109="","",AM109)</x:f>
      </x:c>
      <x:c r="CA109" s="10">
        <x:f>IF(AK109&lt;&gt;"",AK109,AW109)</x:f>
      </x:c>
      <x:c r="CB109" s="10">
        <x:f>IF((Weights!$C$13*IF(BP109="",0,1)+Weights!$C$14*IF(BR109="",0,1)+Weights!$C$15*IF(BQ109="",0,1)+Weights!$C$16*IF(BS109="",0,1)+Weights!$C$17*IF(BU109="",0,1)+Weights!$C$18*IF(BT109="",0,1)+Weights!$C$19*IF(BW109="",0,1)+Weights!$C$20*IF(BZ109="",0,1)+Weights!$C$21*IF(BO109="",0,1)+Weights!$C$22)=0,"",(Weights!$C$13*IF(BP109="",0,BP109)+Weights!$C$14*IF(BR109="",0,BR109)+Weights!$C$15*IF(BQ109="",0,BQ109)+Weights!$C$16*IF(BS109="",0,BS109)+Weights!$C$17*IF(BU109="",0,BU109)+Weights!$C$18*IF(BT109="",0,BT109)+Weights!$C$19*IF(BW109="",0,BW109)+Weights!$C$20*IF(BZ109="",0,BZ109)+Weights!$C$21*IF(BO109="",0,BO109)+Weights!$C$22*BV109)/(Weights!$C$13*IF(BP109="",0,1)+Weights!$C$14*IF(BR109="",0,1)+Weights!$C$15*IF(BQ109="",0,1)+Weights!$C$16*IF(BS109="",0,1)+Weights!$C$17*IF(BU109="",0,1)+Weights!$C$18*IF(BT109="",0,1)+Weights!$C$19*IF(BW109="",0,1)+Weights!$C$20*IF(BZ109="",0,1)+Weights!$C$21*IF(BO109="",0,1)+Weights!$C$22))</x:f>
      </x:c>
      <x:c r="CC109" s="10">
        <x:f>IF((Weights!$C$23*IF(BQ109="",0,1)+Weights!$C$24*IF(BN109="",0,1)+Weights!$C$25*IF(BS109="",0,1)+Weights!$C$26*IF(BY109="",0,1)+Weights!$C$27*IF(BX109="",0,1)+Weights!$C$28*IF(BT109="",0,1)+Weights!$C$29*IF(CA109="",0,1)+Weights!$C$30+Weights!$C$31*IF(BU109="",0,1))=0,"",(Weights!$C$23*IF(BQ109="",0,BQ109)+Weights!$C$24*IF(BN109="",0,BN109)+Weights!$C$25*IF(BS109="",0,BS109)+Weights!$C$26*IF(BY109="",0,BY109)+Weights!$C$27*IF(BX109="",0,BX109)+Weights!$C$28*IF(BT109="",0,BT109)+Weights!$C$29*IF(CA109="",0,CA109)+Weights!$C$30*BV109+Weights!$C$31*IF(BU109="",0,BU109))/(Weights!$C$23*IF(BQ109="",0,1)+Weights!$C$24*IF(BN109="",0,1)+Weights!$C$25*IF(BS109="",0,1)+Weights!$C$26*IF(BY109="",0,1)+Weights!$C$27*IF(BX109="",0,1)+Weights!$C$28*IF(BT109="",0,1)+Weights!$C$29*IF(CA109="",0,1)+Weights!$C$30+Weights!$C$31*IF(BU109="",0,1)))</x:f>
      </x:c>
      <x:c r="CD109" s="10">
        <x:f>IF(AND(CB109="",CC109=""),"",IF(CB109="",CC109,IF(CC109="",CB109,AVERAGE(CB109,CC109))))</x:f>
      </x:c>
      <x:c r="CE109" s="7">
        <x:f>ROUND(100*((IF(BP109&lt;&gt;"",1,0)+IF(BQ109&lt;&gt;"",1,0)+IF(BR109&lt;&gt;"",1,0)+IF(BS109&lt;&gt;"",1,0)+IF(BU109&lt;&gt;"",1,0)+IF(BT109&lt;&gt;"",1,0)+IF(BN109&lt;&gt;"",1,0)+IF(AW109&lt;&gt;"",1,0))/8),0)</x:f>
      </x:c>
      <x:c r="CF109">
        <x:f>IF(V109="","",LOG10(V109+1))</x:f>
      </x:c>
      <x:c r="CG109">
        <x:f>IF(CF109="","",IF(MAX($CF$2:$CF$252)-MIN($CF$2:$CF$252)=0,"",(CF109-MIN($CF$2:$CF$252))/(MAX($CF$2:$CF$252)-MIN($CF$2:$CF$252))*100))</x:f>
      </x:c>
    </x:row>
    <x:row r="110">
      <x:c r="A110" t="inlineStr">
        <x:is>
          <x:t xml:space="preserve">DZA</x:t>
        </x:is>
      </x:c>
      <x:c r="B110" t="inlineStr">
        <x:is>
          <x:t xml:space="preserve">Algeria</x:t>
        </x:is>
      </x:c>
      <x:c r="C110" t="inlineStr">
        <x:is>
          <x:t xml:space="preserve">Middle East &amp; North Africa</x:t>
        </x:is>
      </x:c>
      <x:c r="D110" t="inlineStr">
        <x:is>
          <x:t xml:space="preserve">Upper middle income</x:t>
        </x:is>
      </x:c>
      <x:c r="E110" t="inlineStr">
        <x:is>
          <x:t xml:space="preserve">Africa</x:t>
        </x:is>
      </x:c>
      <x:c r="F110" t="n">
        <x:v>2024</x:v>
      </x:c>
      <x:c r="G110" t="n">
        <x:v>46814308</x:v>
      </x:c>
      <x:c r="H110" t="n">
        <x:v>2020</x:v>
      </x:c>
      <x:c r="I110" t="n">
        <x:v>326000</x:v>
      </x:c>
      <x:c r="J110" t="n">
        <x:v>211900</x:v>
      </x:c>
      <x:c r="K110" t="n">
        <x:v>65200</x:v>
      </x:c>
      <x:c r="L110" t="n">
        <x:v>39120</x:v>
      </x:c>
      <x:c r="M110" t="n">
        <x:v>2024</x:v>
      </x:c>
      <x:c r="N110" s="8" t="n">
        <x:v>21811242555.0313</x:v>
      </x:c>
      <x:c r="O110" s="9" t="n">
        <x:v>7.97145723551219</x:v>
      </x:c>
      <x:c r="P110" s="8" t="n">
        <x:v>66905.65200929847</x:v>
      </x:c>
      <x:c r="Q110" t="n">
        <x:v>2024</x:v>
      </x:c>
      <x:c r="R110" s="8" t="n">
        <x:v>269322281664.773</x:v>
      </x:c>
      <x:c r="S110" t="n">
        <x:v>5</x:v>
      </x:c>
      <x:c r="T110" t="n">
        <x:v>0</x:v>
      </x:c>
      <x:c r="U110" t="inlineStr">
        <x:is>
          <x:t xml:space="preserve">No</x:t>
        </x:is>
      </x:c>
      <x:c r="W110" t="inlineStr">
        <x:is>
          <x:t xml:space="preserve">No</x:t>
        </x:is>
      </x:c>
      <x:c r="X110" t="n">
        <x:v>8.588360246463145</x:v>
      </x:c>
      <x:c r="Y110" t="n">
        <x:v>51.662166320803</x:v>
      </x:c>
      <x:c r="Z110" t="n">
        <x:v>2315916.657885878</x:v>
      </x:c>
      <x:c r="AA110" t="n">
        <x:v>17.69037882278528</x:v>
      </x:c>
      <x:c r="AB110" s="8" t="n">
        <x:v>14874.50049052412</x:v>
      </x:c>
      <x:c r="AC110" t="n">
        <x:v>213</x:v>
      </x:c>
      <x:c r="AD110" t="n">
        <x:v>0</x:v>
      </x:c>
      <x:c r="AE110" t="n">
        <x:v>0</x:v>
      </x:c>
      <x:c r="AF110" t="n">
        <x:v>61.5</x:v>
      </x:c>
      <x:c r="AG110" t="n">
        <x:v>93</x:v>
      </x:c>
      <x:c r="AH110" t="n">
        <x:v>15</x:v>
      </x:c>
      <x:c r="AR110">
        <x:f>IF(G110="","",LOG10(G110+1))</x:f>
      </x:c>
      <x:c r="AS110" s="10">
        <x:f>IF(AR110="","",IF(MAX($AR$2:$AR$252)-MIN($AR$2:$AR$252)=0,"",(AR110-MIN($AR$2:$AR$252))/(MAX($AR$2:$AR$252)-MIN($AR$2:$AR$252))*100))</x:f>
      </x:c>
      <x:c r="AT110">
        <x:f>IF(R110="","",LOG10(R110+1))</x:f>
      </x:c>
      <x:c r="AU110" s="10">
        <x:f>IF(AT110="","",IF(MAX($AT$2:$AT$252)-MIN($AT$2:$AT$252)=0,"",(AT110-MIN($AT$2:$AT$252))/(MAX($AT$2:$AT$252)-MIN($AT$2:$AT$252))*100))</x:f>
      </x:c>
      <x:c r="AV110">
        <x:f>IF(N110="","",LOG10(N110+1))</x:f>
      </x:c>
      <x:c r="AW110" s="10">
        <x:f>IF(AV110="","",IF(MAX($AV$2:$AV$252)-MIN($AV$2:$AV$252)=0,"",(AV110-MIN($AV$2:$AV$252))/(MAX($AV$2:$AV$252)-MIN($AV$2:$AV$252))*100))</x:f>
      </x:c>
      <x:c r="AX110">
        <x:f>IF(I110="","",LOG10(I110+1))</x:f>
      </x:c>
      <x:c r="AY110" s="10">
        <x:f>IF(AX110="","",IF(MAX($AX$2:$AX$252)-MIN($AX$2:$AX$252)=0,"",(AX110-MIN($AX$2:$AX$252))/(MAX($AX$2:$AX$252)-MIN($AX$2:$AX$252))*100))</x:f>
      </x:c>
      <x:c r="AZ110">
        <x:f>IF(J110="","",LOG10(J110+1))</x:f>
      </x:c>
      <x:c r="BA110" s="10">
        <x:f>IF(AZ110="","",IF(MAX($AZ$2:$AZ$252)-MIN($AZ$2:$AZ$252)=0,"",(AZ110-MIN($AZ$2:$AZ$252))/(MAX($AZ$2:$AZ$252)-MIN($AZ$2:$AZ$252))*100))</x:f>
      </x:c>
      <x:c r="BB110">
        <x:f>IF(K110="","",LOG10(K110+1))</x:f>
      </x:c>
      <x:c r="BC110" s="10">
        <x:f>IF(BB110="","",IF(MAX($BB$2:$BB$252)-MIN($BB$2:$BB$252)=0,"",(BB110-MIN($BB$2:$BB$252))/(MAX($BB$2:$BB$252)-MIN($BB$2:$BB$252))*100))</x:f>
      </x:c>
      <x:c r="BD110">
        <x:f>IF(L110="","",LOG10(L110+1))</x:f>
      </x:c>
      <x:c r="BE110" s="10">
        <x:f>IF(BD110="","",IF(MAX($BD$2:$BD$252)-MIN($BD$2:$BD$252)=0,"",(BD110-MIN($BD$2:$BD$252))/(MAX($BD$2:$BD$252)-MIN($BD$2:$BD$252))*100))</x:f>
      </x:c>
      <x:c r="BF110" s="10">
        <x:f>IF(P110="","",IF(MAX($P$2:$P$252)-MIN($P$2:$P$252)=0,"",(P110-MIN($P$2:$P$252))/(MAX($P$2:$P$252)-MIN($P$2:$P$252))*100))</x:f>
      </x:c>
      <x:c r="BG110">
        <x:f>IF(AF110="","",LOG10(AF110+1))</x:f>
      </x:c>
      <x:c r="BH110" s="10">
        <x:f>IF(BG110="","",IF(MAX($BG$2:$BG$252)-MIN($BG$2:$BG$252)=0,"",(BG110-MIN($BG$2:$BG$252))/(MAX($BG$2:$BG$252)-MIN($BG$2:$BG$252))*100))</x:f>
      </x:c>
      <x:c r="BI110">
        <x:f>IF(AC110="","",LOG10(AC110+1))</x:f>
      </x:c>
      <x:c r="BJ110" s="10">
        <x:f>IF(BI110="","",IF(MAX($BI$2:$BI$252)-MIN($BI$2:$BI$252)=0,"",(BI110-MIN($BI$2:$BI$252))/(MAX($BI$2:$BI$252)-MIN($BI$2:$BI$252))*100))</x:f>
      </x:c>
      <x:c r="BK110">
        <x:f>IF(AD110="","",(AD110*2)+(AE110*1))</x:f>
      </x:c>
      <x:c r="BL110" s="10">
        <x:f>IF(BK110="","",IF(MAX($BK$2:$BK$252)-MIN($BK$2:$BK$252)=0,"",(BK110-MIN($BK$2:$BK$252))/(MAX($BK$2:$BK$252)-MIN($BK$2:$BK$252))*100))</x:f>
      </x:c>
      <x:c r="BM110" s="10">
        <x:f>IF(AB110="","",IF(MAX($AB$2:$AB$252)-MIN($AB$2:$AB$252)=0,"",(AB110-MIN($AB$2:$AB$252))/(MAX($AB$2:$AB$252)-MIN($AB$2:$AB$252))*100))</x:f>
      </x:c>
      <x:c r="BN110" s="10">
        <x:f>IF(X110="","",X110)</x:f>
      </x:c>
      <x:c r="BO110" s="10">
        <x:f>IF(X110="","",100-X110)</x:f>
      </x:c>
      <x:c r="BP110" s="10">
        <x:f>IF((Weights!$C$2*IF(BH110="",0,1)+Weights!$C$3*IF(BJ110="",0,1)+Weights!$C$4*IF(BL110="",0,1))=0,"",(Weights!$C$2*IF(BH110="",0,BH110)+Weights!$C$3*IF(BJ110="",0,BJ110)+Weights!$C$4*IF(BL110="",0,BL110))/(Weights!$C$2*IF(BH110="",0,1)+Weights!$C$3*IF(BJ110="",0,1)+Weights!$C$4*IF(BL110="",0,1)))</x:f>
      </x:c>
      <x:c r="BQ110" s="10">
        <x:f>IF((Weights!$C$5*IF(BA110="",0,1)+Weights!$C$6*IF(AW110="",0,1)+Weights!$C$7*IF(AU110="",0,1))=0,"",(Weights!$C$5*IF(BA110="",0,BA110)+Weights!$C$6*IF(AW110="",0,AW110)+Weights!$C$7*IF(AU110="",0,AU110))/(Weights!$C$5*IF(BA110="",0,1)+Weights!$C$6*IF(AW110="",0,1)+Weights!$C$7*IF(AU110="",0,1)))</x:f>
      </x:c>
      <x:c r="BR110" s="10">
        <x:f>IF((Weights!$C$8*IF(AW110="",0,1)+Weights!$C$9*IF(BC110="",0,1)+Weights!$C$10*IF(BF110="",0,1))=0,"",(Weights!$C$8*IF(AW110="",0,AW110)+Weights!$C$9*IF(BC110="",0,BC110)+Weights!$C$10*IF(BF110="",0,BF110))/(Weights!$C$8*IF(AW110="",0,1)+Weights!$C$9*IF(BC110="",0,1)+Weights!$C$10*IF(BF110="",0,1)))</x:f>
      </x:c>
      <x:c r="BS110" s="10">
        <x:f>IF(Y110="","",Y110)</x:f>
      </x:c>
      <x:c r="BT110" s="10">
        <x:f>IF(AS110="","",AS110)</x:f>
      </x:c>
      <x:c r="BU110" s="10">
        <x:f>IF(AJ110&lt;&gt;"",(0.6*AJ110+0.4*AU110),IF((Weights!$C$11*IF(AU110="",0,1)+Weights!$C$12*IF(BM110="",0,1))=0,"",(Weights!$C$11*IF(AU110="",0,AU110)+Weights!$C$12*IF(BM110="",0,BM110))/(Weights!$C$11*IF(AU110="",0,1)+Weights!$C$12*IF(BM110="",0,1))))</x:f>
      </x:c>
      <x:c r="BV110" s="10">
        <x:f>IF(CG110="",0,CG110)</x:f>
      </x:c>
      <x:c r="BW110" s="10">
        <x:f>IF(AP110="","",AP110)</x:f>
      </x:c>
      <x:c r="BX110" s="10">
        <x:f>IF(AO110="","",AO110)</x:f>
      </x:c>
      <x:c r="BY110" s="10">
        <x:f>IF(AL110="","",AL110)</x:f>
      </x:c>
      <x:c r="BZ110" s="10">
        <x:f>IF(AM110="","",AM110)</x:f>
      </x:c>
      <x:c r="CA110" s="10">
        <x:f>IF(AK110&lt;&gt;"",AK110,AW110)</x:f>
      </x:c>
      <x:c r="CB110" s="10">
        <x:f>IF((Weights!$C$13*IF(BP110="",0,1)+Weights!$C$14*IF(BR110="",0,1)+Weights!$C$15*IF(BQ110="",0,1)+Weights!$C$16*IF(BS110="",0,1)+Weights!$C$17*IF(BU110="",0,1)+Weights!$C$18*IF(BT110="",0,1)+Weights!$C$19*IF(BW110="",0,1)+Weights!$C$20*IF(BZ110="",0,1)+Weights!$C$21*IF(BO110="",0,1)+Weights!$C$22)=0,"",(Weights!$C$13*IF(BP110="",0,BP110)+Weights!$C$14*IF(BR110="",0,BR110)+Weights!$C$15*IF(BQ110="",0,BQ110)+Weights!$C$16*IF(BS110="",0,BS110)+Weights!$C$17*IF(BU110="",0,BU110)+Weights!$C$18*IF(BT110="",0,BT110)+Weights!$C$19*IF(BW110="",0,BW110)+Weights!$C$20*IF(BZ110="",0,BZ110)+Weights!$C$21*IF(BO110="",0,BO110)+Weights!$C$22*BV110)/(Weights!$C$13*IF(BP110="",0,1)+Weights!$C$14*IF(BR110="",0,1)+Weights!$C$15*IF(BQ110="",0,1)+Weights!$C$16*IF(BS110="",0,1)+Weights!$C$17*IF(BU110="",0,1)+Weights!$C$18*IF(BT110="",0,1)+Weights!$C$19*IF(BW110="",0,1)+Weights!$C$20*IF(BZ110="",0,1)+Weights!$C$21*IF(BO110="",0,1)+Weights!$C$22))</x:f>
      </x:c>
      <x:c r="CC110" s="10">
        <x:f>IF((Weights!$C$23*IF(BQ110="",0,1)+Weights!$C$24*IF(BN110="",0,1)+Weights!$C$25*IF(BS110="",0,1)+Weights!$C$26*IF(BY110="",0,1)+Weights!$C$27*IF(BX110="",0,1)+Weights!$C$28*IF(BT110="",0,1)+Weights!$C$29*IF(CA110="",0,1)+Weights!$C$30+Weights!$C$31*IF(BU110="",0,1))=0,"",(Weights!$C$23*IF(BQ110="",0,BQ110)+Weights!$C$24*IF(BN110="",0,BN110)+Weights!$C$25*IF(BS110="",0,BS110)+Weights!$C$26*IF(BY110="",0,BY110)+Weights!$C$27*IF(BX110="",0,BX110)+Weights!$C$28*IF(BT110="",0,BT110)+Weights!$C$29*IF(CA110="",0,CA110)+Weights!$C$30*BV110+Weights!$C$31*IF(BU110="",0,BU110))/(Weights!$C$23*IF(BQ110="",0,1)+Weights!$C$24*IF(BN110="",0,1)+Weights!$C$25*IF(BS110="",0,1)+Weights!$C$26*IF(BY110="",0,1)+Weights!$C$27*IF(BX110="",0,1)+Weights!$C$28*IF(BT110="",0,1)+Weights!$C$29*IF(CA110="",0,1)+Weights!$C$30+Weights!$C$31*IF(BU110="",0,1)))</x:f>
      </x:c>
      <x:c r="CD110" s="10">
        <x:f>IF(AND(CB110="",CC110=""),"",IF(CB110="",CC110,IF(CC110="",CB110,AVERAGE(CB110,CC110))))</x:f>
      </x:c>
      <x:c r="CE110" s="7">
        <x:f>ROUND(100*((IF(BP110&lt;&gt;"",1,0)+IF(BQ110&lt;&gt;"",1,0)+IF(BR110&lt;&gt;"",1,0)+IF(BS110&lt;&gt;"",1,0)+IF(BU110&lt;&gt;"",1,0)+IF(BT110&lt;&gt;"",1,0)+IF(BN110&lt;&gt;"",1,0)+IF(AW110&lt;&gt;"",1,0))/8),0)</x:f>
      </x:c>
      <x:c r="CF110">
        <x:f>IF(V110="","",LOG10(V110+1))</x:f>
      </x:c>
      <x:c r="CG110">
        <x:f>IF(CF110="","",IF(MAX($CF$2:$CF$252)-MIN($CF$2:$CF$252)=0,"",(CF110-MIN($CF$2:$CF$252))/(MAX($CF$2:$CF$252)-MIN($CF$2:$CF$252))*100))</x:f>
      </x:c>
    </x:row>
    <x:row r="111">
      <x:c r="A111" t="inlineStr">
        <x:is>
          <x:t xml:space="preserve">BGD</x:t>
        </x:is>
      </x:c>
      <x:c r="B111" t="inlineStr">
        <x:is>
          <x:t xml:space="preserve">Bangladesh</x:t>
        </x:is>
      </x:c>
      <x:c r="C111" t="inlineStr">
        <x:is>
          <x:t xml:space="preserve">South Asia</x:t>
        </x:is>
      </x:c>
      <x:c r="D111" t="inlineStr">
        <x:is>
          <x:t xml:space="preserve">Lower middle income</x:t>
        </x:is>
      </x:c>
      <x:c r="E111" t="inlineStr">
        <x:is>
          <x:t xml:space="preserve">Asia</x:t>
        </x:is>
      </x:c>
      <x:c r="F111" t="n">
        <x:v>2024</x:v>
      </x:c>
      <x:c r="G111" t="n">
        <x:v>173562364</x:v>
      </x:c>
      <x:c r="H111" t="n">
        <x:v>2020</x:v>
      </x:c>
      <x:c r="I111" t="n">
        <x:v>227000</x:v>
      </x:c>
      <x:c r="J111" t="n">
        <x:v>147550</x:v>
      </x:c>
      <x:c r="K111" t="n">
        <x:v>45400</x:v>
      </x:c>
      <x:c r="L111" t="n">
        <x:v>27240</x:v>
      </x:c>
      <x:c r="M111" t="n">
        <x:v>2024</x:v>
      </x:c>
      <x:c r="N111" s="8" t="n">
        <x:v>4034561892.72044</x:v>
      </x:c>
      <x:c r="O111" s="9" t="n">
        <x:v>0.941321120606305</x:v>
      </x:c>
      <x:c r="P111" s="8" t="n">
        <x:v>17773.40040846009</x:v>
      </x:c>
      <x:c r="Q111" t="n">
        <x:v>2024</x:v>
      </x:c>
      <x:c r="R111" s="8" t="n">
        <x:v>450119432068.852</x:v>
      </x:c>
      <x:c r="S111" t="n">
        <x:v>1</x:v>
      </x:c>
      <x:c r="T111" t="n">
        <x:v>0</x:v>
      </x:c>
      <x:c r="U111" t="inlineStr">
        <x:is>
          <x:t xml:space="preserve">No</x:t>
        </x:is>
      </x:c>
      <x:c r="W111" t="inlineStr">
        <x:is>
          <x:t xml:space="preserve">No</x:t>
        </x:is>
      </x:c>
      <x:c r="X111" t="n">
        <x:v>29.84724382778385</x:v>
      </x:c>
      <x:c r="Y111" t="n">
        <x:v>58.38121314162557</x:v>
      </x:c>
      <x:c r="Z111" t="n">
        <x:v>133782.1414146553</x:v>
      </x:c>
      <x:c r="AA111" t="n">
        <x:v>1179.728298045547</x:v>
      </x:c>
      <x:c r="AB111" s="8" t="n">
        <x:v>3981.58540825741</x:v>
      </x:c>
      <x:c r="AC111" t="n">
        <x:v>117</x:v>
      </x:c>
      <x:c r="AD111" t="n">
        <x:v>0</x:v>
      </x:c>
      <x:c r="AE111" t="n">
        <x:v>0</x:v>
      </x:c>
      <x:c r="AF111" t="n">
        <x:v>58.6</x:v>
      </x:c>
      <x:c r="AG111" t="n">
        <x:v>66</x:v>
      </x:c>
      <x:c r="AH111" t="n">
        <x:v>16</x:v>
      </x:c>
      <x:c r="AI111" t="n">
        <x:v>9</x:v>
      </x:c>
      <x:c r="AJ111" t="n">
        <x:v>3.2</x:v>
      </x:c>
      <x:c r="AK111" t="n">
        <x:v>5.2</x:v>
      </x:c>
      <x:c r="AL111" t="n">
        <x:v>25.3</x:v>
      </x:c>
      <x:c r="AM111" t="n">
        <x:v>7</x:v>
      </x:c>
      <x:c r="AN111" t="n">
        <x:v>2.2</x:v>
      </x:c>
      <x:c r="AO111" t="n">
        <x:v>5.8</x:v>
      </x:c>
      <x:c r="AP111" t="n">
        <x:v>26.5</x:v>
      </x:c>
      <x:c r="AQ111" t="n">
        <x:v>7.1</x:v>
      </x:c>
      <x:c r="AR111">
        <x:f>IF(G111="","",LOG10(G111+1))</x:f>
      </x:c>
      <x:c r="AS111" s="10">
        <x:f>IF(AR111="","",IF(MAX($AR$2:$AR$252)-MIN($AR$2:$AR$252)=0,"",(AR111-MIN($AR$2:$AR$252))/(MAX($AR$2:$AR$252)-MIN($AR$2:$AR$252))*100))</x:f>
      </x:c>
      <x:c r="AT111">
        <x:f>IF(R111="","",LOG10(R111+1))</x:f>
      </x:c>
      <x:c r="AU111" s="10">
        <x:f>IF(AT111="","",IF(MAX($AT$2:$AT$252)-MIN($AT$2:$AT$252)=0,"",(AT111-MIN($AT$2:$AT$252))/(MAX($AT$2:$AT$252)-MIN($AT$2:$AT$252))*100))</x:f>
      </x:c>
      <x:c r="AV111">
        <x:f>IF(N111="","",LOG10(N111+1))</x:f>
      </x:c>
      <x:c r="AW111" s="10">
        <x:f>IF(AV111="","",IF(MAX($AV$2:$AV$252)-MIN($AV$2:$AV$252)=0,"",(AV111-MIN($AV$2:$AV$252))/(MAX($AV$2:$AV$252)-MIN($AV$2:$AV$252))*100))</x:f>
      </x:c>
      <x:c r="AX111">
        <x:f>IF(I111="","",LOG10(I111+1))</x:f>
      </x:c>
      <x:c r="AY111" s="10">
        <x:f>IF(AX111="","",IF(MAX($AX$2:$AX$252)-MIN($AX$2:$AX$252)=0,"",(AX111-MIN($AX$2:$AX$252))/(MAX($AX$2:$AX$252)-MIN($AX$2:$AX$252))*100))</x:f>
      </x:c>
      <x:c r="AZ111">
        <x:f>IF(J111="","",LOG10(J111+1))</x:f>
      </x:c>
      <x:c r="BA111" s="10">
        <x:f>IF(AZ111="","",IF(MAX($AZ$2:$AZ$252)-MIN($AZ$2:$AZ$252)=0,"",(AZ111-MIN($AZ$2:$AZ$252))/(MAX($AZ$2:$AZ$252)-MIN($AZ$2:$AZ$252))*100))</x:f>
      </x:c>
      <x:c r="BB111">
        <x:f>IF(K111="","",LOG10(K111+1))</x:f>
      </x:c>
      <x:c r="BC111" s="10">
        <x:f>IF(BB111="","",IF(MAX($BB$2:$BB$252)-MIN($BB$2:$BB$252)=0,"",(BB111-MIN($BB$2:$BB$252))/(MAX($BB$2:$BB$252)-MIN($BB$2:$BB$252))*100))</x:f>
      </x:c>
      <x:c r="BD111">
        <x:f>IF(L111="","",LOG10(L111+1))</x:f>
      </x:c>
      <x:c r="BE111" s="10">
        <x:f>IF(BD111="","",IF(MAX($BD$2:$BD$252)-MIN($BD$2:$BD$252)=0,"",(BD111-MIN($BD$2:$BD$252))/(MAX($BD$2:$BD$252)-MIN($BD$2:$BD$252))*100))</x:f>
      </x:c>
      <x:c r="BF111" s="10">
        <x:f>IF(P111="","",IF(MAX($P$2:$P$252)-MIN($P$2:$P$252)=0,"",(P111-MIN($P$2:$P$252))/(MAX($P$2:$P$252)-MIN($P$2:$P$252))*100))</x:f>
      </x:c>
      <x:c r="BG111">
        <x:f>IF(AF111="","",LOG10(AF111+1))</x:f>
      </x:c>
      <x:c r="BH111" s="10">
        <x:f>IF(BG111="","",IF(MAX($BG$2:$BG$252)-MIN($BG$2:$BG$252)=0,"",(BG111-MIN($BG$2:$BG$252))/(MAX($BG$2:$BG$252)-MIN($BG$2:$BG$252))*100))</x:f>
      </x:c>
      <x:c r="BI111">
        <x:f>IF(AC111="","",LOG10(AC111+1))</x:f>
      </x:c>
      <x:c r="BJ111" s="10">
        <x:f>IF(BI111="","",IF(MAX($BI$2:$BI$252)-MIN($BI$2:$BI$252)=0,"",(BI111-MIN($BI$2:$BI$252))/(MAX($BI$2:$BI$252)-MIN($BI$2:$BI$252))*100))</x:f>
      </x:c>
      <x:c r="BK111">
        <x:f>IF(AD111="","",(AD111*2)+(AE111*1))</x:f>
      </x:c>
      <x:c r="BL111" s="10">
        <x:f>IF(BK111="","",IF(MAX($BK$2:$BK$252)-MIN($BK$2:$BK$252)=0,"",(BK111-MIN($BK$2:$BK$252))/(MAX($BK$2:$BK$252)-MIN($BK$2:$BK$252))*100))</x:f>
      </x:c>
      <x:c r="BM111" s="10">
        <x:f>IF(AB111="","",IF(MAX($AB$2:$AB$252)-MIN($AB$2:$AB$252)=0,"",(AB111-MIN($AB$2:$AB$252))/(MAX($AB$2:$AB$252)-MIN($AB$2:$AB$252))*100))</x:f>
      </x:c>
      <x:c r="BN111" s="10">
        <x:f>IF(X111="","",X111)</x:f>
      </x:c>
      <x:c r="BO111" s="10">
        <x:f>IF(X111="","",100-X111)</x:f>
      </x:c>
      <x:c r="BP111" s="10">
        <x:f>IF((Weights!$C$2*IF(BH111="",0,1)+Weights!$C$3*IF(BJ111="",0,1)+Weights!$C$4*IF(BL111="",0,1))=0,"",(Weights!$C$2*IF(BH111="",0,BH111)+Weights!$C$3*IF(BJ111="",0,BJ111)+Weights!$C$4*IF(BL111="",0,BL111))/(Weights!$C$2*IF(BH111="",0,1)+Weights!$C$3*IF(BJ111="",0,1)+Weights!$C$4*IF(BL111="",0,1)))</x:f>
      </x:c>
      <x:c r="BQ111" s="10">
        <x:f>IF((Weights!$C$5*IF(BA111="",0,1)+Weights!$C$6*IF(AW111="",0,1)+Weights!$C$7*IF(AU111="",0,1))=0,"",(Weights!$C$5*IF(BA111="",0,BA111)+Weights!$C$6*IF(AW111="",0,AW111)+Weights!$C$7*IF(AU111="",0,AU111))/(Weights!$C$5*IF(BA111="",0,1)+Weights!$C$6*IF(AW111="",0,1)+Weights!$C$7*IF(AU111="",0,1)))</x:f>
      </x:c>
      <x:c r="BR111" s="10">
        <x:f>IF((Weights!$C$8*IF(AW111="",0,1)+Weights!$C$9*IF(BC111="",0,1)+Weights!$C$10*IF(BF111="",0,1))=0,"",(Weights!$C$8*IF(AW111="",0,AW111)+Weights!$C$9*IF(BC111="",0,BC111)+Weights!$C$10*IF(BF111="",0,BF111))/(Weights!$C$8*IF(AW111="",0,1)+Weights!$C$9*IF(BC111="",0,1)+Weights!$C$10*IF(BF111="",0,1)))</x:f>
      </x:c>
      <x:c r="BS111" s="10">
        <x:f>IF(Y111="","",Y111)</x:f>
      </x:c>
      <x:c r="BT111" s="10">
        <x:f>IF(AS111="","",AS111)</x:f>
      </x:c>
      <x:c r="BU111" s="10">
        <x:f>IF(AJ111&lt;&gt;"",(0.6*AJ111+0.4*AU111),IF((Weights!$C$11*IF(AU111="",0,1)+Weights!$C$12*IF(BM111="",0,1))=0,"",(Weights!$C$11*IF(AU111="",0,AU111)+Weights!$C$12*IF(BM111="",0,BM111))/(Weights!$C$11*IF(AU111="",0,1)+Weights!$C$12*IF(BM111="",0,1))))</x:f>
      </x:c>
      <x:c r="BV111" s="10">
        <x:f>IF(CG111="",0,CG111)</x:f>
      </x:c>
      <x:c r="BW111" s="10">
        <x:f>IF(AP111="","",AP111)</x:f>
      </x:c>
      <x:c r="BX111" s="10">
        <x:f>IF(AO111="","",AO111)</x:f>
      </x:c>
      <x:c r="BY111" s="10">
        <x:f>IF(AL111="","",AL111)</x:f>
      </x:c>
      <x:c r="BZ111" s="10">
        <x:f>IF(AM111="","",AM111)</x:f>
      </x:c>
      <x:c r="CA111" s="10">
        <x:f>IF(AK111&lt;&gt;"",AK111,AW111)</x:f>
      </x:c>
      <x:c r="CB111" s="10">
        <x:f>IF((Weights!$C$13*IF(BP111="",0,1)+Weights!$C$14*IF(BR111="",0,1)+Weights!$C$15*IF(BQ111="",0,1)+Weights!$C$16*IF(BS111="",0,1)+Weights!$C$17*IF(BU111="",0,1)+Weights!$C$18*IF(BT111="",0,1)+Weights!$C$19*IF(BW111="",0,1)+Weights!$C$20*IF(BZ111="",0,1)+Weights!$C$21*IF(BO111="",0,1)+Weights!$C$22)=0,"",(Weights!$C$13*IF(BP111="",0,BP111)+Weights!$C$14*IF(BR111="",0,BR111)+Weights!$C$15*IF(BQ111="",0,BQ111)+Weights!$C$16*IF(BS111="",0,BS111)+Weights!$C$17*IF(BU111="",0,BU111)+Weights!$C$18*IF(BT111="",0,BT111)+Weights!$C$19*IF(BW111="",0,BW111)+Weights!$C$20*IF(BZ111="",0,BZ111)+Weights!$C$21*IF(BO111="",0,BO111)+Weights!$C$22*BV111)/(Weights!$C$13*IF(BP111="",0,1)+Weights!$C$14*IF(BR111="",0,1)+Weights!$C$15*IF(BQ111="",0,1)+Weights!$C$16*IF(BS111="",0,1)+Weights!$C$17*IF(BU111="",0,1)+Weights!$C$18*IF(BT111="",0,1)+Weights!$C$19*IF(BW111="",0,1)+Weights!$C$20*IF(BZ111="",0,1)+Weights!$C$21*IF(BO111="",0,1)+Weights!$C$22))</x:f>
      </x:c>
      <x:c r="CC111" s="10">
        <x:f>IF((Weights!$C$23*IF(BQ111="",0,1)+Weights!$C$24*IF(BN111="",0,1)+Weights!$C$25*IF(BS111="",0,1)+Weights!$C$26*IF(BY111="",0,1)+Weights!$C$27*IF(BX111="",0,1)+Weights!$C$28*IF(BT111="",0,1)+Weights!$C$29*IF(CA111="",0,1)+Weights!$C$30+Weights!$C$31*IF(BU111="",0,1))=0,"",(Weights!$C$23*IF(BQ111="",0,BQ111)+Weights!$C$24*IF(BN111="",0,BN111)+Weights!$C$25*IF(BS111="",0,BS111)+Weights!$C$26*IF(BY111="",0,BY111)+Weights!$C$27*IF(BX111="",0,BX111)+Weights!$C$28*IF(BT111="",0,BT111)+Weights!$C$29*IF(CA111="",0,CA111)+Weights!$C$30*BV111+Weights!$C$31*IF(BU111="",0,BU111))/(Weights!$C$23*IF(BQ111="",0,1)+Weights!$C$24*IF(BN111="",0,1)+Weights!$C$25*IF(BS111="",0,1)+Weights!$C$26*IF(BY111="",0,1)+Weights!$C$27*IF(BX111="",0,1)+Weights!$C$28*IF(BT111="",0,1)+Weights!$C$29*IF(CA111="",0,1)+Weights!$C$30+Weights!$C$31*IF(BU111="",0,1)))</x:f>
      </x:c>
      <x:c r="CD111" s="10">
        <x:f>IF(AND(CB111="",CC111=""),"",IF(CB111="",CC111,IF(CC111="",CB111,AVERAGE(CB111,CC111))))</x:f>
      </x:c>
      <x:c r="CE111" s="7">
        <x:f>ROUND(100*((IF(BP111&lt;&gt;"",1,0)+IF(BQ111&lt;&gt;"",1,0)+IF(BR111&lt;&gt;"",1,0)+IF(BS111&lt;&gt;"",1,0)+IF(BU111&lt;&gt;"",1,0)+IF(BT111&lt;&gt;"",1,0)+IF(BN111&lt;&gt;"",1,0)+IF(AW111&lt;&gt;"",1,0))/8),0)</x:f>
      </x:c>
      <x:c r="CF111">
        <x:f>IF(V111="","",LOG10(V111+1))</x:f>
      </x:c>
      <x:c r="CG111">
        <x:f>IF(CF111="","",IF(MAX($CF$2:$CF$252)-MIN($CF$2:$CF$252)=0,"",(CF111-MIN($CF$2:$CF$252))/(MAX($CF$2:$CF$252)-MIN($CF$2:$CF$252))*100))</x:f>
      </x:c>
    </x:row>
    <x:row r="112">
      <x:c r="A112" t="inlineStr">
        <x:is>
          <x:t xml:space="preserve">CHN</x:t>
        </x:is>
      </x:c>
      <x:c r="B112" t="inlineStr">
        <x:is>
          <x:t xml:space="preserve">China</x:t>
        </x:is>
      </x:c>
      <x:c r="C112" t="inlineStr">
        <x:is>
          <x:t xml:space="preserve">East Asia &amp; Pacific</x:t>
        </x:is>
      </x:c>
      <x:c r="D112" t="inlineStr">
        <x:is>
          <x:t xml:space="preserve">Upper middle income</x:t>
        </x:is>
      </x:c>
      <x:c r="E112" t="inlineStr">
        <x:is>
          <x:t xml:space="preserve">Asia</x:t>
        </x:is>
      </x:c>
      <x:c r="F112" t="n">
        <x:v>2024</x:v>
      </x:c>
      <x:c r="G112" t="n">
        <x:v>1408975000</x:v>
      </x:c>
      <x:c r="H112" t="n">
        <x:v>2020</x:v>
      </x:c>
      <x:c r="I112" t="n">
        <x:v>2535000</x:v>
      </x:c>
      <x:c r="J112" t="n">
        <x:v>1647750</x:v>
      </x:c>
      <x:c r="K112" t="n">
        <x:v>507000</x:v>
      </x:c>
      <x:c r="L112" t="n">
        <x:v>304200</x:v>
      </x:c>
      <x:c r="M112" t="n">
        <x:v>2024</x:v>
      </x:c>
      <x:c r="N112" s="8" t="n">
        <x:v>313658330217.176</x:v>
      </x:c>
      <x:c r="O112" s="9" t="n">
        <x:v>1.71129740345228</x:v>
      </x:c>
      <x:c r="P112" s="8" t="n">
        <x:v>123731.0967326138</x:v>
      </x:c>
      <x:c r="Q112" t="n">
        <x:v>2024</x:v>
      </x:c>
      <x:c r="R112" s="8" t="n">
        <x:v>18743803170827.2</x:v>
      </x:c>
      <x:c r="S112" t="n">
        <x:v>623</x:v>
      </x:c>
      <x:c r="T112" t="n">
        <x:v>157</x:v>
      </x:c>
      <x:c r="U112" t="inlineStr">
        <x:is>
          <x:t xml:space="preserve">Yes</x:t>
        </x:is>
      </x:c>
      <x:c r="V112" t="n">
        <x:v>600</x:v>
      </x:c>
      <x:c r="W112" t="inlineStr">
        <x:is>
          <x:t xml:space="preserve">Yes</x:t>
        </x:is>
      </x:c>
      <x:c r="X112" t="n">
        <x:v>35.68533905024583</x:v>
      </x:c>
      <x:c r="Y112" t="n">
        <x:v>65.06883479217549</x:v>
      </x:c>
      <x:c r="Z112" t="n">
        <x:v>9409830.493433917</x:v>
      </x:c>
      <x:c r="AA112" t="n">
        <x:v>146.5810432996071</x:v>
      </x:c>
      <x:c r="AB112" s="8" t="n">
        <x:v>15326.58415865678</x:v>
      </x:c>
      <x:c r="AC112" t="n">
        <x:v>730</x:v>
      </x:c>
      <x:c r="AD112" t="n">
        <x:v>3</x:v>
      </x:c>
      <x:c r="AE112" t="n">
        <x:v>4</x:v>
      </x:c>
      <x:c r="AF112" t="n">
        <x:v>319.8</x:v>
      </x:c>
      <x:c r="AG112" t="n">
        <x:v>405</x:v>
      </x:c>
      <x:c r="AH112" t="n">
        <x:v>2</x:v>
      </x:c>
      <x:c r="AI112" t="n">
        <x:v>73.7</x:v>
      </x:c>
      <x:c r="AJ112" t="n">
        <x:v>86</x:v>
      </x:c>
      <x:c r="AK112" t="n">
        <x:v>70.59999999999999</x:v>
      </x:c>
      <x:c r="AL112" t="n">
        <x:v>70</x:v>
      </x:c>
      <x:c r="AM112" t="n">
        <x:v>73.90000000000001</x:v>
      </x:c>
      <x:c r="AN112" t="n">
        <x:v>95.59999999999999</x:v>
      </x:c>
      <x:c r="AO112" t="n">
        <x:v>18.9</x:v>
      </x:c>
      <x:c r="AP112" t="n">
        <x:v>97.7</x:v>
      </x:c>
      <x:c r="AQ112" t="n">
        <x:v>58.7</x:v>
      </x:c>
      <x:c r="AR112">
        <x:f>IF(G112="","",LOG10(G112+1))</x:f>
      </x:c>
      <x:c r="AS112" s="10">
        <x:f>IF(AR112="","",IF(MAX($AR$2:$AR$252)-MIN($AR$2:$AR$252)=0,"",(AR112-MIN($AR$2:$AR$252))/(MAX($AR$2:$AR$252)-MIN($AR$2:$AR$252))*100))</x:f>
      </x:c>
      <x:c r="AT112">
        <x:f>IF(R112="","",LOG10(R112+1))</x:f>
      </x:c>
      <x:c r="AU112" s="10">
        <x:f>IF(AT112="","",IF(MAX($AT$2:$AT$252)-MIN($AT$2:$AT$252)=0,"",(AT112-MIN($AT$2:$AT$252))/(MAX($AT$2:$AT$252)-MIN($AT$2:$AT$252))*100))</x:f>
      </x:c>
      <x:c r="AV112">
        <x:f>IF(N112="","",LOG10(N112+1))</x:f>
      </x:c>
      <x:c r="AW112" s="10">
        <x:f>IF(AV112="","",IF(MAX($AV$2:$AV$252)-MIN($AV$2:$AV$252)=0,"",(AV112-MIN($AV$2:$AV$252))/(MAX($AV$2:$AV$252)-MIN($AV$2:$AV$252))*100))</x:f>
      </x:c>
      <x:c r="AX112">
        <x:f>IF(I112="","",LOG10(I112+1))</x:f>
      </x:c>
      <x:c r="AY112" s="10">
        <x:f>IF(AX112="","",IF(MAX($AX$2:$AX$252)-MIN($AX$2:$AX$252)=0,"",(AX112-MIN($AX$2:$AX$252))/(MAX($AX$2:$AX$252)-MIN($AX$2:$AX$252))*100))</x:f>
      </x:c>
      <x:c r="AZ112">
        <x:f>IF(J112="","",LOG10(J112+1))</x:f>
      </x:c>
      <x:c r="BA112" s="10">
        <x:f>IF(AZ112="","",IF(MAX($AZ$2:$AZ$252)-MIN($AZ$2:$AZ$252)=0,"",(AZ112-MIN($AZ$2:$AZ$252))/(MAX($AZ$2:$AZ$252)-MIN($AZ$2:$AZ$252))*100))</x:f>
      </x:c>
      <x:c r="BB112">
        <x:f>IF(K112="","",LOG10(K112+1))</x:f>
      </x:c>
      <x:c r="BC112" s="10">
        <x:f>IF(BB112="","",IF(MAX($BB$2:$BB$252)-MIN($BB$2:$BB$252)=0,"",(BB112-MIN($BB$2:$BB$252))/(MAX($BB$2:$BB$252)-MIN($BB$2:$BB$252))*100))</x:f>
      </x:c>
      <x:c r="BD112">
        <x:f>IF(L112="","",LOG10(L112+1))</x:f>
      </x:c>
      <x:c r="BE112" s="10">
        <x:f>IF(BD112="","",IF(MAX($BD$2:$BD$252)-MIN($BD$2:$BD$252)=0,"",(BD112-MIN($BD$2:$BD$252))/(MAX($BD$2:$BD$252)-MIN($BD$2:$BD$252))*100))</x:f>
      </x:c>
      <x:c r="BF112" s="10">
        <x:f>IF(P112="","",IF(MAX($P$2:$P$252)-MIN($P$2:$P$252)=0,"",(P112-MIN($P$2:$P$252))/(MAX($P$2:$P$252)-MIN($P$2:$P$252))*100))</x:f>
      </x:c>
      <x:c r="BG112">
        <x:f>IF(AF112="","",LOG10(AF112+1))</x:f>
      </x:c>
      <x:c r="BH112" s="10">
        <x:f>IF(BG112="","",IF(MAX($BG$2:$BG$252)-MIN($BG$2:$BG$252)=0,"",(BG112-MIN($BG$2:$BG$252))/(MAX($BG$2:$BG$252)-MIN($BG$2:$BG$252))*100))</x:f>
      </x:c>
      <x:c r="BI112">
        <x:f>IF(AC112="","",LOG10(AC112+1))</x:f>
      </x:c>
      <x:c r="BJ112" s="10">
        <x:f>IF(BI112="","",IF(MAX($BI$2:$BI$252)-MIN($BI$2:$BI$252)=0,"",(BI112-MIN($BI$2:$BI$252))/(MAX($BI$2:$BI$252)-MIN($BI$2:$BI$252))*100))</x:f>
      </x:c>
      <x:c r="BK112">
        <x:f>IF(AD112="","",(AD112*2)+(AE112*1))</x:f>
      </x:c>
      <x:c r="BL112" s="10">
        <x:f>IF(BK112="","",IF(MAX($BK$2:$BK$252)-MIN($BK$2:$BK$252)=0,"",(BK112-MIN($BK$2:$BK$252))/(MAX($BK$2:$BK$252)-MIN($BK$2:$BK$252))*100))</x:f>
      </x:c>
      <x:c r="BM112" s="10">
        <x:f>IF(AB112="","",IF(MAX($AB$2:$AB$252)-MIN($AB$2:$AB$252)=0,"",(AB112-MIN($AB$2:$AB$252))/(MAX($AB$2:$AB$252)-MIN($AB$2:$AB$252))*100))</x:f>
      </x:c>
      <x:c r="BN112" s="10">
        <x:f>IF(X112="","",X112)</x:f>
      </x:c>
      <x:c r="BO112" s="10">
        <x:f>IF(X112="","",100-X112)</x:f>
      </x:c>
      <x:c r="BP112" s="10">
        <x:f>IF((Weights!$C$2*IF(BH112="",0,1)+Weights!$C$3*IF(BJ112="",0,1)+Weights!$C$4*IF(BL112="",0,1))=0,"",(Weights!$C$2*IF(BH112="",0,BH112)+Weights!$C$3*IF(BJ112="",0,BJ112)+Weights!$C$4*IF(BL112="",0,BL112))/(Weights!$C$2*IF(BH112="",0,1)+Weights!$C$3*IF(BJ112="",0,1)+Weights!$C$4*IF(BL112="",0,1)))</x:f>
      </x:c>
      <x:c r="BQ112" s="10">
        <x:f>IF((Weights!$C$5*IF(BA112="",0,1)+Weights!$C$6*IF(AW112="",0,1)+Weights!$C$7*IF(AU112="",0,1))=0,"",(Weights!$C$5*IF(BA112="",0,BA112)+Weights!$C$6*IF(AW112="",0,AW112)+Weights!$C$7*IF(AU112="",0,AU112))/(Weights!$C$5*IF(BA112="",0,1)+Weights!$C$6*IF(AW112="",0,1)+Weights!$C$7*IF(AU112="",0,1)))</x:f>
      </x:c>
      <x:c r="BR112" s="10">
        <x:f>IF((Weights!$C$8*IF(AW112="",0,1)+Weights!$C$9*IF(BC112="",0,1)+Weights!$C$10*IF(BF112="",0,1))=0,"",(Weights!$C$8*IF(AW112="",0,AW112)+Weights!$C$9*IF(BC112="",0,BC112)+Weights!$C$10*IF(BF112="",0,BF112))/(Weights!$C$8*IF(AW112="",0,1)+Weights!$C$9*IF(BC112="",0,1)+Weights!$C$10*IF(BF112="",0,1)))</x:f>
      </x:c>
      <x:c r="BS112" s="10">
        <x:f>IF(Y112="","",Y112)</x:f>
      </x:c>
      <x:c r="BT112" s="10">
        <x:f>IF(AS112="","",AS112)</x:f>
      </x:c>
      <x:c r="BU112" s="10">
        <x:f>IF(AJ112&lt;&gt;"",(0.6*AJ112+0.4*AU112),IF((Weights!$C$11*IF(AU112="",0,1)+Weights!$C$12*IF(BM112="",0,1))=0,"",(Weights!$C$11*IF(AU112="",0,AU112)+Weights!$C$12*IF(BM112="",0,BM112))/(Weights!$C$11*IF(AU112="",0,1)+Weights!$C$12*IF(BM112="",0,1))))</x:f>
      </x:c>
      <x:c r="BV112" s="10">
        <x:f>IF(CG112="",0,CG112)</x:f>
      </x:c>
      <x:c r="BW112" s="10">
        <x:f>IF(AP112="","",AP112)</x:f>
      </x:c>
      <x:c r="BX112" s="10">
        <x:f>IF(AO112="","",AO112)</x:f>
      </x:c>
      <x:c r="BY112" s="10">
        <x:f>IF(AL112="","",AL112)</x:f>
      </x:c>
      <x:c r="BZ112" s="10">
        <x:f>IF(AM112="","",AM112)</x:f>
      </x:c>
      <x:c r="CA112" s="10">
        <x:f>IF(AK112&lt;&gt;"",AK112,AW112)</x:f>
      </x:c>
      <x:c r="CB112" s="10">
        <x:f>IF((Weights!$C$13*IF(BP112="",0,1)+Weights!$C$14*IF(BR112="",0,1)+Weights!$C$15*IF(BQ112="",0,1)+Weights!$C$16*IF(BS112="",0,1)+Weights!$C$17*IF(BU112="",0,1)+Weights!$C$18*IF(BT112="",0,1)+Weights!$C$19*IF(BW112="",0,1)+Weights!$C$20*IF(BZ112="",0,1)+Weights!$C$21*IF(BO112="",0,1)+Weights!$C$22)=0,"",(Weights!$C$13*IF(BP112="",0,BP112)+Weights!$C$14*IF(BR112="",0,BR112)+Weights!$C$15*IF(BQ112="",0,BQ112)+Weights!$C$16*IF(BS112="",0,BS112)+Weights!$C$17*IF(BU112="",0,BU112)+Weights!$C$18*IF(BT112="",0,BT112)+Weights!$C$19*IF(BW112="",0,BW112)+Weights!$C$20*IF(BZ112="",0,BZ112)+Weights!$C$21*IF(BO112="",0,BO112)+Weights!$C$22*BV112)/(Weights!$C$13*IF(BP112="",0,1)+Weights!$C$14*IF(BR112="",0,1)+Weights!$C$15*IF(BQ112="",0,1)+Weights!$C$16*IF(BS112="",0,1)+Weights!$C$17*IF(BU112="",0,1)+Weights!$C$18*IF(BT112="",0,1)+Weights!$C$19*IF(BW112="",0,1)+Weights!$C$20*IF(BZ112="",0,1)+Weights!$C$21*IF(BO112="",0,1)+Weights!$C$22))</x:f>
      </x:c>
      <x:c r="CC112" s="10">
        <x:f>IF((Weights!$C$23*IF(BQ112="",0,1)+Weights!$C$24*IF(BN112="",0,1)+Weights!$C$25*IF(BS112="",0,1)+Weights!$C$26*IF(BY112="",0,1)+Weights!$C$27*IF(BX112="",0,1)+Weights!$C$28*IF(BT112="",0,1)+Weights!$C$29*IF(CA112="",0,1)+Weights!$C$30+Weights!$C$31*IF(BU112="",0,1))=0,"",(Weights!$C$23*IF(BQ112="",0,BQ112)+Weights!$C$24*IF(BN112="",0,BN112)+Weights!$C$25*IF(BS112="",0,BS112)+Weights!$C$26*IF(BY112="",0,BY112)+Weights!$C$27*IF(BX112="",0,BX112)+Weights!$C$28*IF(BT112="",0,BT112)+Weights!$C$29*IF(CA112="",0,CA112)+Weights!$C$30*BV112+Weights!$C$31*IF(BU112="",0,BU112))/(Weights!$C$23*IF(BQ112="",0,1)+Weights!$C$24*IF(BN112="",0,1)+Weights!$C$25*IF(BS112="",0,1)+Weights!$C$26*IF(BY112="",0,1)+Weights!$C$27*IF(BX112="",0,1)+Weights!$C$28*IF(BT112="",0,1)+Weights!$C$29*IF(CA112="",0,1)+Weights!$C$30+Weights!$C$31*IF(BU112="",0,1)))</x:f>
      </x:c>
      <x:c r="CD112" s="10">
        <x:f>IF(AND(CB112="",CC112=""),"",IF(CB112="",CC112,IF(CC112="",CB112,AVERAGE(CB112,CC112))))</x:f>
      </x:c>
      <x:c r="CE112" s="7">
        <x:f>ROUND(100*((IF(BP112&lt;&gt;"",1,0)+IF(BQ112&lt;&gt;"",1,0)+IF(BR112&lt;&gt;"",1,0)+IF(BS112&lt;&gt;"",1,0)+IF(BU112&lt;&gt;"",1,0)+IF(BT112&lt;&gt;"",1,0)+IF(BN112&lt;&gt;"",1,0)+IF(AW112&lt;&gt;"",1,0))/8),0)</x:f>
      </x:c>
      <x:c r="CF112">
        <x:f>IF(V112="","",LOG10(V112+1))</x:f>
      </x:c>
      <x:c r="CG112">
        <x:f>IF(CF112="","",IF(MAX($CF$2:$CF$252)-MIN($CF$2:$CF$252)=0,"",(CF112-MIN($CF$2:$CF$252))/(MAX($CF$2:$CF$252)-MIN($CF$2:$CF$252))*100))</x:f>
      </x:c>
    </x:row>
    <x:row r="113">
      <x:c r="A113" t="inlineStr">
        <x:is>
          <x:t xml:space="preserve">PCN</x:t>
        </x:is>
      </x:c>
      <x:c r="B113" t="inlineStr">
        <x:is>
          <x:t xml:space="preserve">Pitcairn</x:t>
        </x:is>
      </x:c>
      <x:c r="N113" s="8" t="n"/>
      <x:c r="O113" s="9" t="n"/>
      <x:c r="P113" s="8" t="n"/>
      <x:c r="R113" s="8" t="n"/>
      <x:c r="AB113" s="8" t="n"/>
      <x:c r="AR113">
        <x:f>IF(G113="","",LOG10(G113+1))</x:f>
      </x:c>
      <x:c r="AS113" s="10">
        <x:f>IF(AR113="","",IF(MAX($AR$2:$AR$252)-MIN($AR$2:$AR$252)=0,"",(AR113-MIN($AR$2:$AR$252))/(MAX($AR$2:$AR$252)-MIN($AR$2:$AR$252))*100))</x:f>
      </x:c>
      <x:c r="AT113">
        <x:f>IF(R113="","",LOG10(R113+1))</x:f>
      </x:c>
      <x:c r="AU113" s="10">
        <x:f>IF(AT113="","",IF(MAX($AT$2:$AT$252)-MIN($AT$2:$AT$252)=0,"",(AT113-MIN($AT$2:$AT$252))/(MAX($AT$2:$AT$252)-MIN($AT$2:$AT$252))*100))</x:f>
      </x:c>
      <x:c r="AV113">
        <x:f>IF(N113="","",LOG10(N113+1))</x:f>
      </x:c>
      <x:c r="AW113" s="10">
        <x:f>IF(AV113="","",IF(MAX($AV$2:$AV$252)-MIN($AV$2:$AV$252)=0,"",(AV113-MIN($AV$2:$AV$252))/(MAX($AV$2:$AV$252)-MIN($AV$2:$AV$252))*100))</x:f>
      </x:c>
      <x:c r="AX113">
        <x:f>IF(I113="","",LOG10(I113+1))</x:f>
      </x:c>
      <x:c r="AY113" s="10">
        <x:f>IF(AX113="","",IF(MAX($AX$2:$AX$252)-MIN($AX$2:$AX$252)=0,"",(AX113-MIN($AX$2:$AX$252))/(MAX($AX$2:$AX$252)-MIN($AX$2:$AX$252))*100))</x:f>
      </x:c>
      <x:c r="AZ113">
        <x:f>IF(J113="","",LOG10(J113+1))</x:f>
      </x:c>
      <x:c r="BA113" s="10">
        <x:f>IF(AZ113="","",IF(MAX($AZ$2:$AZ$252)-MIN($AZ$2:$AZ$252)=0,"",(AZ113-MIN($AZ$2:$AZ$252))/(MAX($AZ$2:$AZ$252)-MIN($AZ$2:$AZ$252))*100))</x:f>
      </x:c>
      <x:c r="BB113">
        <x:f>IF(K113="","",LOG10(K113+1))</x:f>
      </x:c>
      <x:c r="BC113" s="10">
        <x:f>IF(BB113="","",IF(MAX($BB$2:$BB$252)-MIN($BB$2:$BB$252)=0,"",(BB113-MIN($BB$2:$BB$252))/(MAX($BB$2:$BB$252)-MIN($BB$2:$BB$252))*100))</x:f>
      </x:c>
      <x:c r="BD113">
        <x:f>IF(L113="","",LOG10(L113+1))</x:f>
      </x:c>
      <x:c r="BE113" s="10">
        <x:f>IF(BD113="","",IF(MAX($BD$2:$BD$252)-MIN($BD$2:$BD$252)=0,"",(BD113-MIN($BD$2:$BD$252))/(MAX($BD$2:$BD$252)-MIN($BD$2:$BD$252))*100))</x:f>
      </x:c>
      <x:c r="BF113" s="10">
        <x:f>IF(P113="","",IF(MAX($P$2:$P$252)-MIN($P$2:$P$252)=0,"",(P113-MIN($P$2:$P$252))/(MAX($P$2:$P$252)-MIN($P$2:$P$252))*100))</x:f>
      </x:c>
      <x:c r="BG113">
        <x:f>IF(AF113="","",LOG10(AF113+1))</x:f>
      </x:c>
      <x:c r="BH113" s="10">
        <x:f>IF(BG113="","",IF(MAX($BG$2:$BG$252)-MIN($BG$2:$BG$252)=0,"",(BG113-MIN($BG$2:$BG$252))/(MAX($BG$2:$BG$252)-MIN($BG$2:$BG$252))*100))</x:f>
      </x:c>
      <x:c r="BI113">
        <x:f>IF(AC113="","",LOG10(AC113+1))</x:f>
      </x:c>
      <x:c r="BJ113" s="10">
        <x:f>IF(BI113="","",IF(MAX($BI$2:$BI$252)-MIN($BI$2:$BI$252)=0,"",(BI113-MIN($BI$2:$BI$252))/(MAX($BI$2:$BI$252)-MIN($BI$2:$BI$252))*100))</x:f>
      </x:c>
      <x:c r="BK113">
        <x:f>IF(AD113="","",(AD113*2)+(AE113*1))</x:f>
      </x:c>
      <x:c r="BL113" s="10">
        <x:f>IF(BK113="","",IF(MAX($BK$2:$BK$252)-MIN($BK$2:$BK$252)=0,"",(BK113-MIN($BK$2:$BK$252))/(MAX($BK$2:$BK$252)-MIN($BK$2:$BK$252))*100))</x:f>
      </x:c>
      <x:c r="BM113" s="10">
        <x:f>IF(AB113="","",IF(MAX($AB$2:$AB$252)-MIN($AB$2:$AB$252)=0,"",(AB113-MIN($AB$2:$AB$252))/(MAX($AB$2:$AB$252)-MIN($AB$2:$AB$252))*100))</x:f>
      </x:c>
      <x:c r="BN113" s="10">
        <x:f>IF(X113="","",X113)</x:f>
      </x:c>
      <x:c r="BO113" s="10">
        <x:f>IF(X113="","",100-X113)</x:f>
      </x:c>
      <x:c r="BP113" s="10">
        <x:f>IF((Weights!$C$2*IF(BH113="",0,1)+Weights!$C$3*IF(BJ113="",0,1)+Weights!$C$4*IF(BL113="",0,1))=0,"",(Weights!$C$2*IF(BH113="",0,BH113)+Weights!$C$3*IF(BJ113="",0,BJ113)+Weights!$C$4*IF(BL113="",0,BL113))/(Weights!$C$2*IF(BH113="",0,1)+Weights!$C$3*IF(BJ113="",0,1)+Weights!$C$4*IF(BL113="",0,1)))</x:f>
      </x:c>
      <x:c r="BQ113" s="10">
        <x:f>IF((Weights!$C$5*IF(BA113="",0,1)+Weights!$C$6*IF(AW113="",0,1)+Weights!$C$7*IF(AU113="",0,1))=0,"",(Weights!$C$5*IF(BA113="",0,BA113)+Weights!$C$6*IF(AW113="",0,AW113)+Weights!$C$7*IF(AU113="",0,AU113))/(Weights!$C$5*IF(BA113="",0,1)+Weights!$C$6*IF(AW113="",0,1)+Weights!$C$7*IF(AU113="",0,1)))</x:f>
      </x:c>
      <x:c r="BR113" s="10">
        <x:f>IF((Weights!$C$8*IF(AW113="",0,1)+Weights!$C$9*IF(BC113="",0,1)+Weights!$C$10*IF(BF113="",0,1))=0,"",(Weights!$C$8*IF(AW113="",0,AW113)+Weights!$C$9*IF(BC113="",0,BC113)+Weights!$C$10*IF(BF113="",0,BF113))/(Weights!$C$8*IF(AW113="",0,1)+Weights!$C$9*IF(BC113="",0,1)+Weights!$C$10*IF(BF113="",0,1)))</x:f>
      </x:c>
      <x:c r="BS113" s="10">
        <x:f>IF(Y113="","",Y113)</x:f>
      </x:c>
      <x:c r="BT113" s="10">
        <x:f>IF(AS113="","",AS113)</x:f>
      </x:c>
      <x:c r="BU113" s="10">
        <x:f>IF(AJ113&lt;&gt;"",(0.6*AJ113+0.4*AU113),IF((Weights!$C$11*IF(AU113="",0,1)+Weights!$C$12*IF(BM113="",0,1))=0,"",(Weights!$C$11*IF(AU113="",0,AU113)+Weights!$C$12*IF(BM113="",0,BM113))/(Weights!$C$11*IF(AU113="",0,1)+Weights!$C$12*IF(BM113="",0,1))))</x:f>
      </x:c>
      <x:c r="BV113" s="10">
        <x:f>IF(CG113="",0,CG113)</x:f>
      </x:c>
      <x:c r="BW113" s="10">
        <x:f>IF(AP113="","",AP113)</x:f>
      </x:c>
      <x:c r="BX113" s="10">
        <x:f>IF(AO113="","",AO113)</x:f>
      </x:c>
      <x:c r="BY113" s="10">
        <x:f>IF(AL113="","",AL113)</x:f>
      </x:c>
      <x:c r="BZ113" s="10">
        <x:f>IF(AM113="","",AM113)</x:f>
      </x:c>
      <x:c r="CA113" s="10">
        <x:f>IF(AK113&lt;&gt;"",AK113,AW113)</x:f>
      </x:c>
      <x:c r="CB113" s="10">
        <x:f>IF((Weights!$C$13*IF(BP113="",0,1)+Weights!$C$14*IF(BR113="",0,1)+Weights!$C$15*IF(BQ113="",0,1)+Weights!$C$16*IF(BS113="",0,1)+Weights!$C$17*IF(BU113="",0,1)+Weights!$C$18*IF(BT113="",0,1)+Weights!$C$19*IF(BW113="",0,1)+Weights!$C$20*IF(BZ113="",0,1)+Weights!$C$21*IF(BO113="",0,1)+Weights!$C$22)=0,"",(Weights!$C$13*IF(BP113="",0,BP113)+Weights!$C$14*IF(BR113="",0,BR113)+Weights!$C$15*IF(BQ113="",0,BQ113)+Weights!$C$16*IF(BS113="",0,BS113)+Weights!$C$17*IF(BU113="",0,BU113)+Weights!$C$18*IF(BT113="",0,BT113)+Weights!$C$19*IF(BW113="",0,BW113)+Weights!$C$20*IF(BZ113="",0,BZ113)+Weights!$C$21*IF(BO113="",0,BO113)+Weights!$C$22*BV113)/(Weights!$C$13*IF(BP113="",0,1)+Weights!$C$14*IF(BR113="",0,1)+Weights!$C$15*IF(BQ113="",0,1)+Weights!$C$16*IF(BS113="",0,1)+Weights!$C$17*IF(BU113="",0,1)+Weights!$C$18*IF(BT113="",0,1)+Weights!$C$19*IF(BW113="",0,1)+Weights!$C$20*IF(BZ113="",0,1)+Weights!$C$21*IF(BO113="",0,1)+Weights!$C$22))</x:f>
      </x:c>
      <x:c r="CC113" s="10">
        <x:f>IF((Weights!$C$23*IF(BQ113="",0,1)+Weights!$C$24*IF(BN113="",0,1)+Weights!$C$25*IF(BS113="",0,1)+Weights!$C$26*IF(BY113="",0,1)+Weights!$C$27*IF(BX113="",0,1)+Weights!$C$28*IF(BT113="",0,1)+Weights!$C$29*IF(CA113="",0,1)+Weights!$C$30+Weights!$C$31*IF(BU113="",0,1))=0,"",(Weights!$C$23*IF(BQ113="",0,BQ113)+Weights!$C$24*IF(BN113="",0,BN113)+Weights!$C$25*IF(BS113="",0,BS113)+Weights!$C$26*IF(BY113="",0,BY113)+Weights!$C$27*IF(BX113="",0,BX113)+Weights!$C$28*IF(BT113="",0,BT113)+Weights!$C$29*IF(CA113="",0,CA113)+Weights!$C$30*BV113+Weights!$C$31*IF(BU113="",0,BU113))/(Weights!$C$23*IF(BQ113="",0,1)+Weights!$C$24*IF(BN113="",0,1)+Weights!$C$25*IF(BS113="",0,1)+Weights!$C$26*IF(BY113="",0,1)+Weights!$C$27*IF(BX113="",0,1)+Weights!$C$28*IF(BT113="",0,1)+Weights!$C$29*IF(CA113="",0,1)+Weights!$C$30+Weights!$C$31*IF(BU113="",0,1)))</x:f>
      </x:c>
      <x:c r="CD113" s="10">
        <x:f>IF(AND(CB113="",CC113=""),"",IF(CB113="",CC113,IF(CC113="",CB113,AVERAGE(CB113,CC113))))</x:f>
      </x:c>
      <x:c r="CE113" s="7">
        <x:f>ROUND(100*((IF(BP113&lt;&gt;"",1,0)+IF(BQ113&lt;&gt;"",1,0)+IF(BR113&lt;&gt;"",1,0)+IF(BS113&lt;&gt;"",1,0)+IF(BU113&lt;&gt;"",1,0)+IF(BT113&lt;&gt;"",1,0)+IF(BN113&lt;&gt;"",1,0)+IF(AW113&lt;&gt;"",1,0))/8),0)</x:f>
      </x:c>
      <x:c r="CF113">
        <x:f>IF(V113="","",LOG10(V113+1))</x:f>
      </x:c>
      <x:c r="CG113">
        <x:f>IF(CF113="","",IF(MAX($CF$2:$CF$252)-MIN($CF$2:$CF$252)=0,"",(CF113-MIN($CF$2:$CF$252))/(MAX($CF$2:$CF$252)-MIN($CF$2:$CF$252))*100))</x:f>
      </x:c>
    </x:row>
    <x:row r="114">
      <x:c r="A114" t="inlineStr">
        <x:is>
          <x:t xml:space="preserve">PRT</x:t>
        </x:is>
      </x:c>
      <x:c r="B114" t="inlineStr">
        <x:is>
          <x:t xml:space="preserve">Portugal</x:t>
        </x:is>
      </x:c>
      <x:c r="C114" t="inlineStr">
        <x:is>
          <x:t xml:space="preserve">Europe &amp; Central Asia</x:t>
        </x:is>
      </x:c>
      <x:c r="D114" t="inlineStr">
        <x:is>
          <x:t xml:space="preserve">High income</x:t>
        </x:is>
      </x:c>
      <x:c r="E114" t="inlineStr">
        <x:is>
          <x:t xml:space="preserve">Europe</x:t>
        </x:is>
      </x:c>
      <x:c r="F114" t="n">
        <x:v>2024</x:v>
      </x:c>
      <x:c r="G114" t="n">
        <x:v>10694681</x:v>
      </x:c>
      <x:c r="H114" t="n">
        <x:v>2020</x:v>
      </x:c>
      <x:c r="I114" t="n">
        <x:v>52000</x:v>
      </x:c>
      <x:c r="J114" t="n">
        <x:v>33800</x:v>
      </x:c>
      <x:c r="K114" t="n">
        <x:v>10400</x:v>
      </x:c>
      <x:c r="L114" t="n">
        <x:v>6240</x:v>
      </x:c>
      <x:c r="M114" t="n">
        <x:v>2024</x:v>
      </x:c>
      <x:c r="N114" s="8" t="n">
        <x:v>4641618584.64707</x:v>
      </x:c>
      <x:c r="O114" s="9" t="n">
        <x:v>1.53226822745255</x:v>
      </x:c>
      <x:c r="P114" s="8" t="n">
        <x:v>89261.89585859751</x:v>
      </x:c>
      <x:c r="Q114" t="n">
        <x:v>2024</x:v>
      </x:c>
      <x:c r="R114" s="8" t="n">
        <x:v>313271185085.102</x:v>
      </x:c>
      <x:c r="S114" t="n">
        <x:v>0</x:v>
      </x:c>
      <x:c r="T114" t="n">
        <x:v>0</x:v>
      </x:c>
      <x:c r="U114" t="inlineStr">
        <x:is>
          <x:t xml:space="preserve">No</x:t>
        </x:is>
      </x:c>
      <x:c r="W114" t="inlineStr">
        <x:is>
          <x:t xml:space="preserve">No</x:t>
        </x:is>
      </x:c>
      <x:c r="X114" t="n">
        <x:v>17.76480494537988</x:v>
      </x:c>
      <x:c r="Y114" t="n">
        <x:v>72.12601683754292</x:v>
      </x:c>
      <x:c r="Z114" t="n">
        <x:v>93408.59409915986</x:v>
      </x:c>
      <x:c r="AA114" t="n">
        <x:v>116.0440760781935</x:v>
      </x:c>
      <x:c r="AB114" s="8" t="n">
        <x:v>27408.97793019134</x:v>
      </x:c>
      <x:c r="AC114" t="n">
        <x:v>113</x:v>
      </x:c>
      <x:c r="AD114" t="n">
        <x:v>0</x:v>
      </x:c>
      <x:c r="AE114" t="n">
        <x:v>0</x:v>
      </x:c>
      <x:c r="AF114" t="n">
        <x:v>38.9</x:v>
      </x:c>
      <x:c r="AG114" t="n">
        <x:v>28</x:v>
      </x:c>
      <x:c r="AH114" t="n">
        <x:v>26</x:v>
      </x:c>
      <x:c r="AR114">
        <x:f>IF(G114="","",LOG10(G114+1))</x:f>
      </x:c>
      <x:c r="AS114" s="10">
        <x:f>IF(AR114="","",IF(MAX($AR$2:$AR$252)-MIN($AR$2:$AR$252)=0,"",(AR114-MIN($AR$2:$AR$252))/(MAX($AR$2:$AR$252)-MIN($AR$2:$AR$252))*100))</x:f>
      </x:c>
      <x:c r="AT114">
        <x:f>IF(R114="","",LOG10(R114+1))</x:f>
      </x:c>
      <x:c r="AU114" s="10">
        <x:f>IF(AT114="","",IF(MAX($AT$2:$AT$252)-MIN($AT$2:$AT$252)=0,"",(AT114-MIN($AT$2:$AT$252))/(MAX($AT$2:$AT$252)-MIN($AT$2:$AT$252))*100))</x:f>
      </x:c>
      <x:c r="AV114">
        <x:f>IF(N114="","",LOG10(N114+1))</x:f>
      </x:c>
      <x:c r="AW114" s="10">
        <x:f>IF(AV114="","",IF(MAX($AV$2:$AV$252)-MIN($AV$2:$AV$252)=0,"",(AV114-MIN($AV$2:$AV$252))/(MAX($AV$2:$AV$252)-MIN($AV$2:$AV$252))*100))</x:f>
      </x:c>
      <x:c r="AX114">
        <x:f>IF(I114="","",LOG10(I114+1))</x:f>
      </x:c>
      <x:c r="AY114" s="10">
        <x:f>IF(AX114="","",IF(MAX($AX$2:$AX$252)-MIN($AX$2:$AX$252)=0,"",(AX114-MIN($AX$2:$AX$252))/(MAX($AX$2:$AX$252)-MIN($AX$2:$AX$252))*100))</x:f>
      </x:c>
      <x:c r="AZ114">
        <x:f>IF(J114="","",LOG10(J114+1))</x:f>
      </x:c>
      <x:c r="BA114" s="10">
        <x:f>IF(AZ114="","",IF(MAX($AZ$2:$AZ$252)-MIN($AZ$2:$AZ$252)=0,"",(AZ114-MIN($AZ$2:$AZ$252))/(MAX($AZ$2:$AZ$252)-MIN($AZ$2:$AZ$252))*100))</x:f>
      </x:c>
      <x:c r="BB114">
        <x:f>IF(K114="","",LOG10(K114+1))</x:f>
      </x:c>
      <x:c r="BC114" s="10">
        <x:f>IF(BB114="","",IF(MAX($BB$2:$BB$252)-MIN($BB$2:$BB$252)=0,"",(BB114-MIN($BB$2:$BB$252))/(MAX($BB$2:$BB$252)-MIN($BB$2:$BB$252))*100))</x:f>
      </x:c>
      <x:c r="BD114">
        <x:f>IF(L114="","",LOG10(L114+1))</x:f>
      </x:c>
      <x:c r="BE114" s="10">
        <x:f>IF(BD114="","",IF(MAX($BD$2:$BD$252)-MIN($BD$2:$BD$252)=0,"",(BD114-MIN($BD$2:$BD$252))/(MAX($BD$2:$BD$252)-MIN($BD$2:$BD$252))*100))</x:f>
      </x:c>
      <x:c r="BF114" s="10">
        <x:f>IF(P114="","",IF(MAX($P$2:$P$252)-MIN($P$2:$P$252)=0,"",(P114-MIN($P$2:$P$252))/(MAX($P$2:$P$252)-MIN($P$2:$P$252))*100))</x:f>
      </x:c>
      <x:c r="BG114">
        <x:f>IF(AF114="","",LOG10(AF114+1))</x:f>
      </x:c>
      <x:c r="BH114" s="10">
        <x:f>IF(BG114="","",IF(MAX($BG$2:$BG$252)-MIN($BG$2:$BG$252)=0,"",(BG114-MIN($BG$2:$BG$252))/(MAX($BG$2:$BG$252)-MIN($BG$2:$BG$252))*100))</x:f>
      </x:c>
      <x:c r="BI114">
        <x:f>IF(AC114="","",LOG10(AC114+1))</x:f>
      </x:c>
      <x:c r="BJ114" s="10">
        <x:f>IF(BI114="","",IF(MAX($BI$2:$BI$252)-MIN($BI$2:$BI$252)=0,"",(BI114-MIN($BI$2:$BI$252))/(MAX($BI$2:$BI$252)-MIN($BI$2:$BI$252))*100))</x:f>
      </x:c>
      <x:c r="BK114">
        <x:f>IF(AD114="","",(AD114*2)+(AE114*1))</x:f>
      </x:c>
      <x:c r="BL114" s="10">
        <x:f>IF(BK114="","",IF(MAX($BK$2:$BK$252)-MIN($BK$2:$BK$252)=0,"",(BK114-MIN($BK$2:$BK$252))/(MAX($BK$2:$BK$252)-MIN($BK$2:$BK$252))*100))</x:f>
      </x:c>
      <x:c r="BM114" s="10">
        <x:f>IF(AB114="","",IF(MAX($AB$2:$AB$252)-MIN($AB$2:$AB$252)=0,"",(AB114-MIN($AB$2:$AB$252))/(MAX($AB$2:$AB$252)-MIN($AB$2:$AB$252))*100))</x:f>
      </x:c>
      <x:c r="BN114" s="10">
        <x:f>IF(X114="","",X114)</x:f>
      </x:c>
      <x:c r="BO114" s="10">
        <x:f>IF(X114="","",100-X114)</x:f>
      </x:c>
      <x:c r="BP114" s="10">
        <x:f>IF((Weights!$C$2*IF(BH114="",0,1)+Weights!$C$3*IF(BJ114="",0,1)+Weights!$C$4*IF(BL114="",0,1))=0,"",(Weights!$C$2*IF(BH114="",0,BH114)+Weights!$C$3*IF(BJ114="",0,BJ114)+Weights!$C$4*IF(BL114="",0,BL114))/(Weights!$C$2*IF(BH114="",0,1)+Weights!$C$3*IF(BJ114="",0,1)+Weights!$C$4*IF(BL114="",0,1)))</x:f>
      </x:c>
      <x:c r="BQ114" s="10">
        <x:f>IF((Weights!$C$5*IF(BA114="",0,1)+Weights!$C$6*IF(AW114="",0,1)+Weights!$C$7*IF(AU114="",0,1))=0,"",(Weights!$C$5*IF(BA114="",0,BA114)+Weights!$C$6*IF(AW114="",0,AW114)+Weights!$C$7*IF(AU114="",0,AU114))/(Weights!$C$5*IF(BA114="",0,1)+Weights!$C$6*IF(AW114="",0,1)+Weights!$C$7*IF(AU114="",0,1)))</x:f>
      </x:c>
      <x:c r="BR114" s="10">
        <x:f>IF((Weights!$C$8*IF(AW114="",0,1)+Weights!$C$9*IF(BC114="",0,1)+Weights!$C$10*IF(BF114="",0,1))=0,"",(Weights!$C$8*IF(AW114="",0,AW114)+Weights!$C$9*IF(BC114="",0,BC114)+Weights!$C$10*IF(BF114="",0,BF114))/(Weights!$C$8*IF(AW114="",0,1)+Weights!$C$9*IF(BC114="",0,1)+Weights!$C$10*IF(BF114="",0,1)))</x:f>
      </x:c>
      <x:c r="BS114" s="10">
        <x:f>IF(Y114="","",Y114)</x:f>
      </x:c>
      <x:c r="BT114" s="10">
        <x:f>IF(AS114="","",AS114)</x:f>
      </x:c>
      <x:c r="BU114" s="10">
        <x:f>IF(AJ114&lt;&gt;"",(0.6*AJ114+0.4*AU114),IF((Weights!$C$11*IF(AU114="",0,1)+Weights!$C$12*IF(BM114="",0,1))=0,"",(Weights!$C$11*IF(AU114="",0,AU114)+Weights!$C$12*IF(BM114="",0,BM114))/(Weights!$C$11*IF(AU114="",0,1)+Weights!$C$12*IF(BM114="",0,1))))</x:f>
      </x:c>
      <x:c r="BV114" s="10">
        <x:f>IF(CG114="",0,CG114)</x:f>
      </x:c>
      <x:c r="BW114" s="10">
        <x:f>IF(AP114="","",AP114)</x:f>
      </x:c>
      <x:c r="BX114" s="10">
        <x:f>IF(AO114="","",AO114)</x:f>
      </x:c>
      <x:c r="BY114" s="10">
        <x:f>IF(AL114="","",AL114)</x:f>
      </x:c>
      <x:c r="BZ114" s="10">
        <x:f>IF(AM114="","",AM114)</x:f>
      </x:c>
      <x:c r="CA114" s="10">
        <x:f>IF(AK114&lt;&gt;"",AK114,AW114)</x:f>
      </x:c>
      <x:c r="CB114" s="10">
        <x:f>IF((Weights!$C$13*IF(BP114="",0,1)+Weights!$C$14*IF(BR114="",0,1)+Weights!$C$15*IF(BQ114="",0,1)+Weights!$C$16*IF(BS114="",0,1)+Weights!$C$17*IF(BU114="",0,1)+Weights!$C$18*IF(BT114="",0,1)+Weights!$C$19*IF(BW114="",0,1)+Weights!$C$20*IF(BZ114="",0,1)+Weights!$C$21*IF(BO114="",0,1)+Weights!$C$22)=0,"",(Weights!$C$13*IF(BP114="",0,BP114)+Weights!$C$14*IF(BR114="",0,BR114)+Weights!$C$15*IF(BQ114="",0,BQ114)+Weights!$C$16*IF(BS114="",0,BS114)+Weights!$C$17*IF(BU114="",0,BU114)+Weights!$C$18*IF(BT114="",0,BT114)+Weights!$C$19*IF(BW114="",0,BW114)+Weights!$C$20*IF(BZ114="",0,BZ114)+Weights!$C$21*IF(BO114="",0,BO114)+Weights!$C$22*BV114)/(Weights!$C$13*IF(BP114="",0,1)+Weights!$C$14*IF(BR114="",0,1)+Weights!$C$15*IF(BQ114="",0,1)+Weights!$C$16*IF(BS114="",0,1)+Weights!$C$17*IF(BU114="",0,1)+Weights!$C$18*IF(BT114="",0,1)+Weights!$C$19*IF(BW114="",0,1)+Weights!$C$20*IF(BZ114="",0,1)+Weights!$C$21*IF(BO114="",0,1)+Weights!$C$22))</x:f>
      </x:c>
      <x:c r="CC114" s="10">
        <x:f>IF((Weights!$C$23*IF(BQ114="",0,1)+Weights!$C$24*IF(BN114="",0,1)+Weights!$C$25*IF(BS114="",0,1)+Weights!$C$26*IF(BY114="",0,1)+Weights!$C$27*IF(BX114="",0,1)+Weights!$C$28*IF(BT114="",0,1)+Weights!$C$29*IF(CA114="",0,1)+Weights!$C$30+Weights!$C$31*IF(BU114="",0,1))=0,"",(Weights!$C$23*IF(BQ114="",0,BQ114)+Weights!$C$24*IF(BN114="",0,BN114)+Weights!$C$25*IF(BS114="",0,BS114)+Weights!$C$26*IF(BY114="",0,BY114)+Weights!$C$27*IF(BX114="",0,BX114)+Weights!$C$28*IF(BT114="",0,BT114)+Weights!$C$29*IF(CA114="",0,CA114)+Weights!$C$30*BV114+Weights!$C$31*IF(BU114="",0,BU114))/(Weights!$C$23*IF(BQ114="",0,1)+Weights!$C$24*IF(BN114="",0,1)+Weights!$C$25*IF(BS114="",0,1)+Weights!$C$26*IF(BY114="",0,1)+Weights!$C$27*IF(BX114="",0,1)+Weights!$C$28*IF(BT114="",0,1)+Weights!$C$29*IF(CA114="",0,1)+Weights!$C$30+Weights!$C$31*IF(BU114="",0,1)))</x:f>
      </x:c>
      <x:c r="CD114" s="10">
        <x:f>IF(AND(CB114="",CC114=""),"",IF(CB114="",CC114,IF(CC114="",CB114,AVERAGE(CB114,CC114))))</x:f>
      </x:c>
      <x:c r="CE114" s="7">
        <x:f>ROUND(100*((IF(BP114&lt;&gt;"",1,0)+IF(BQ114&lt;&gt;"",1,0)+IF(BR114&lt;&gt;"",1,0)+IF(BS114&lt;&gt;"",1,0)+IF(BU114&lt;&gt;"",1,0)+IF(BT114&lt;&gt;"",1,0)+IF(BN114&lt;&gt;"",1,0)+IF(AW114&lt;&gt;"",1,0))/8),0)</x:f>
      </x:c>
      <x:c r="CF114">
        <x:f>IF(V114="","",LOG10(V114+1))</x:f>
      </x:c>
      <x:c r="CG114">
        <x:f>IF(CF114="","",IF(MAX($CF$2:$CF$252)-MIN($CF$2:$CF$252)=0,"",(CF114-MIN($CF$2:$CF$252))/(MAX($CF$2:$CF$252)-MIN($CF$2:$CF$252))*100))</x:f>
      </x:c>
    </x:row>
    <x:row r="115">
      <x:c r="A115" t="inlineStr">
        <x:is>
          <x:t xml:space="preserve">AND</x:t>
        </x:is>
      </x:c>
      <x:c r="B115" t="inlineStr">
        <x:is>
          <x:t xml:space="preserve">Andorra</x:t>
        </x:is>
      </x:c>
      <x:c r="C115" t="inlineStr">
        <x:is>
          <x:t xml:space="preserve">Europe &amp; Central Asia</x:t>
        </x:is>
      </x:c>
      <x:c r="D115" t="inlineStr">
        <x:is>
          <x:t xml:space="preserve">High income</x:t>
        </x:is>
      </x:c>
      <x:c r="F115" t="n">
        <x:v>2024</x:v>
      </x:c>
      <x:c r="G115" t="n">
        <x:v>81938</x:v>
      </x:c>
      <x:c r="N115" s="8" t="n"/>
      <x:c r="O115" s="9" t="n"/>
      <x:c r="P115" s="8" t="n"/>
      <x:c r="Q115" t="n">
        <x:v>2024</x:v>
      </x:c>
      <x:c r="R115" s="8" t="n">
        <x:v>4039842405.48117</x:v>
      </x:c>
      <x:c r="S115" t="n">
        <x:v>0</x:v>
      </x:c>
      <x:c r="T115" t="n">
        <x:v>0</x:v>
      </x:c>
      <x:c r="U115" t="inlineStr">
        <x:is>
          <x:t xml:space="preserve">No</x:t>
        </x:is>
      </x:c>
      <x:c r="W115" t="inlineStr">
        <x:is>
          <x:t xml:space="preserve">No</x:t>
        </x:is>
      </x:c>
      <x:c r="AB115" s="8" t="n"/>
      <x:c r="AR115">
        <x:f>IF(G115="","",LOG10(G115+1))</x:f>
      </x:c>
      <x:c r="AS115" s="10">
        <x:f>IF(AR115="","",IF(MAX($AR$2:$AR$252)-MIN($AR$2:$AR$252)=0,"",(AR115-MIN($AR$2:$AR$252))/(MAX($AR$2:$AR$252)-MIN($AR$2:$AR$252))*100))</x:f>
      </x:c>
      <x:c r="AT115">
        <x:f>IF(R115="","",LOG10(R115+1))</x:f>
      </x:c>
      <x:c r="AU115" s="10">
        <x:f>IF(AT115="","",IF(MAX($AT$2:$AT$252)-MIN($AT$2:$AT$252)=0,"",(AT115-MIN($AT$2:$AT$252))/(MAX($AT$2:$AT$252)-MIN($AT$2:$AT$252))*100))</x:f>
      </x:c>
      <x:c r="AV115">
        <x:f>IF(N115="","",LOG10(N115+1))</x:f>
      </x:c>
      <x:c r="AW115" s="10">
        <x:f>IF(AV115="","",IF(MAX($AV$2:$AV$252)-MIN($AV$2:$AV$252)=0,"",(AV115-MIN($AV$2:$AV$252))/(MAX($AV$2:$AV$252)-MIN($AV$2:$AV$252))*100))</x:f>
      </x:c>
      <x:c r="AX115">
        <x:f>IF(I115="","",LOG10(I115+1))</x:f>
      </x:c>
      <x:c r="AY115" s="10">
        <x:f>IF(AX115="","",IF(MAX($AX$2:$AX$252)-MIN($AX$2:$AX$252)=0,"",(AX115-MIN($AX$2:$AX$252))/(MAX($AX$2:$AX$252)-MIN($AX$2:$AX$252))*100))</x:f>
      </x:c>
      <x:c r="AZ115">
        <x:f>IF(J115="","",LOG10(J115+1))</x:f>
      </x:c>
      <x:c r="BA115" s="10">
        <x:f>IF(AZ115="","",IF(MAX($AZ$2:$AZ$252)-MIN($AZ$2:$AZ$252)=0,"",(AZ115-MIN($AZ$2:$AZ$252))/(MAX($AZ$2:$AZ$252)-MIN($AZ$2:$AZ$252))*100))</x:f>
      </x:c>
      <x:c r="BB115">
        <x:f>IF(K115="","",LOG10(K115+1))</x:f>
      </x:c>
      <x:c r="BC115" s="10">
        <x:f>IF(BB115="","",IF(MAX($BB$2:$BB$252)-MIN($BB$2:$BB$252)=0,"",(BB115-MIN($BB$2:$BB$252))/(MAX($BB$2:$BB$252)-MIN($BB$2:$BB$252))*100))</x:f>
      </x:c>
      <x:c r="BD115">
        <x:f>IF(L115="","",LOG10(L115+1))</x:f>
      </x:c>
      <x:c r="BE115" s="10">
        <x:f>IF(BD115="","",IF(MAX($BD$2:$BD$252)-MIN($BD$2:$BD$252)=0,"",(BD115-MIN($BD$2:$BD$252))/(MAX($BD$2:$BD$252)-MIN($BD$2:$BD$252))*100))</x:f>
      </x:c>
      <x:c r="BF115" s="10">
        <x:f>IF(P115="","",IF(MAX($P$2:$P$252)-MIN($P$2:$P$252)=0,"",(P115-MIN($P$2:$P$252))/(MAX($P$2:$P$252)-MIN($P$2:$P$252))*100))</x:f>
      </x:c>
      <x:c r="BG115">
        <x:f>IF(AF115="","",LOG10(AF115+1))</x:f>
      </x:c>
      <x:c r="BH115" s="10">
        <x:f>IF(BG115="","",IF(MAX($BG$2:$BG$252)-MIN($BG$2:$BG$252)=0,"",(BG115-MIN($BG$2:$BG$252))/(MAX($BG$2:$BG$252)-MIN($BG$2:$BG$252))*100))</x:f>
      </x:c>
      <x:c r="BI115">
        <x:f>IF(AC115="","",LOG10(AC115+1))</x:f>
      </x:c>
      <x:c r="BJ115" s="10">
        <x:f>IF(BI115="","",IF(MAX($BI$2:$BI$252)-MIN($BI$2:$BI$252)=0,"",(BI115-MIN($BI$2:$BI$252))/(MAX($BI$2:$BI$252)-MIN($BI$2:$BI$252))*100))</x:f>
      </x:c>
      <x:c r="BK115">
        <x:f>IF(AD115="","",(AD115*2)+(AE115*1))</x:f>
      </x:c>
      <x:c r="BL115" s="10">
        <x:f>IF(BK115="","",IF(MAX($BK$2:$BK$252)-MIN($BK$2:$BK$252)=0,"",(BK115-MIN($BK$2:$BK$252))/(MAX($BK$2:$BK$252)-MIN($BK$2:$BK$252))*100))</x:f>
      </x:c>
      <x:c r="BM115" s="10">
        <x:f>IF(AB115="","",IF(MAX($AB$2:$AB$252)-MIN($AB$2:$AB$252)=0,"",(AB115-MIN($AB$2:$AB$252))/(MAX($AB$2:$AB$252)-MIN($AB$2:$AB$252))*100))</x:f>
      </x:c>
      <x:c r="BN115" s="10">
        <x:f>IF(X115="","",X115)</x:f>
      </x:c>
      <x:c r="BO115" s="10">
        <x:f>IF(X115="","",100-X115)</x:f>
      </x:c>
      <x:c r="BP115" s="10">
        <x:f>IF((Weights!$C$2*IF(BH115="",0,1)+Weights!$C$3*IF(BJ115="",0,1)+Weights!$C$4*IF(BL115="",0,1))=0,"",(Weights!$C$2*IF(BH115="",0,BH115)+Weights!$C$3*IF(BJ115="",0,BJ115)+Weights!$C$4*IF(BL115="",0,BL115))/(Weights!$C$2*IF(BH115="",0,1)+Weights!$C$3*IF(BJ115="",0,1)+Weights!$C$4*IF(BL115="",0,1)))</x:f>
      </x:c>
      <x:c r="BQ115" s="10">
        <x:f>IF((Weights!$C$5*IF(BA115="",0,1)+Weights!$C$6*IF(AW115="",0,1)+Weights!$C$7*IF(AU115="",0,1))=0,"",(Weights!$C$5*IF(BA115="",0,BA115)+Weights!$C$6*IF(AW115="",0,AW115)+Weights!$C$7*IF(AU115="",0,AU115))/(Weights!$C$5*IF(BA115="",0,1)+Weights!$C$6*IF(AW115="",0,1)+Weights!$C$7*IF(AU115="",0,1)))</x:f>
      </x:c>
      <x:c r="BR115" s="10">
        <x:f>IF((Weights!$C$8*IF(AW115="",0,1)+Weights!$C$9*IF(BC115="",0,1)+Weights!$C$10*IF(BF115="",0,1))=0,"",(Weights!$C$8*IF(AW115="",0,AW115)+Weights!$C$9*IF(BC115="",0,BC115)+Weights!$C$10*IF(BF115="",0,BF115))/(Weights!$C$8*IF(AW115="",0,1)+Weights!$C$9*IF(BC115="",0,1)+Weights!$C$10*IF(BF115="",0,1)))</x:f>
      </x:c>
      <x:c r="BS115" s="10">
        <x:f>IF(Y115="","",Y115)</x:f>
      </x:c>
      <x:c r="BT115" s="10">
        <x:f>IF(AS115="","",AS115)</x:f>
      </x:c>
      <x:c r="BU115" s="10">
        <x:f>IF(AJ115&lt;&gt;"",(0.6*AJ115+0.4*AU115),IF((Weights!$C$11*IF(AU115="",0,1)+Weights!$C$12*IF(BM115="",0,1))=0,"",(Weights!$C$11*IF(AU115="",0,AU115)+Weights!$C$12*IF(BM115="",0,BM115))/(Weights!$C$11*IF(AU115="",0,1)+Weights!$C$12*IF(BM115="",0,1))))</x:f>
      </x:c>
      <x:c r="BV115" s="10">
        <x:f>IF(CG115="",0,CG115)</x:f>
      </x:c>
      <x:c r="BW115" s="10">
        <x:f>IF(AP115="","",AP115)</x:f>
      </x:c>
      <x:c r="BX115" s="10">
        <x:f>IF(AO115="","",AO115)</x:f>
      </x:c>
      <x:c r="BY115" s="10">
        <x:f>IF(AL115="","",AL115)</x:f>
      </x:c>
      <x:c r="BZ115" s="10">
        <x:f>IF(AM115="","",AM115)</x:f>
      </x:c>
      <x:c r="CA115" s="10">
        <x:f>IF(AK115&lt;&gt;"",AK115,AW115)</x:f>
      </x:c>
      <x:c r="CB115" s="10">
        <x:f>IF((Weights!$C$13*IF(BP115="",0,1)+Weights!$C$14*IF(BR115="",0,1)+Weights!$C$15*IF(BQ115="",0,1)+Weights!$C$16*IF(BS115="",0,1)+Weights!$C$17*IF(BU115="",0,1)+Weights!$C$18*IF(BT115="",0,1)+Weights!$C$19*IF(BW115="",0,1)+Weights!$C$20*IF(BZ115="",0,1)+Weights!$C$21*IF(BO115="",0,1)+Weights!$C$22)=0,"",(Weights!$C$13*IF(BP115="",0,BP115)+Weights!$C$14*IF(BR115="",0,BR115)+Weights!$C$15*IF(BQ115="",0,BQ115)+Weights!$C$16*IF(BS115="",0,BS115)+Weights!$C$17*IF(BU115="",0,BU115)+Weights!$C$18*IF(BT115="",0,BT115)+Weights!$C$19*IF(BW115="",0,BW115)+Weights!$C$20*IF(BZ115="",0,BZ115)+Weights!$C$21*IF(BO115="",0,BO115)+Weights!$C$22*BV115)/(Weights!$C$13*IF(BP115="",0,1)+Weights!$C$14*IF(BR115="",0,1)+Weights!$C$15*IF(BQ115="",0,1)+Weights!$C$16*IF(BS115="",0,1)+Weights!$C$17*IF(BU115="",0,1)+Weights!$C$18*IF(BT115="",0,1)+Weights!$C$19*IF(BW115="",0,1)+Weights!$C$20*IF(BZ115="",0,1)+Weights!$C$21*IF(BO115="",0,1)+Weights!$C$22))</x:f>
      </x:c>
      <x:c r="CC115" s="10">
        <x:f>IF((Weights!$C$23*IF(BQ115="",0,1)+Weights!$C$24*IF(BN115="",0,1)+Weights!$C$25*IF(BS115="",0,1)+Weights!$C$26*IF(BY115="",0,1)+Weights!$C$27*IF(BX115="",0,1)+Weights!$C$28*IF(BT115="",0,1)+Weights!$C$29*IF(CA115="",0,1)+Weights!$C$30+Weights!$C$31*IF(BU115="",0,1))=0,"",(Weights!$C$23*IF(BQ115="",0,BQ115)+Weights!$C$24*IF(BN115="",0,BN115)+Weights!$C$25*IF(BS115="",0,BS115)+Weights!$C$26*IF(BY115="",0,BY115)+Weights!$C$27*IF(BX115="",0,BX115)+Weights!$C$28*IF(BT115="",0,BT115)+Weights!$C$29*IF(CA115="",0,CA115)+Weights!$C$30*BV115+Weights!$C$31*IF(BU115="",0,BU115))/(Weights!$C$23*IF(BQ115="",0,1)+Weights!$C$24*IF(BN115="",0,1)+Weights!$C$25*IF(BS115="",0,1)+Weights!$C$26*IF(BY115="",0,1)+Weights!$C$27*IF(BX115="",0,1)+Weights!$C$28*IF(BT115="",0,1)+Weights!$C$29*IF(CA115="",0,1)+Weights!$C$30+Weights!$C$31*IF(BU115="",0,1)))</x:f>
      </x:c>
      <x:c r="CD115" s="10">
        <x:f>IF(AND(CB115="",CC115=""),"",IF(CB115="",CC115,IF(CC115="",CB115,AVERAGE(CB115,CC115))))</x:f>
      </x:c>
      <x:c r="CE115" s="7">
        <x:f>ROUND(100*((IF(BP115&lt;&gt;"",1,0)+IF(BQ115&lt;&gt;"",1,0)+IF(BR115&lt;&gt;"",1,0)+IF(BS115&lt;&gt;"",1,0)+IF(BU115&lt;&gt;"",1,0)+IF(BT115&lt;&gt;"",1,0)+IF(BN115&lt;&gt;"",1,0)+IF(AW115&lt;&gt;"",1,0))/8),0)</x:f>
      </x:c>
      <x:c r="CF115">
        <x:f>IF(V115="","",LOG10(V115+1))</x:f>
      </x:c>
      <x:c r="CG115">
        <x:f>IF(CF115="","",IF(MAX($CF$2:$CF$252)-MIN($CF$2:$CF$252)=0,"",(CF115-MIN($CF$2:$CF$252))/(MAX($CF$2:$CF$252)-MIN($CF$2:$CF$252))*100))</x:f>
      </x:c>
    </x:row>
    <x:row r="116">
      <x:c r="A116" t="inlineStr">
        <x:is>
          <x:t xml:space="preserve">LIE</x:t>
        </x:is>
      </x:c>
      <x:c r="B116" t="inlineStr">
        <x:is>
          <x:t xml:space="preserve">Liechtenstein</x:t>
        </x:is>
      </x:c>
      <x:c r="C116" t="inlineStr">
        <x:is>
          <x:t xml:space="preserve">Europe &amp; Central Asia</x:t>
        </x:is>
      </x:c>
      <x:c r="D116" t="inlineStr">
        <x:is>
          <x:t xml:space="preserve">High income</x:t>
        </x:is>
      </x:c>
      <x:c r="F116" t="n">
        <x:v>2024</x:v>
      </x:c>
      <x:c r="G116" t="n">
        <x:v>40450</x:v>
      </x:c>
      <x:c r="N116" s="8" t="n"/>
      <x:c r="O116" s="9" t="n"/>
      <x:c r="P116" s="8" t="n"/>
      <x:c r="Q116" t="n">
        <x:v>2023</x:v>
      </x:c>
      <x:c r="R116" s="8" t="n">
        <x:v>8239379403.22096</x:v>
      </x:c>
      <x:c r="S116" t="n">
        <x:v>0</x:v>
      </x:c>
      <x:c r="T116" t="n">
        <x:v>0</x:v>
      </x:c>
      <x:c r="U116" t="inlineStr">
        <x:is>
          <x:t xml:space="preserve">No</x:t>
        </x:is>
      </x:c>
      <x:c r="W116" t="inlineStr">
        <x:is>
          <x:t xml:space="preserve">No</x:t>
        </x:is>
      </x:c>
      <x:c r="AB116" s="8" t="n"/>
      <x:c r="AR116">
        <x:f>IF(G116="","",LOG10(G116+1))</x:f>
      </x:c>
      <x:c r="AS116" s="10">
        <x:f>IF(AR116="","",IF(MAX($AR$2:$AR$252)-MIN($AR$2:$AR$252)=0,"",(AR116-MIN($AR$2:$AR$252))/(MAX($AR$2:$AR$252)-MIN($AR$2:$AR$252))*100))</x:f>
      </x:c>
      <x:c r="AT116">
        <x:f>IF(R116="","",LOG10(R116+1))</x:f>
      </x:c>
      <x:c r="AU116" s="10">
        <x:f>IF(AT116="","",IF(MAX($AT$2:$AT$252)-MIN($AT$2:$AT$252)=0,"",(AT116-MIN($AT$2:$AT$252))/(MAX($AT$2:$AT$252)-MIN($AT$2:$AT$252))*100))</x:f>
      </x:c>
      <x:c r="AV116">
        <x:f>IF(N116="","",LOG10(N116+1))</x:f>
      </x:c>
      <x:c r="AW116" s="10">
        <x:f>IF(AV116="","",IF(MAX($AV$2:$AV$252)-MIN($AV$2:$AV$252)=0,"",(AV116-MIN($AV$2:$AV$252))/(MAX($AV$2:$AV$252)-MIN($AV$2:$AV$252))*100))</x:f>
      </x:c>
      <x:c r="AX116">
        <x:f>IF(I116="","",LOG10(I116+1))</x:f>
      </x:c>
      <x:c r="AY116" s="10">
        <x:f>IF(AX116="","",IF(MAX($AX$2:$AX$252)-MIN($AX$2:$AX$252)=0,"",(AX116-MIN($AX$2:$AX$252))/(MAX($AX$2:$AX$252)-MIN($AX$2:$AX$252))*100))</x:f>
      </x:c>
      <x:c r="AZ116">
        <x:f>IF(J116="","",LOG10(J116+1))</x:f>
      </x:c>
      <x:c r="BA116" s="10">
        <x:f>IF(AZ116="","",IF(MAX($AZ$2:$AZ$252)-MIN($AZ$2:$AZ$252)=0,"",(AZ116-MIN($AZ$2:$AZ$252))/(MAX($AZ$2:$AZ$252)-MIN($AZ$2:$AZ$252))*100))</x:f>
      </x:c>
      <x:c r="BB116">
        <x:f>IF(K116="","",LOG10(K116+1))</x:f>
      </x:c>
      <x:c r="BC116" s="10">
        <x:f>IF(BB116="","",IF(MAX($BB$2:$BB$252)-MIN($BB$2:$BB$252)=0,"",(BB116-MIN($BB$2:$BB$252))/(MAX($BB$2:$BB$252)-MIN($BB$2:$BB$252))*100))</x:f>
      </x:c>
      <x:c r="BD116">
        <x:f>IF(L116="","",LOG10(L116+1))</x:f>
      </x:c>
      <x:c r="BE116" s="10">
        <x:f>IF(BD116="","",IF(MAX($BD$2:$BD$252)-MIN($BD$2:$BD$252)=0,"",(BD116-MIN($BD$2:$BD$252))/(MAX($BD$2:$BD$252)-MIN($BD$2:$BD$252))*100))</x:f>
      </x:c>
      <x:c r="BF116" s="10">
        <x:f>IF(P116="","",IF(MAX($P$2:$P$252)-MIN($P$2:$P$252)=0,"",(P116-MIN($P$2:$P$252))/(MAX($P$2:$P$252)-MIN($P$2:$P$252))*100))</x:f>
      </x:c>
      <x:c r="BG116">
        <x:f>IF(AF116="","",LOG10(AF116+1))</x:f>
      </x:c>
      <x:c r="BH116" s="10">
        <x:f>IF(BG116="","",IF(MAX($BG$2:$BG$252)-MIN($BG$2:$BG$252)=0,"",(BG116-MIN($BG$2:$BG$252))/(MAX($BG$2:$BG$252)-MIN($BG$2:$BG$252))*100))</x:f>
      </x:c>
      <x:c r="BI116">
        <x:f>IF(AC116="","",LOG10(AC116+1))</x:f>
      </x:c>
      <x:c r="BJ116" s="10">
        <x:f>IF(BI116="","",IF(MAX($BI$2:$BI$252)-MIN($BI$2:$BI$252)=0,"",(BI116-MIN($BI$2:$BI$252))/(MAX($BI$2:$BI$252)-MIN($BI$2:$BI$252))*100))</x:f>
      </x:c>
      <x:c r="BK116">
        <x:f>IF(AD116="","",(AD116*2)+(AE116*1))</x:f>
      </x:c>
      <x:c r="BL116" s="10">
        <x:f>IF(BK116="","",IF(MAX($BK$2:$BK$252)-MIN($BK$2:$BK$252)=0,"",(BK116-MIN($BK$2:$BK$252))/(MAX($BK$2:$BK$252)-MIN($BK$2:$BK$252))*100))</x:f>
      </x:c>
      <x:c r="BM116" s="10">
        <x:f>IF(AB116="","",IF(MAX($AB$2:$AB$252)-MIN($AB$2:$AB$252)=0,"",(AB116-MIN($AB$2:$AB$252))/(MAX($AB$2:$AB$252)-MIN($AB$2:$AB$252))*100))</x:f>
      </x:c>
      <x:c r="BN116" s="10">
        <x:f>IF(X116="","",X116)</x:f>
      </x:c>
      <x:c r="BO116" s="10">
        <x:f>IF(X116="","",100-X116)</x:f>
      </x:c>
      <x:c r="BP116" s="10">
        <x:f>IF((Weights!$C$2*IF(BH116="",0,1)+Weights!$C$3*IF(BJ116="",0,1)+Weights!$C$4*IF(BL116="",0,1))=0,"",(Weights!$C$2*IF(BH116="",0,BH116)+Weights!$C$3*IF(BJ116="",0,BJ116)+Weights!$C$4*IF(BL116="",0,BL116))/(Weights!$C$2*IF(BH116="",0,1)+Weights!$C$3*IF(BJ116="",0,1)+Weights!$C$4*IF(BL116="",0,1)))</x:f>
      </x:c>
      <x:c r="BQ116" s="10">
        <x:f>IF((Weights!$C$5*IF(BA116="",0,1)+Weights!$C$6*IF(AW116="",0,1)+Weights!$C$7*IF(AU116="",0,1))=0,"",(Weights!$C$5*IF(BA116="",0,BA116)+Weights!$C$6*IF(AW116="",0,AW116)+Weights!$C$7*IF(AU116="",0,AU116))/(Weights!$C$5*IF(BA116="",0,1)+Weights!$C$6*IF(AW116="",0,1)+Weights!$C$7*IF(AU116="",0,1)))</x:f>
      </x:c>
      <x:c r="BR116" s="10">
        <x:f>IF((Weights!$C$8*IF(AW116="",0,1)+Weights!$C$9*IF(BC116="",0,1)+Weights!$C$10*IF(BF116="",0,1))=0,"",(Weights!$C$8*IF(AW116="",0,AW116)+Weights!$C$9*IF(BC116="",0,BC116)+Weights!$C$10*IF(BF116="",0,BF116))/(Weights!$C$8*IF(AW116="",0,1)+Weights!$C$9*IF(BC116="",0,1)+Weights!$C$10*IF(BF116="",0,1)))</x:f>
      </x:c>
      <x:c r="BS116" s="10">
        <x:f>IF(Y116="","",Y116)</x:f>
      </x:c>
      <x:c r="BT116" s="10">
        <x:f>IF(AS116="","",AS116)</x:f>
      </x:c>
      <x:c r="BU116" s="10">
        <x:f>IF(AJ116&lt;&gt;"",(0.6*AJ116+0.4*AU116),IF((Weights!$C$11*IF(AU116="",0,1)+Weights!$C$12*IF(BM116="",0,1))=0,"",(Weights!$C$11*IF(AU116="",0,AU116)+Weights!$C$12*IF(BM116="",0,BM116))/(Weights!$C$11*IF(AU116="",0,1)+Weights!$C$12*IF(BM116="",0,1))))</x:f>
      </x:c>
      <x:c r="BV116" s="10">
        <x:f>IF(CG116="",0,CG116)</x:f>
      </x:c>
      <x:c r="BW116" s="10">
        <x:f>IF(AP116="","",AP116)</x:f>
      </x:c>
      <x:c r="BX116" s="10">
        <x:f>IF(AO116="","",AO116)</x:f>
      </x:c>
      <x:c r="BY116" s="10">
        <x:f>IF(AL116="","",AL116)</x:f>
      </x:c>
      <x:c r="BZ116" s="10">
        <x:f>IF(AM116="","",AM116)</x:f>
      </x:c>
      <x:c r="CA116" s="10">
        <x:f>IF(AK116&lt;&gt;"",AK116,AW116)</x:f>
      </x:c>
      <x:c r="CB116" s="10">
        <x:f>IF((Weights!$C$13*IF(BP116="",0,1)+Weights!$C$14*IF(BR116="",0,1)+Weights!$C$15*IF(BQ116="",0,1)+Weights!$C$16*IF(BS116="",0,1)+Weights!$C$17*IF(BU116="",0,1)+Weights!$C$18*IF(BT116="",0,1)+Weights!$C$19*IF(BW116="",0,1)+Weights!$C$20*IF(BZ116="",0,1)+Weights!$C$21*IF(BO116="",0,1)+Weights!$C$22)=0,"",(Weights!$C$13*IF(BP116="",0,BP116)+Weights!$C$14*IF(BR116="",0,BR116)+Weights!$C$15*IF(BQ116="",0,BQ116)+Weights!$C$16*IF(BS116="",0,BS116)+Weights!$C$17*IF(BU116="",0,BU116)+Weights!$C$18*IF(BT116="",0,BT116)+Weights!$C$19*IF(BW116="",0,BW116)+Weights!$C$20*IF(BZ116="",0,BZ116)+Weights!$C$21*IF(BO116="",0,BO116)+Weights!$C$22*BV116)/(Weights!$C$13*IF(BP116="",0,1)+Weights!$C$14*IF(BR116="",0,1)+Weights!$C$15*IF(BQ116="",0,1)+Weights!$C$16*IF(BS116="",0,1)+Weights!$C$17*IF(BU116="",0,1)+Weights!$C$18*IF(BT116="",0,1)+Weights!$C$19*IF(BW116="",0,1)+Weights!$C$20*IF(BZ116="",0,1)+Weights!$C$21*IF(BO116="",0,1)+Weights!$C$22))</x:f>
      </x:c>
      <x:c r="CC116" s="10">
        <x:f>IF((Weights!$C$23*IF(BQ116="",0,1)+Weights!$C$24*IF(BN116="",0,1)+Weights!$C$25*IF(BS116="",0,1)+Weights!$C$26*IF(BY116="",0,1)+Weights!$C$27*IF(BX116="",0,1)+Weights!$C$28*IF(BT116="",0,1)+Weights!$C$29*IF(CA116="",0,1)+Weights!$C$30+Weights!$C$31*IF(BU116="",0,1))=0,"",(Weights!$C$23*IF(BQ116="",0,BQ116)+Weights!$C$24*IF(BN116="",0,BN116)+Weights!$C$25*IF(BS116="",0,BS116)+Weights!$C$26*IF(BY116="",0,BY116)+Weights!$C$27*IF(BX116="",0,BX116)+Weights!$C$28*IF(BT116="",0,BT116)+Weights!$C$29*IF(CA116="",0,CA116)+Weights!$C$30*BV116+Weights!$C$31*IF(BU116="",0,BU116))/(Weights!$C$23*IF(BQ116="",0,1)+Weights!$C$24*IF(BN116="",0,1)+Weights!$C$25*IF(BS116="",0,1)+Weights!$C$26*IF(BY116="",0,1)+Weights!$C$27*IF(BX116="",0,1)+Weights!$C$28*IF(BT116="",0,1)+Weights!$C$29*IF(CA116="",0,1)+Weights!$C$30+Weights!$C$31*IF(BU116="",0,1)))</x:f>
      </x:c>
      <x:c r="CD116" s="10">
        <x:f>IF(AND(CB116="",CC116=""),"",IF(CB116="",CC116,IF(CC116="",CB116,AVERAGE(CB116,CC116))))</x:f>
      </x:c>
      <x:c r="CE116" s="7">
        <x:f>ROUND(100*((IF(BP116&lt;&gt;"",1,0)+IF(BQ116&lt;&gt;"",1,0)+IF(BR116&lt;&gt;"",1,0)+IF(BS116&lt;&gt;"",1,0)+IF(BU116&lt;&gt;"",1,0)+IF(BT116&lt;&gt;"",1,0)+IF(BN116&lt;&gt;"",1,0)+IF(AW116&lt;&gt;"",1,0))/8),0)</x:f>
      </x:c>
      <x:c r="CF116">
        <x:f>IF(V116="","",LOG10(V116+1))</x:f>
      </x:c>
      <x:c r="CG116">
        <x:f>IF(CF116="","",IF(MAX($CF$2:$CF$252)-MIN($CF$2:$CF$252)=0,"",(CF116-MIN($CF$2:$CF$252))/(MAX($CF$2:$CF$252)-MIN($CF$2:$CF$252))*100))</x:f>
      </x:c>
    </x:row>
    <x:row r="117">
      <x:c r="A117" t="inlineStr">
        <x:is>
          <x:t xml:space="preserve">MCO</x:t>
        </x:is>
      </x:c>
      <x:c r="B117" t="inlineStr">
        <x:is>
          <x:t xml:space="preserve">Monaco</x:t>
        </x:is>
      </x:c>
      <x:c r="C117" t="inlineStr">
        <x:is>
          <x:t xml:space="preserve">Europe &amp; Central Asia</x:t>
        </x:is>
      </x:c>
      <x:c r="D117" t="inlineStr">
        <x:is>
          <x:t xml:space="preserve">High income</x:t>
        </x:is>
      </x:c>
      <x:c r="F117" t="n">
        <x:v>2024</x:v>
      </x:c>
      <x:c r="G117" t="n">
        <x:v>38631</x:v>
      </x:c>
      <x:c r="N117" s="8" t="n"/>
      <x:c r="O117" s="9" t="n"/>
      <x:c r="P117" s="8" t="n"/>
      <x:c r="Q117" t="n">
        <x:v>2024</x:v>
      </x:c>
      <x:c r="R117" s="8" t="n">
        <x:v>11125783372.4794</x:v>
      </x:c>
      <x:c r="S117" t="n">
        <x:v>2</x:v>
      </x:c>
      <x:c r="T117" t="n">
        <x:v>0</x:v>
      </x:c>
      <x:c r="U117" t="inlineStr">
        <x:is>
          <x:t xml:space="preserve">No</x:t>
        </x:is>
      </x:c>
      <x:c r="W117" t="inlineStr">
        <x:is>
          <x:t xml:space="preserve">No</x:t>
        </x:is>
      </x:c>
      <x:c r="AB117" s="8" t="n"/>
      <x:c r="AR117">
        <x:f>IF(G117="","",LOG10(G117+1))</x:f>
      </x:c>
      <x:c r="AS117" s="10">
        <x:f>IF(AR117="","",IF(MAX($AR$2:$AR$252)-MIN($AR$2:$AR$252)=0,"",(AR117-MIN($AR$2:$AR$252))/(MAX($AR$2:$AR$252)-MIN($AR$2:$AR$252))*100))</x:f>
      </x:c>
      <x:c r="AT117">
        <x:f>IF(R117="","",LOG10(R117+1))</x:f>
      </x:c>
      <x:c r="AU117" s="10">
        <x:f>IF(AT117="","",IF(MAX($AT$2:$AT$252)-MIN($AT$2:$AT$252)=0,"",(AT117-MIN($AT$2:$AT$252))/(MAX($AT$2:$AT$252)-MIN($AT$2:$AT$252))*100))</x:f>
      </x:c>
      <x:c r="AV117">
        <x:f>IF(N117="","",LOG10(N117+1))</x:f>
      </x:c>
      <x:c r="AW117" s="10">
        <x:f>IF(AV117="","",IF(MAX($AV$2:$AV$252)-MIN($AV$2:$AV$252)=0,"",(AV117-MIN($AV$2:$AV$252))/(MAX($AV$2:$AV$252)-MIN($AV$2:$AV$252))*100))</x:f>
      </x:c>
      <x:c r="AX117">
        <x:f>IF(I117="","",LOG10(I117+1))</x:f>
      </x:c>
      <x:c r="AY117" s="10">
        <x:f>IF(AX117="","",IF(MAX($AX$2:$AX$252)-MIN($AX$2:$AX$252)=0,"",(AX117-MIN($AX$2:$AX$252))/(MAX($AX$2:$AX$252)-MIN($AX$2:$AX$252))*100))</x:f>
      </x:c>
      <x:c r="AZ117">
        <x:f>IF(J117="","",LOG10(J117+1))</x:f>
      </x:c>
      <x:c r="BA117" s="10">
        <x:f>IF(AZ117="","",IF(MAX($AZ$2:$AZ$252)-MIN($AZ$2:$AZ$252)=0,"",(AZ117-MIN($AZ$2:$AZ$252))/(MAX($AZ$2:$AZ$252)-MIN($AZ$2:$AZ$252))*100))</x:f>
      </x:c>
      <x:c r="BB117">
        <x:f>IF(K117="","",LOG10(K117+1))</x:f>
      </x:c>
      <x:c r="BC117" s="10">
        <x:f>IF(BB117="","",IF(MAX($BB$2:$BB$252)-MIN($BB$2:$BB$252)=0,"",(BB117-MIN($BB$2:$BB$252))/(MAX($BB$2:$BB$252)-MIN($BB$2:$BB$252))*100))</x:f>
      </x:c>
      <x:c r="BD117">
        <x:f>IF(L117="","",LOG10(L117+1))</x:f>
      </x:c>
      <x:c r="BE117" s="10">
        <x:f>IF(BD117="","",IF(MAX($BD$2:$BD$252)-MIN($BD$2:$BD$252)=0,"",(BD117-MIN($BD$2:$BD$252))/(MAX($BD$2:$BD$252)-MIN($BD$2:$BD$252))*100))</x:f>
      </x:c>
      <x:c r="BF117" s="10">
        <x:f>IF(P117="","",IF(MAX($P$2:$P$252)-MIN($P$2:$P$252)=0,"",(P117-MIN($P$2:$P$252))/(MAX($P$2:$P$252)-MIN($P$2:$P$252))*100))</x:f>
      </x:c>
      <x:c r="BG117">
        <x:f>IF(AF117="","",LOG10(AF117+1))</x:f>
      </x:c>
      <x:c r="BH117" s="10">
        <x:f>IF(BG117="","",IF(MAX($BG$2:$BG$252)-MIN($BG$2:$BG$252)=0,"",(BG117-MIN($BG$2:$BG$252))/(MAX($BG$2:$BG$252)-MIN($BG$2:$BG$252))*100))</x:f>
      </x:c>
      <x:c r="BI117">
        <x:f>IF(AC117="","",LOG10(AC117+1))</x:f>
      </x:c>
      <x:c r="BJ117" s="10">
        <x:f>IF(BI117="","",IF(MAX($BI$2:$BI$252)-MIN($BI$2:$BI$252)=0,"",(BI117-MIN($BI$2:$BI$252))/(MAX($BI$2:$BI$252)-MIN($BI$2:$BI$252))*100))</x:f>
      </x:c>
      <x:c r="BK117">
        <x:f>IF(AD117="","",(AD117*2)+(AE117*1))</x:f>
      </x:c>
      <x:c r="BL117" s="10">
        <x:f>IF(BK117="","",IF(MAX($BK$2:$BK$252)-MIN($BK$2:$BK$252)=0,"",(BK117-MIN($BK$2:$BK$252))/(MAX($BK$2:$BK$252)-MIN($BK$2:$BK$252))*100))</x:f>
      </x:c>
      <x:c r="BM117" s="10">
        <x:f>IF(AB117="","",IF(MAX($AB$2:$AB$252)-MIN($AB$2:$AB$252)=0,"",(AB117-MIN($AB$2:$AB$252))/(MAX($AB$2:$AB$252)-MIN($AB$2:$AB$252))*100))</x:f>
      </x:c>
      <x:c r="BN117" s="10">
        <x:f>IF(X117="","",X117)</x:f>
      </x:c>
      <x:c r="BO117" s="10">
        <x:f>IF(X117="","",100-X117)</x:f>
      </x:c>
      <x:c r="BP117" s="10">
        <x:f>IF((Weights!$C$2*IF(BH117="",0,1)+Weights!$C$3*IF(BJ117="",0,1)+Weights!$C$4*IF(BL117="",0,1))=0,"",(Weights!$C$2*IF(BH117="",0,BH117)+Weights!$C$3*IF(BJ117="",0,BJ117)+Weights!$C$4*IF(BL117="",0,BL117))/(Weights!$C$2*IF(BH117="",0,1)+Weights!$C$3*IF(BJ117="",0,1)+Weights!$C$4*IF(BL117="",0,1)))</x:f>
      </x:c>
      <x:c r="BQ117" s="10">
        <x:f>IF((Weights!$C$5*IF(BA117="",0,1)+Weights!$C$6*IF(AW117="",0,1)+Weights!$C$7*IF(AU117="",0,1))=0,"",(Weights!$C$5*IF(BA117="",0,BA117)+Weights!$C$6*IF(AW117="",0,AW117)+Weights!$C$7*IF(AU117="",0,AU117))/(Weights!$C$5*IF(BA117="",0,1)+Weights!$C$6*IF(AW117="",0,1)+Weights!$C$7*IF(AU117="",0,1)))</x:f>
      </x:c>
      <x:c r="BR117" s="10">
        <x:f>IF((Weights!$C$8*IF(AW117="",0,1)+Weights!$C$9*IF(BC117="",0,1)+Weights!$C$10*IF(BF117="",0,1))=0,"",(Weights!$C$8*IF(AW117="",0,AW117)+Weights!$C$9*IF(BC117="",0,BC117)+Weights!$C$10*IF(BF117="",0,BF117))/(Weights!$C$8*IF(AW117="",0,1)+Weights!$C$9*IF(BC117="",0,1)+Weights!$C$10*IF(BF117="",0,1)))</x:f>
      </x:c>
      <x:c r="BS117" s="10">
        <x:f>IF(Y117="","",Y117)</x:f>
      </x:c>
      <x:c r="BT117" s="10">
        <x:f>IF(AS117="","",AS117)</x:f>
      </x:c>
      <x:c r="BU117" s="10">
        <x:f>IF(AJ117&lt;&gt;"",(0.6*AJ117+0.4*AU117),IF((Weights!$C$11*IF(AU117="",0,1)+Weights!$C$12*IF(BM117="",0,1))=0,"",(Weights!$C$11*IF(AU117="",0,AU117)+Weights!$C$12*IF(BM117="",0,BM117))/(Weights!$C$11*IF(AU117="",0,1)+Weights!$C$12*IF(BM117="",0,1))))</x:f>
      </x:c>
      <x:c r="BV117" s="10">
        <x:f>IF(CG117="",0,CG117)</x:f>
      </x:c>
      <x:c r="BW117" s="10">
        <x:f>IF(AP117="","",AP117)</x:f>
      </x:c>
      <x:c r="BX117" s="10">
        <x:f>IF(AO117="","",AO117)</x:f>
      </x:c>
      <x:c r="BY117" s="10">
        <x:f>IF(AL117="","",AL117)</x:f>
      </x:c>
      <x:c r="BZ117" s="10">
        <x:f>IF(AM117="","",AM117)</x:f>
      </x:c>
      <x:c r="CA117" s="10">
        <x:f>IF(AK117&lt;&gt;"",AK117,AW117)</x:f>
      </x:c>
      <x:c r="CB117" s="10">
        <x:f>IF((Weights!$C$13*IF(BP117="",0,1)+Weights!$C$14*IF(BR117="",0,1)+Weights!$C$15*IF(BQ117="",0,1)+Weights!$C$16*IF(BS117="",0,1)+Weights!$C$17*IF(BU117="",0,1)+Weights!$C$18*IF(BT117="",0,1)+Weights!$C$19*IF(BW117="",0,1)+Weights!$C$20*IF(BZ117="",0,1)+Weights!$C$21*IF(BO117="",0,1)+Weights!$C$22)=0,"",(Weights!$C$13*IF(BP117="",0,BP117)+Weights!$C$14*IF(BR117="",0,BR117)+Weights!$C$15*IF(BQ117="",0,BQ117)+Weights!$C$16*IF(BS117="",0,BS117)+Weights!$C$17*IF(BU117="",0,BU117)+Weights!$C$18*IF(BT117="",0,BT117)+Weights!$C$19*IF(BW117="",0,BW117)+Weights!$C$20*IF(BZ117="",0,BZ117)+Weights!$C$21*IF(BO117="",0,BO117)+Weights!$C$22*BV117)/(Weights!$C$13*IF(BP117="",0,1)+Weights!$C$14*IF(BR117="",0,1)+Weights!$C$15*IF(BQ117="",0,1)+Weights!$C$16*IF(BS117="",0,1)+Weights!$C$17*IF(BU117="",0,1)+Weights!$C$18*IF(BT117="",0,1)+Weights!$C$19*IF(BW117="",0,1)+Weights!$C$20*IF(BZ117="",0,1)+Weights!$C$21*IF(BO117="",0,1)+Weights!$C$22))</x:f>
      </x:c>
      <x:c r="CC117" s="10">
        <x:f>IF((Weights!$C$23*IF(BQ117="",0,1)+Weights!$C$24*IF(BN117="",0,1)+Weights!$C$25*IF(BS117="",0,1)+Weights!$C$26*IF(BY117="",0,1)+Weights!$C$27*IF(BX117="",0,1)+Weights!$C$28*IF(BT117="",0,1)+Weights!$C$29*IF(CA117="",0,1)+Weights!$C$30+Weights!$C$31*IF(BU117="",0,1))=0,"",(Weights!$C$23*IF(BQ117="",0,BQ117)+Weights!$C$24*IF(BN117="",0,BN117)+Weights!$C$25*IF(BS117="",0,BS117)+Weights!$C$26*IF(BY117="",0,BY117)+Weights!$C$27*IF(BX117="",0,BX117)+Weights!$C$28*IF(BT117="",0,BT117)+Weights!$C$29*IF(CA117="",0,CA117)+Weights!$C$30*BV117+Weights!$C$31*IF(BU117="",0,BU117))/(Weights!$C$23*IF(BQ117="",0,1)+Weights!$C$24*IF(BN117="",0,1)+Weights!$C$25*IF(BS117="",0,1)+Weights!$C$26*IF(BY117="",0,1)+Weights!$C$27*IF(BX117="",0,1)+Weights!$C$28*IF(BT117="",0,1)+Weights!$C$29*IF(CA117="",0,1)+Weights!$C$30+Weights!$C$31*IF(BU117="",0,1)))</x:f>
      </x:c>
      <x:c r="CD117" s="10">
        <x:f>IF(AND(CB117="",CC117=""),"",IF(CB117="",CC117,IF(CC117="",CB117,AVERAGE(CB117,CC117))))</x:f>
      </x:c>
      <x:c r="CE117" s="7">
        <x:f>ROUND(100*((IF(BP117&lt;&gt;"",1,0)+IF(BQ117&lt;&gt;"",1,0)+IF(BR117&lt;&gt;"",1,0)+IF(BS117&lt;&gt;"",1,0)+IF(BU117&lt;&gt;"",1,0)+IF(BT117&lt;&gt;"",1,0)+IF(BN117&lt;&gt;"",1,0)+IF(AW117&lt;&gt;"",1,0))/8),0)</x:f>
      </x:c>
      <x:c r="CF117">
        <x:f>IF(V117="","",LOG10(V117+1))</x:f>
      </x:c>
      <x:c r="CG117">
        <x:f>IF(CF117="","",IF(MAX($CF$2:$CF$252)-MIN($CF$2:$CF$252)=0,"",(CF117-MIN($CF$2:$CF$252))/(MAX($CF$2:$CF$252)-MIN($CF$2:$CF$252))*100))</x:f>
      </x:c>
    </x:row>
    <x:row r="118">
      <x:c r="A118" t="inlineStr">
        <x:is>
          <x:t xml:space="preserve">PRI</x:t>
        </x:is>
      </x:c>
      <x:c r="B118" t="inlineStr">
        <x:is>
          <x:t xml:space="preserve">Puerto Rico (US)</x:t>
        </x:is>
      </x:c>
      <x:c r="C118" t="inlineStr">
        <x:is>
          <x:t xml:space="preserve">Latin America &amp; Caribbean</x:t>
        </x:is>
      </x:c>
      <x:c r="D118" t="inlineStr">
        <x:is>
          <x:t xml:space="preserve">High income</x:t>
        </x:is>
      </x:c>
      <x:c r="E118" t="inlineStr">
        <x:is>
          <x:t xml:space="preserve">North America</x:t>
        </x:is>
      </x:c>
      <x:c r="F118" t="n">
        <x:v>2024</x:v>
      </x:c>
      <x:c r="G118" t="n">
        <x:v>3203295</x:v>
      </x:c>
      <x:c r="N118" s="8" t="n"/>
      <x:c r="O118" s="9" t="n"/>
      <x:c r="P118" s="8" t="n"/>
      <x:c r="Q118" t="n">
        <x:v>2024</x:v>
      </x:c>
      <x:c r="R118" s="8" t="n">
        <x:v>126029527033.705</x:v>
      </x:c>
      <x:c r="S118" t="n">
        <x:v>0</x:v>
      </x:c>
      <x:c r="T118" t="n">
        <x:v>0</x:v>
      </x:c>
      <x:c r="U118" t="inlineStr">
        <x:is>
          <x:t xml:space="preserve">No</x:t>
        </x:is>
      </x:c>
      <x:c r="W118" t="inlineStr">
        <x:is>
          <x:t xml:space="preserve">No</x:t>
        </x:is>
      </x:c>
      <x:c r="X118" t="n">
        <x:v>7.75996950187762</x:v>
      </x:c>
      <x:c r="Y118" t="n">
        <x:v>84.44862054566133</x:v>
      </x:c>
      <x:c r="Z118" t="n">
        <x:v>9224.663167074752</x:v>
      </x:c>
      <x:c r="AA118" t="n">
        <x:v>363.354947415701</x:v>
      </x:c>
      <x:c r="AB118" s="8" t="n">
        <x:v>39083.16270499641</x:v>
      </x:c>
      <x:c r="AR118">
        <x:f>IF(G118="","",LOG10(G118+1))</x:f>
      </x:c>
      <x:c r="AS118" s="10">
        <x:f>IF(AR118="","",IF(MAX($AR$2:$AR$252)-MIN($AR$2:$AR$252)=0,"",(AR118-MIN($AR$2:$AR$252))/(MAX($AR$2:$AR$252)-MIN($AR$2:$AR$252))*100))</x:f>
      </x:c>
      <x:c r="AT118">
        <x:f>IF(R118="","",LOG10(R118+1))</x:f>
      </x:c>
      <x:c r="AU118" s="10">
        <x:f>IF(AT118="","",IF(MAX($AT$2:$AT$252)-MIN($AT$2:$AT$252)=0,"",(AT118-MIN($AT$2:$AT$252))/(MAX($AT$2:$AT$252)-MIN($AT$2:$AT$252))*100))</x:f>
      </x:c>
      <x:c r="AV118">
        <x:f>IF(N118="","",LOG10(N118+1))</x:f>
      </x:c>
      <x:c r="AW118" s="10">
        <x:f>IF(AV118="","",IF(MAX($AV$2:$AV$252)-MIN($AV$2:$AV$252)=0,"",(AV118-MIN($AV$2:$AV$252))/(MAX($AV$2:$AV$252)-MIN($AV$2:$AV$252))*100))</x:f>
      </x:c>
      <x:c r="AX118">
        <x:f>IF(I118="","",LOG10(I118+1))</x:f>
      </x:c>
      <x:c r="AY118" s="10">
        <x:f>IF(AX118="","",IF(MAX($AX$2:$AX$252)-MIN($AX$2:$AX$252)=0,"",(AX118-MIN($AX$2:$AX$252))/(MAX($AX$2:$AX$252)-MIN($AX$2:$AX$252))*100))</x:f>
      </x:c>
      <x:c r="AZ118">
        <x:f>IF(J118="","",LOG10(J118+1))</x:f>
      </x:c>
      <x:c r="BA118" s="10">
        <x:f>IF(AZ118="","",IF(MAX($AZ$2:$AZ$252)-MIN($AZ$2:$AZ$252)=0,"",(AZ118-MIN($AZ$2:$AZ$252))/(MAX($AZ$2:$AZ$252)-MIN($AZ$2:$AZ$252))*100))</x:f>
      </x:c>
      <x:c r="BB118">
        <x:f>IF(K118="","",LOG10(K118+1))</x:f>
      </x:c>
      <x:c r="BC118" s="10">
        <x:f>IF(BB118="","",IF(MAX($BB$2:$BB$252)-MIN($BB$2:$BB$252)=0,"",(BB118-MIN($BB$2:$BB$252))/(MAX($BB$2:$BB$252)-MIN($BB$2:$BB$252))*100))</x:f>
      </x:c>
      <x:c r="BD118">
        <x:f>IF(L118="","",LOG10(L118+1))</x:f>
      </x:c>
      <x:c r="BE118" s="10">
        <x:f>IF(BD118="","",IF(MAX($BD$2:$BD$252)-MIN($BD$2:$BD$252)=0,"",(BD118-MIN($BD$2:$BD$252))/(MAX($BD$2:$BD$252)-MIN($BD$2:$BD$252))*100))</x:f>
      </x:c>
      <x:c r="BF118" s="10">
        <x:f>IF(P118="","",IF(MAX($P$2:$P$252)-MIN($P$2:$P$252)=0,"",(P118-MIN($P$2:$P$252))/(MAX($P$2:$P$252)-MIN($P$2:$P$252))*100))</x:f>
      </x:c>
      <x:c r="BG118">
        <x:f>IF(AF118="","",LOG10(AF118+1))</x:f>
      </x:c>
      <x:c r="BH118" s="10">
        <x:f>IF(BG118="","",IF(MAX($BG$2:$BG$252)-MIN($BG$2:$BG$252)=0,"",(BG118-MIN($BG$2:$BG$252))/(MAX($BG$2:$BG$252)-MIN($BG$2:$BG$252))*100))</x:f>
      </x:c>
      <x:c r="BI118">
        <x:f>IF(AC118="","",LOG10(AC118+1))</x:f>
      </x:c>
      <x:c r="BJ118" s="10">
        <x:f>IF(BI118="","",IF(MAX($BI$2:$BI$252)-MIN($BI$2:$BI$252)=0,"",(BI118-MIN($BI$2:$BI$252))/(MAX($BI$2:$BI$252)-MIN($BI$2:$BI$252))*100))</x:f>
      </x:c>
      <x:c r="BK118">
        <x:f>IF(AD118="","",(AD118*2)+(AE118*1))</x:f>
      </x:c>
      <x:c r="BL118" s="10">
        <x:f>IF(BK118="","",IF(MAX($BK$2:$BK$252)-MIN($BK$2:$BK$252)=0,"",(BK118-MIN($BK$2:$BK$252))/(MAX($BK$2:$BK$252)-MIN($BK$2:$BK$252))*100))</x:f>
      </x:c>
      <x:c r="BM118" s="10">
        <x:f>IF(AB118="","",IF(MAX($AB$2:$AB$252)-MIN($AB$2:$AB$252)=0,"",(AB118-MIN($AB$2:$AB$252))/(MAX($AB$2:$AB$252)-MIN($AB$2:$AB$252))*100))</x:f>
      </x:c>
      <x:c r="BN118" s="10">
        <x:f>IF(X118="","",X118)</x:f>
      </x:c>
      <x:c r="BO118" s="10">
        <x:f>IF(X118="","",100-X118)</x:f>
      </x:c>
      <x:c r="BP118" s="10">
        <x:f>IF((Weights!$C$2*IF(BH118="",0,1)+Weights!$C$3*IF(BJ118="",0,1)+Weights!$C$4*IF(BL118="",0,1))=0,"",(Weights!$C$2*IF(BH118="",0,BH118)+Weights!$C$3*IF(BJ118="",0,BJ118)+Weights!$C$4*IF(BL118="",0,BL118))/(Weights!$C$2*IF(BH118="",0,1)+Weights!$C$3*IF(BJ118="",0,1)+Weights!$C$4*IF(BL118="",0,1)))</x:f>
      </x:c>
      <x:c r="BQ118" s="10">
        <x:f>IF((Weights!$C$5*IF(BA118="",0,1)+Weights!$C$6*IF(AW118="",0,1)+Weights!$C$7*IF(AU118="",0,1))=0,"",(Weights!$C$5*IF(BA118="",0,BA118)+Weights!$C$6*IF(AW118="",0,AW118)+Weights!$C$7*IF(AU118="",0,AU118))/(Weights!$C$5*IF(BA118="",0,1)+Weights!$C$6*IF(AW118="",0,1)+Weights!$C$7*IF(AU118="",0,1)))</x:f>
      </x:c>
      <x:c r="BR118" s="10">
        <x:f>IF((Weights!$C$8*IF(AW118="",0,1)+Weights!$C$9*IF(BC118="",0,1)+Weights!$C$10*IF(BF118="",0,1))=0,"",(Weights!$C$8*IF(AW118="",0,AW118)+Weights!$C$9*IF(BC118="",0,BC118)+Weights!$C$10*IF(BF118="",0,BF118))/(Weights!$C$8*IF(AW118="",0,1)+Weights!$C$9*IF(BC118="",0,1)+Weights!$C$10*IF(BF118="",0,1)))</x:f>
      </x:c>
      <x:c r="BS118" s="10">
        <x:f>IF(Y118="","",Y118)</x:f>
      </x:c>
      <x:c r="BT118" s="10">
        <x:f>IF(AS118="","",AS118)</x:f>
      </x:c>
      <x:c r="BU118" s="10">
        <x:f>IF(AJ118&lt;&gt;"",(0.6*AJ118+0.4*AU118),IF((Weights!$C$11*IF(AU118="",0,1)+Weights!$C$12*IF(BM118="",0,1))=0,"",(Weights!$C$11*IF(AU118="",0,AU118)+Weights!$C$12*IF(BM118="",0,BM118))/(Weights!$C$11*IF(AU118="",0,1)+Weights!$C$12*IF(BM118="",0,1))))</x:f>
      </x:c>
      <x:c r="BV118" s="10">
        <x:f>IF(CG118="",0,CG118)</x:f>
      </x:c>
      <x:c r="BW118" s="10">
        <x:f>IF(AP118="","",AP118)</x:f>
      </x:c>
      <x:c r="BX118" s="10">
        <x:f>IF(AO118="","",AO118)</x:f>
      </x:c>
      <x:c r="BY118" s="10">
        <x:f>IF(AL118="","",AL118)</x:f>
      </x:c>
      <x:c r="BZ118" s="10">
        <x:f>IF(AM118="","",AM118)</x:f>
      </x:c>
      <x:c r="CA118" s="10">
        <x:f>IF(AK118&lt;&gt;"",AK118,AW118)</x:f>
      </x:c>
      <x:c r="CB118" s="10">
        <x:f>IF((Weights!$C$13*IF(BP118="",0,1)+Weights!$C$14*IF(BR118="",0,1)+Weights!$C$15*IF(BQ118="",0,1)+Weights!$C$16*IF(BS118="",0,1)+Weights!$C$17*IF(BU118="",0,1)+Weights!$C$18*IF(BT118="",0,1)+Weights!$C$19*IF(BW118="",0,1)+Weights!$C$20*IF(BZ118="",0,1)+Weights!$C$21*IF(BO118="",0,1)+Weights!$C$22)=0,"",(Weights!$C$13*IF(BP118="",0,BP118)+Weights!$C$14*IF(BR118="",0,BR118)+Weights!$C$15*IF(BQ118="",0,BQ118)+Weights!$C$16*IF(BS118="",0,BS118)+Weights!$C$17*IF(BU118="",0,BU118)+Weights!$C$18*IF(BT118="",0,BT118)+Weights!$C$19*IF(BW118="",0,BW118)+Weights!$C$20*IF(BZ118="",0,BZ118)+Weights!$C$21*IF(BO118="",0,BO118)+Weights!$C$22*BV118)/(Weights!$C$13*IF(BP118="",0,1)+Weights!$C$14*IF(BR118="",0,1)+Weights!$C$15*IF(BQ118="",0,1)+Weights!$C$16*IF(BS118="",0,1)+Weights!$C$17*IF(BU118="",0,1)+Weights!$C$18*IF(BT118="",0,1)+Weights!$C$19*IF(BW118="",0,1)+Weights!$C$20*IF(BZ118="",0,1)+Weights!$C$21*IF(BO118="",0,1)+Weights!$C$22))</x:f>
      </x:c>
      <x:c r="CC118" s="10">
        <x:f>IF((Weights!$C$23*IF(BQ118="",0,1)+Weights!$C$24*IF(BN118="",0,1)+Weights!$C$25*IF(BS118="",0,1)+Weights!$C$26*IF(BY118="",0,1)+Weights!$C$27*IF(BX118="",0,1)+Weights!$C$28*IF(BT118="",0,1)+Weights!$C$29*IF(CA118="",0,1)+Weights!$C$30+Weights!$C$31*IF(BU118="",0,1))=0,"",(Weights!$C$23*IF(BQ118="",0,BQ118)+Weights!$C$24*IF(BN118="",0,BN118)+Weights!$C$25*IF(BS118="",0,BS118)+Weights!$C$26*IF(BY118="",0,BY118)+Weights!$C$27*IF(BX118="",0,BX118)+Weights!$C$28*IF(BT118="",0,BT118)+Weights!$C$29*IF(CA118="",0,CA118)+Weights!$C$30*BV118+Weights!$C$31*IF(BU118="",0,BU118))/(Weights!$C$23*IF(BQ118="",0,1)+Weights!$C$24*IF(BN118="",0,1)+Weights!$C$25*IF(BS118="",0,1)+Weights!$C$26*IF(BY118="",0,1)+Weights!$C$27*IF(BX118="",0,1)+Weights!$C$28*IF(BT118="",0,1)+Weights!$C$29*IF(CA118="",0,1)+Weights!$C$30+Weights!$C$31*IF(BU118="",0,1)))</x:f>
      </x:c>
      <x:c r="CD118" s="10">
        <x:f>IF(AND(CB118="",CC118=""),"",IF(CB118="",CC118,IF(CC118="",CB118,AVERAGE(CB118,CC118))))</x:f>
      </x:c>
      <x:c r="CE118" s="7">
        <x:f>ROUND(100*((IF(BP118&lt;&gt;"",1,0)+IF(BQ118&lt;&gt;"",1,0)+IF(BR118&lt;&gt;"",1,0)+IF(BS118&lt;&gt;"",1,0)+IF(BU118&lt;&gt;"",1,0)+IF(BT118&lt;&gt;"",1,0)+IF(BN118&lt;&gt;"",1,0)+IF(AW118&lt;&gt;"",1,0))/8),0)</x:f>
      </x:c>
      <x:c r="CF118">
        <x:f>IF(V118="","",LOG10(V118+1))</x:f>
      </x:c>
      <x:c r="CG118">
        <x:f>IF(CF118="","",IF(MAX($CF$2:$CF$252)-MIN($CF$2:$CF$252)=0,"",(CF118-MIN($CF$2:$CF$252))/(MAX($CF$2:$CF$252)-MIN($CF$2:$CF$252))*100))</x:f>
      </x:c>
    </x:row>
    <x:row r="119">
      <x:c r="A119" t="inlineStr">
        <x:is>
          <x:t xml:space="preserve">ALB</x:t>
        </x:is>
      </x:c>
      <x:c r="B119" t="inlineStr">
        <x:is>
          <x:t xml:space="preserve">Albania</x:t>
        </x:is>
      </x:c>
      <x:c r="C119" t="inlineStr">
        <x:is>
          <x:t xml:space="preserve">Europe &amp; Central Asia</x:t>
        </x:is>
      </x:c>
      <x:c r="D119" t="inlineStr">
        <x:is>
          <x:t xml:space="preserve">Upper middle income</x:t>
        </x:is>
      </x:c>
      <x:c r="E119" t="inlineStr">
        <x:is>
          <x:t xml:space="preserve">Europe</x:t>
        </x:is>
      </x:c>
      <x:c r="F119" t="n">
        <x:v>2024</x:v>
      </x:c>
      <x:c r="G119" t="n">
        <x:v>2377128</x:v>
      </x:c>
      <x:c r="H119" t="n">
        <x:v>2020</x:v>
      </x:c>
      <x:c r="I119" t="n">
        <x:v>8000</x:v>
      </x:c>
      <x:c r="J119" t="n">
        <x:v>5200</x:v>
      </x:c>
      <x:c r="K119" t="n">
        <x:v>1600</x:v>
      </x:c>
      <x:c r="L119" t="n">
        <x:v>960</x:v>
      </x:c>
      <x:c r="M119" t="n">
        <x:v>2024</x:v>
      </x:c>
      <x:c r="N119" s="8" t="n">
        <x:v>535472559.206879</x:v>
      </x:c>
      <x:c r="O119" s="9" t="n">
        <x:v>2.03786228936679</x:v>
      </x:c>
      <x:c r="P119" s="8" t="n">
        <x:v>66934.06990085987</x:v>
      </x:c>
      <x:c r="Q119" t="n">
        <x:v>2024</x:v>
      </x:c>
      <x:c r="R119" s="8" t="n">
        <x:v>27046429296.6673</x:v>
      </x:c>
      <x:c r="S119" t="n">
        <x:v>0</x:v>
      </x:c>
      <x:c r="T119" t="n">
        <x:v>0</x:v>
      </x:c>
      <x:c r="U119" t="inlineStr">
        <x:is>
          <x:t xml:space="preserve">No</x:t>
        </x:is>
      </x:c>
      <x:c r="W119" t="inlineStr">
        <x:is>
          <x:t xml:space="preserve">No</x:t>
        </x:is>
      </x:c>
      <x:c r="X119" t="n">
        <x:v>12.55031167399973</x:v>
      </x:c>
      <x:c r="Y119" t="n">
        <x:v>58.15527114071431</x:v>
      </x:c>
      <x:c r="Z119" t="n">
        <x:v>29694.80029167595</x:v>
      </x:c>
      <x:c r="AA119" t="n">
        <x:v>102.6437952119992</x:v>
      </x:c>
      <x:c r="AB119" s="8" t="n">
        <x:v>11122.09468085002</x:v>
      </x:c>
      <x:c r="AC119" t="n">
        <x:v>19</x:v>
      </x:c>
      <x:c r="AD119" t="n">
        <x:v>0</x:v>
      </x:c>
      <x:c r="AE119" t="n">
        <x:v>0</x:v>
      </x:c>
      <x:c r="AR119">
        <x:f>IF(G119="","",LOG10(G119+1))</x:f>
      </x:c>
      <x:c r="AS119" s="10">
        <x:f>IF(AR119="","",IF(MAX($AR$2:$AR$252)-MIN($AR$2:$AR$252)=0,"",(AR119-MIN($AR$2:$AR$252))/(MAX($AR$2:$AR$252)-MIN($AR$2:$AR$252))*100))</x:f>
      </x:c>
      <x:c r="AT119">
        <x:f>IF(R119="","",LOG10(R119+1))</x:f>
      </x:c>
      <x:c r="AU119" s="10">
        <x:f>IF(AT119="","",IF(MAX($AT$2:$AT$252)-MIN($AT$2:$AT$252)=0,"",(AT119-MIN($AT$2:$AT$252))/(MAX($AT$2:$AT$252)-MIN($AT$2:$AT$252))*100))</x:f>
      </x:c>
      <x:c r="AV119">
        <x:f>IF(N119="","",LOG10(N119+1))</x:f>
      </x:c>
      <x:c r="AW119" s="10">
        <x:f>IF(AV119="","",IF(MAX($AV$2:$AV$252)-MIN($AV$2:$AV$252)=0,"",(AV119-MIN($AV$2:$AV$252))/(MAX($AV$2:$AV$252)-MIN($AV$2:$AV$252))*100))</x:f>
      </x:c>
      <x:c r="AX119">
        <x:f>IF(I119="","",LOG10(I119+1))</x:f>
      </x:c>
      <x:c r="AY119" s="10">
        <x:f>IF(AX119="","",IF(MAX($AX$2:$AX$252)-MIN($AX$2:$AX$252)=0,"",(AX119-MIN($AX$2:$AX$252))/(MAX($AX$2:$AX$252)-MIN($AX$2:$AX$252))*100))</x:f>
      </x:c>
      <x:c r="AZ119">
        <x:f>IF(J119="","",LOG10(J119+1))</x:f>
      </x:c>
      <x:c r="BA119" s="10">
        <x:f>IF(AZ119="","",IF(MAX($AZ$2:$AZ$252)-MIN($AZ$2:$AZ$252)=0,"",(AZ119-MIN($AZ$2:$AZ$252))/(MAX($AZ$2:$AZ$252)-MIN($AZ$2:$AZ$252))*100))</x:f>
      </x:c>
      <x:c r="BB119">
        <x:f>IF(K119="","",LOG10(K119+1))</x:f>
      </x:c>
      <x:c r="BC119" s="10">
        <x:f>IF(BB119="","",IF(MAX($BB$2:$BB$252)-MIN($BB$2:$BB$252)=0,"",(BB119-MIN($BB$2:$BB$252))/(MAX($BB$2:$BB$252)-MIN($BB$2:$BB$252))*100))</x:f>
      </x:c>
      <x:c r="BD119">
        <x:f>IF(L119="","",LOG10(L119+1))</x:f>
      </x:c>
      <x:c r="BE119" s="10">
        <x:f>IF(BD119="","",IF(MAX($BD$2:$BD$252)-MIN($BD$2:$BD$252)=0,"",(BD119-MIN($BD$2:$BD$252))/(MAX($BD$2:$BD$252)-MIN($BD$2:$BD$252))*100))</x:f>
      </x:c>
      <x:c r="BF119" s="10">
        <x:f>IF(P119="","",IF(MAX($P$2:$P$252)-MIN($P$2:$P$252)=0,"",(P119-MIN($P$2:$P$252))/(MAX($P$2:$P$252)-MIN($P$2:$P$252))*100))</x:f>
      </x:c>
      <x:c r="BG119">
        <x:f>IF(AF119="","",LOG10(AF119+1))</x:f>
      </x:c>
      <x:c r="BH119" s="10">
        <x:f>IF(BG119="","",IF(MAX($BG$2:$BG$252)-MIN($BG$2:$BG$252)=0,"",(BG119-MIN($BG$2:$BG$252))/(MAX($BG$2:$BG$252)-MIN($BG$2:$BG$252))*100))</x:f>
      </x:c>
      <x:c r="BI119">
        <x:f>IF(AC119="","",LOG10(AC119+1))</x:f>
      </x:c>
      <x:c r="BJ119" s="10">
        <x:f>IF(BI119="","",IF(MAX($BI$2:$BI$252)-MIN($BI$2:$BI$252)=0,"",(BI119-MIN($BI$2:$BI$252))/(MAX($BI$2:$BI$252)-MIN($BI$2:$BI$252))*100))</x:f>
      </x:c>
      <x:c r="BK119">
        <x:f>IF(AD119="","",(AD119*2)+(AE119*1))</x:f>
      </x:c>
      <x:c r="BL119" s="10">
        <x:f>IF(BK119="","",IF(MAX($BK$2:$BK$252)-MIN($BK$2:$BK$252)=0,"",(BK119-MIN($BK$2:$BK$252))/(MAX($BK$2:$BK$252)-MIN($BK$2:$BK$252))*100))</x:f>
      </x:c>
      <x:c r="BM119" s="10">
        <x:f>IF(AB119="","",IF(MAX($AB$2:$AB$252)-MIN($AB$2:$AB$252)=0,"",(AB119-MIN($AB$2:$AB$252))/(MAX($AB$2:$AB$252)-MIN($AB$2:$AB$252))*100))</x:f>
      </x:c>
      <x:c r="BN119" s="10">
        <x:f>IF(X119="","",X119)</x:f>
      </x:c>
      <x:c r="BO119" s="10">
        <x:f>IF(X119="","",100-X119)</x:f>
      </x:c>
      <x:c r="BP119" s="10">
        <x:f>IF((Weights!$C$2*IF(BH119="",0,1)+Weights!$C$3*IF(BJ119="",0,1)+Weights!$C$4*IF(BL119="",0,1))=0,"",(Weights!$C$2*IF(BH119="",0,BH119)+Weights!$C$3*IF(BJ119="",0,BJ119)+Weights!$C$4*IF(BL119="",0,BL119))/(Weights!$C$2*IF(BH119="",0,1)+Weights!$C$3*IF(BJ119="",0,1)+Weights!$C$4*IF(BL119="",0,1)))</x:f>
      </x:c>
      <x:c r="BQ119" s="10">
        <x:f>IF((Weights!$C$5*IF(BA119="",0,1)+Weights!$C$6*IF(AW119="",0,1)+Weights!$C$7*IF(AU119="",0,1))=0,"",(Weights!$C$5*IF(BA119="",0,BA119)+Weights!$C$6*IF(AW119="",0,AW119)+Weights!$C$7*IF(AU119="",0,AU119))/(Weights!$C$5*IF(BA119="",0,1)+Weights!$C$6*IF(AW119="",0,1)+Weights!$C$7*IF(AU119="",0,1)))</x:f>
      </x:c>
      <x:c r="BR119" s="10">
        <x:f>IF((Weights!$C$8*IF(AW119="",0,1)+Weights!$C$9*IF(BC119="",0,1)+Weights!$C$10*IF(BF119="",0,1))=0,"",(Weights!$C$8*IF(AW119="",0,AW119)+Weights!$C$9*IF(BC119="",0,BC119)+Weights!$C$10*IF(BF119="",0,BF119))/(Weights!$C$8*IF(AW119="",0,1)+Weights!$C$9*IF(BC119="",0,1)+Weights!$C$10*IF(BF119="",0,1)))</x:f>
      </x:c>
      <x:c r="BS119" s="10">
        <x:f>IF(Y119="","",Y119)</x:f>
      </x:c>
      <x:c r="BT119" s="10">
        <x:f>IF(AS119="","",AS119)</x:f>
      </x:c>
      <x:c r="BU119" s="10">
        <x:f>IF(AJ119&lt;&gt;"",(0.6*AJ119+0.4*AU119),IF((Weights!$C$11*IF(AU119="",0,1)+Weights!$C$12*IF(BM119="",0,1))=0,"",(Weights!$C$11*IF(AU119="",0,AU119)+Weights!$C$12*IF(BM119="",0,BM119))/(Weights!$C$11*IF(AU119="",0,1)+Weights!$C$12*IF(BM119="",0,1))))</x:f>
      </x:c>
      <x:c r="BV119" s="10">
        <x:f>IF(CG119="",0,CG119)</x:f>
      </x:c>
      <x:c r="BW119" s="10">
        <x:f>IF(AP119="","",AP119)</x:f>
      </x:c>
      <x:c r="BX119" s="10">
        <x:f>IF(AO119="","",AO119)</x:f>
      </x:c>
      <x:c r="BY119" s="10">
        <x:f>IF(AL119="","",AL119)</x:f>
      </x:c>
      <x:c r="BZ119" s="10">
        <x:f>IF(AM119="","",AM119)</x:f>
      </x:c>
      <x:c r="CA119" s="10">
        <x:f>IF(AK119&lt;&gt;"",AK119,AW119)</x:f>
      </x:c>
      <x:c r="CB119" s="10">
        <x:f>IF((Weights!$C$13*IF(BP119="",0,1)+Weights!$C$14*IF(BR119="",0,1)+Weights!$C$15*IF(BQ119="",0,1)+Weights!$C$16*IF(BS119="",0,1)+Weights!$C$17*IF(BU119="",0,1)+Weights!$C$18*IF(BT119="",0,1)+Weights!$C$19*IF(BW119="",0,1)+Weights!$C$20*IF(BZ119="",0,1)+Weights!$C$21*IF(BO119="",0,1)+Weights!$C$22)=0,"",(Weights!$C$13*IF(BP119="",0,BP119)+Weights!$C$14*IF(BR119="",0,BR119)+Weights!$C$15*IF(BQ119="",0,BQ119)+Weights!$C$16*IF(BS119="",0,BS119)+Weights!$C$17*IF(BU119="",0,BU119)+Weights!$C$18*IF(BT119="",0,BT119)+Weights!$C$19*IF(BW119="",0,BW119)+Weights!$C$20*IF(BZ119="",0,BZ119)+Weights!$C$21*IF(BO119="",0,BO119)+Weights!$C$22*BV119)/(Weights!$C$13*IF(BP119="",0,1)+Weights!$C$14*IF(BR119="",0,1)+Weights!$C$15*IF(BQ119="",0,1)+Weights!$C$16*IF(BS119="",0,1)+Weights!$C$17*IF(BU119="",0,1)+Weights!$C$18*IF(BT119="",0,1)+Weights!$C$19*IF(BW119="",0,1)+Weights!$C$20*IF(BZ119="",0,1)+Weights!$C$21*IF(BO119="",0,1)+Weights!$C$22))</x:f>
      </x:c>
      <x:c r="CC119" s="10">
        <x:f>IF((Weights!$C$23*IF(BQ119="",0,1)+Weights!$C$24*IF(BN119="",0,1)+Weights!$C$25*IF(BS119="",0,1)+Weights!$C$26*IF(BY119="",0,1)+Weights!$C$27*IF(BX119="",0,1)+Weights!$C$28*IF(BT119="",0,1)+Weights!$C$29*IF(CA119="",0,1)+Weights!$C$30+Weights!$C$31*IF(BU119="",0,1))=0,"",(Weights!$C$23*IF(BQ119="",0,BQ119)+Weights!$C$24*IF(BN119="",0,BN119)+Weights!$C$25*IF(BS119="",0,BS119)+Weights!$C$26*IF(BY119="",0,BY119)+Weights!$C$27*IF(BX119="",0,BX119)+Weights!$C$28*IF(BT119="",0,BT119)+Weights!$C$29*IF(CA119="",0,CA119)+Weights!$C$30*BV119+Weights!$C$31*IF(BU119="",0,BU119))/(Weights!$C$23*IF(BQ119="",0,1)+Weights!$C$24*IF(BN119="",0,1)+Weights!$C$25*IF(BS119="",0,1)+Weights!$C$26*IF(BY119="",0,1)+Weights!$C$27*IF(BX119="",0,1)+Weights!$C$28*IF(BT119="",0,1)+Weights!$C$29*IF(CA119="",0,1)+Weights!$C$30+Weights!$C$31*IF(BU119="",0,1)))</x:f>
      </x:c>
      <x:c r="CD119" s="10">
        <x:f>IF(AND(CB119="",CC119=""),"",IF(CB119="",CC119,IF(CC119="",CB119,AVERAGE(CB119,CC119))))</x:f>
      </x:c>
      <x:c r="CE119" s="7">
        <x:f>ROUND(100*((IF(BP119&lt;&gt;"",1,0)+IF(BQ119&lt;&gt;"",1,0)+IF(BR119&lt;&gt;"",1,0)+IF(BS119&lt;&gt;"",1,0)+IF(BU119&lt;&gt;"",1,0)+IF(BT119&lt;&gt;"",1,0)+IF(BN119&lt;&gt;"",1,0)+IF(AW119&lt;&gt;"",1,0))/8),0)</x:f>
      </x:c>
      <x:c r="CF119">
        <x:f>IF(V119="","",LOG10(V119+1))</x:f>
      </x:c>
      <x:c r="CG119">
        <x:f>IF(CF119="","",IF(MAX($CF$2:$CF$252)-MIN($CF$2:$CF$252)=0,"",(CF119-MIN($CF$2:$CF$252))/(MAX($CF$2:$CF$252)-MIN($CF$2:$CF$252))*100))</x:f>
      </x:c>
    </x:row>
    <x:row r="120">
      <x:c r="A120" t="inlineStr">
        <x:is>
          <x:t xml:space="preserve">AGO</x:t>
        </x:is>
      </x:c>
      <x:c r="B120" t="inlineStr">
        <x:is>
          <x:t xml:space="preserve">Angola</x:t>
        </x:is>
      </x:c>
      <x:c r="C120" t="inlineStr">
        <x:is>
          <x:t xml:space="preserve">Sub-Saharan Africa</x:t>
        </x:is>
      </x:c>
      <x:c r="D120" t="inlineStr">
        <x:is>
          <x:t xml:space="preserve">Lower middle income</x:t>
        </x:is>
      </x:c>
      <x:c r="E120" t="inlineStr">
        <x:is>
          <x:t xml:space="preserve">Africa</x:t>
        </x:is>
      </x:c>
      <x:c r="F120" t="n">
        <x:v>2024</x:v>
      </x:c>
      <x:c r="G120" t="n">
        <x:v>37885849</x:v>
      </x:c>
      <x:c r="H120" t="n">
        <x:v>2020</x:v>
      </x:c>
      <x:c r="I120" t="n">
        <x:v>117000</x:v>
      </x:c>
      <x:c r="J120" t="n">
        <x:v>76050</x:v>
      </x:c>
      <x:c r="K120" t="n">
        <x:v>23400</x:v>
      </x:c>
      <x:c r="L120" t="n">
        <x:v>14040</x:v>
      </x:c>
      <x:c r="M120" t="n">
        <x:v>2024</x:v>
      </x:c>
      <x:c r="N120" s="8" t="n">
        <x:v>922050813.886942</x:v>
      </x:c>
      <x:c r="O120" s="9" t="n">
        <x:v>1.00049213337543</x:v>
      </x:c>
      <x:c r="P120" s="8" t="n">
        <x:v>7880.776187067881</x:v>
      </x:c>
      <x:c r="Q120" t="n">
        <x:v>2024</x:v>
      </x:c>
      <x:c r="R120" s="8" t="n">
        <x:v>100998916781.079</x:v>
      </x:c>
      <x:c r="S120" t="n">
        <x:v>1</x:v>
      </x:c>
      <x:c r="T120" t="n">
        <x:v>0</x:v>
      </x:c>
      <x:c r="U120" t="inlineStr">
        <x:is>
          <x:t xml:space="preserve">No</x:t>
        </x:is>
      </x:c>
      <x:c r="W120" t="inlineStr">
        <x:is>
          <x:t xml:space="preserve">No</x:t>
        </x:is>
      </x:c>
      <x:c r="X120" t="n">
        <x:v>23.28088032592767</x:v>
      </x:c>
      <x:c r="Y120" t="n">
        <x:v>41.12967211436414</x:v>
      </x:c>
      <x:c r="Z120" t="n">
        <x:v>1245463.747697852</x:v>
      </x:c>
      <x:c r="AA120" t="n">
        <x:v>23.5336219574258</x:v>
      </x:c>
      <x:c r="AB120" s="8" t="n">
        <x:v>6448.251096125921</x:v>
      </x:c>
      <x:c r="AC120" t="n">
        <x:v>40</x:v>
      </x:c>
      <x:c r="AD120" t="n">
        <x:v>0</x:v>
      </x:c>
      <x:c r="AE120" t="n">
        <x:v>0</x:v>
      </x:c>
      <x:c r="AR120">
        <x:f>IF(G120="","",LOG10(G120+1))</x:f>
      </x:c>
      <x:c r="AS120" s="10">
        <x:f>IF(AR120="","",IF(MAX($AR$2:$AR$252)-MIN($AR$2:$AR$252)=0,"",(AR120-MIN($AR$2:$AR$252))/(MAX($AR$2:$AR$252)-MIN($AR$2:$AR$252))*100))</x:f>
      </x:c>
      <x:c r="AT120">
        <x:f>IF(R120="","",LOG10(R120+1))</x:f>
      </x:c>
      <x:c r="AU120" s="10">
        <x:f>IF(AT120="","",IF(MAX($AT$2:$AT$252)-MIN($AT$2:$AT$252)=0,"",(AT120-MIN($AT$2:$AT$252))/(MAX($AT$2:$AT$252)-MIN($AT$2:$AT$252))*100))</x:f>
      </x:c>
      <x:c r="AV120">
        <x:f>IF(N120="","",LOG10(N120+1))</x:f>
      </x:c>
      <x:c r="AW120" s="10">
        <x:f>IF(AV120="","",IF(MAX($AV$2:$AV$252)-MIN($AV$2:$AV$252)=0,"",(AV120-MIN($AV$2:$AV$252))/(MAX($AV$2:$AV$252)-MIN($AV$2:$AV$252))*100))</x:f>
      </x:c>
      <x:c r="AX120">
        <x:f>IF(I120="","",LOG10(I120+1))</x:f>
      </x:c>
      <x:c r="AY120" s="10">
        <x:f>IF(AX120="","",IF(MAX($AX$2:$AX$252)-MIN($AX$2:$AX$252)=0,"",(AX120-MIN($AX$2:$AX$252))/(MAX($AX$2:$AX$252)-MIN($AX$2:$AX$252))*100))</x:f>
      </x:c>
      <x:c r="AZ120">
        <x:f>IF(J120="","",LOG10(J120+1))</x:f>
      </x:c>
      <x:c r="BA120" s="10">
        <x:f>IF(AZ120="","",IF(MAX($AZ$2:$AZ$252)-MIN($AZ$2:$AZ$252)=0,"",(AZ120-MIN($AZ$2:$AZ$252))/(MAX($AZ$2:$AZ$252)-MIN($AZ$2:$AZ$252))*100))</x:f>
      </x:c>
      <x:c r="BB120">
        <x:f>IF(K120="","",LOG10(K120+1))</x:f>
      </x:c>
      <x:c r="BC120" s="10">
        <x:f>IF(BB120="","",IF(MAX($BB$2:$BB$252)-MIN($BB$2:$BB$252)=0,"",(BB120-MIN($BB$2:$BB$252))/(MAX($BB$2:$BB$252)-MIN($BB$2:$BB$252))*100))</x:f>
      </x:c>
      <x:c r="BD120">
        <x:f>IF(L120="","",LOG10(L120+1))</x:f>
      </x:c>
      <x:c r="BE120" s="10">
        <x:f>IF(BD120="","",IF(MAX($BD$2:$BD$252)-MIN($BD$2:$BD$252)=0,"",(BD120-MIN($BD$2:$BD$252))/(MAX($BD$2:$BD$252)-MIN($BD$2:$BD$252))*100))</x:f>
      </x:c>
      <x:c r="BF120" s="10">
        <x:f>IF(P120="","",IF(MAX($P$2:$P$252)-MIN($P$2:$P$252)=0,"",(P120-MIN($P$2:$P$252))/(MAX($P$2:$P$252)-MIN($P$2:$P$252))*100))</x:f>
      </x:c>
      <x:c r="BG120">
        <x:f>IF(AF120="","",LOG10(AF120+1))</x:f>
      </x:c>
      <x:c r="BH120" s="10">
        <x:f>IF(BG120="","",IF(MAX($BG$2:$BG$252)-MIN($BG$2:$BG$252)=0,"",(BG120-MIN($BG$2:$BG$252))/(MAX($BG$2:$BG$252)-MIN($BG$2:$BG$252))*100))</x:f>
      </x:c>
      <x:c r="BI120">
        <x:f>IF(AC120="","",LOG10(AC120+1))</x:f>
      </x:c>
      <x:c r="BJ120" s="10">
        <x:f>IF(BI120="","",IF(MAX($BI$2:$BI$252)-MIN($BI$2:$BI$252)=0,"",(BI120-MIN($BI$2:$BI$252))/(MAX($BI$2:$BI$252)-MIN($BI$2:$BI$252))*100))</x:f>
      </x:c>
      <x:c r="BK120">
        <x:f>IF(AD120="","",(AD120*2)+(AE120*1))</x:f>
      </x:c>
      <x:c r="BL120" s="10">
        <x:f>IF(BK120="","",IF(MAX($BK$2:$BK$252)-MIN($BK$2:$BK$252)=0,"",(BK120-MIN($BK$2:$BK$252))/(MAX($BK$2:$BK$252)-MIN($BK$2:$BK$252))*100))</x:f>
      </x:c>
      <x:c r="BM120" s="10">
        <x:f>IF(AB120="","",IF(MAX($AB$2:$AB$252)-MIN($AB$2:$AB$252)=0,"",(AB120-MIN($AB$2:$AB$252))/(MAX($AB$2:$AB$252)-MIN($AB$2:$AB$252))*100))</x:f>
      </x:c>
      <x:c r="BN120" s="10">
        <x:f>IF(X120="","",X120)</x:f>
      </x:c>
      <x:c r="BO120" s="10">
        <x:f>IF(X120="","",100-X120)</x:f>
      </x:c>
      <x:c r="BP120" s="10">
        <x:f>IF((Weights!$C$2*IF(BH120="",0,1)+Weights!$C$3*IF(BJ120="",0,1)+Weights!$C$4*IF(BL120="",0,1))=0,"",(Weights!$C$2*IF(BH120="",0,BH120)+Weights!$C$3*IF(BJ120="",0,BJ120)+Weights!$C$4*IF(BL120="",0,BL120))/(Weights!$C$2*IF(BH120="",0,1)+Weights!$C$3*IF(BJ120="",0,1)+Weights!$C$4*IF(BL120="",0,1)))</x:f>
      </x:c>
      <x:c r="BQ120" s="10">
        <x:f>IF((Weights!$C$5*IF(BA120="",0,1)+Weights!$C$6*IF(AW120="",0,1)+Weights!$C$7*IF(AU120="",0,1))=0,"",(Weights!$C$5*IF(BA120="",0,BA120)+Weights!$C$6*IF(AW120="",0,AW120)+Weights!$C$7*IF(AU120="",0,AU120))/(Weights!$C$5*IF(BA120="",0,1)+Weights!$C$6*IF(AW120="",0,1)+Weights!$C$7*IF(AU120="",0,1)))</x:f>
      </x:c>
      <x:c r="BR120" s="10">
        <x:f>IF((Weights!$C$8*IF(AW120="",0,1)+Weights!$C$9*IF(BC120="",0,1)+Weights!$C$10*IF(BF120="",0,1))=0,"",(Weights!$C$8*IF(AW120="",0,AW120)+Weights!$C$9*IF(BC120="",0,BC120)+Weights!$C$10*IF(BF120="",0,BF120))/(Weights!$C$8*IF(AW120="",0,1)+Weights!$C$9*IF(BC120="",0,1)+Weights!$C$10*IF(BF120="",0,1)))</x:f>
      </x:c>
      <x:c r="BS120" s="10">
        <x:f>IF(Y120="","",Y120)</x:f>
      </x:c>
      <x:c r="BT120" s="10">
        <x:f>IF(AS120="","",AS120)</x:f>
      </x:c>
      <x:c r="BU120" s="10">
        <x:f>IF(AJ120&lt;&gt;"",(0.6*AJ120+0.4*AU120),IF((Weights!$C$11*IF(AU120="",0,1)+Weights!$C$12*IF(BM120="",0,1))=0,"",(Weights!$C$11*IF(AU120="",0,AU120)+Weights!$C$12*IF(BM120="",0,BM120))/(Weights!$C$11*IF(AU120="",0,1)+Weights!$C$12*IF(BM120="",0,1))))</x:f>
      </x:c>
      <x:c r="BV120" s="10">
        <x:f>IF(CG120="",0,CG120)</x:f>
      </x:c>
      <x:c r="BW120" s="10">
        <x:f>IF(AP120="","",AP120)</x:f>
      </x:c>
      <x:c r="BX120" s="10">
        <x:f>IF(AO120="","",AO120)</x:f>
      </x:c>
      <x:c r="BY120" s="10">
        <x:f>IF(AL120="","",AL120)</x:f>
      </x:c>
      <x:c r="BZ120" s="10">
        <x:f>IF(AM120="","",AM120)</x:f>
      </x:c>
      <x:c r="CA120" s="10">
        <x:f>IF(AK120&lt;&gt;"",AK120,AW120)</x:f>
      </x:c>
      <x:c r="CB120" s="10">
        <x:f>IF((Weights!$C$13*IF(BP120="",0,1)+Weights!$C$14*IF(BR120="",0,1)+Weights!$C$15*IF(BQ120="",0,1)+Weights!$C$16*IF(BS120="",0,1)+Weights!$C$17*IF(BU120="",0,1)+Weights!$C$18*IF(BT120="",0,1)+Weights!$C$19*IF(BW120="",0,1)+Weights!$C$20*IF(BZ120="",0,1)+Weights!$C$21*IF(BO120="",0,1)+Weights!$C$22)=0,"",(Weights!$C$13*IF(BP120="",0,BP120)+Weights!$C$14*IF(BR120="",0,BR120)+Weights!$C$15*IF(BQ120="",0,BQ120)+Weights!$C$16*IF(BS120="",0,BS120)+Weights!$C$17*IF(BU120="",0,BU120)+Weights!$C$18*IF(BT120="",0,BT120)+Weights!$C$19*IF(BW120="",0,BW120)+Weights!$C$20*IF(BZ120="",0,BZ120)+Weights!$C$21*IF(BO120="",0,BO120)+Weights!$C$22*BV120)/(Weights!$C$13*IF(BP120="",0,1)+Weights!$C$14*IF(BR120="",0,1)+Weights!$C$15*IF(BQ120="",0,1)+Weights!$C$16*IF(BS120="",0,1)+Weights!$C$17*IF(BU120="",0,1)+Weights!$C$18*IF(BT120="",0,1)+Weights!$C$19*IF(BW120="",0,1)+Weights!$C$20*IF(BZ120="",0,1)+Weights!$C$21*IF(BO120="",0,1)+Weights!$C$22))</x:f>
      </x:c>
      <x:c r="CC120" s="10">
        <x:f>IF((Weights!$C$23*IF(BQ120="",0,1)+Weights!$C$24*IF(BN120="",0,1)+Weights!$C$25*IF(BS120="",0,1)+Weights!$C$26*IF(BY120="",0,1)+Weights!$C$27*IF(BX120="",0,1)+Weights!$C$28*IF(BT120="",0,1)+Weights!$C$29*IF(CA120="",0,1)+Weights!$C$30+Weights!$C$31*IF(BU120="",0,1))=0,"",(Weights!$C$23*IF(BQ120="",0,BQ120)+Weights!$C$24*IF(BN120="",0,BN120)+Weights!$C$25*IF(BS120="",0,BS120)+Weights!$C$26*IF(BY120="",0,BY120)+Weights!$C$27*IF(BX120="",0,BX120)+Weights!$C$28*IF(BT120="",0,BT120)+Weights!$C$29*IF(CA120="",0,CA120)+Weights!$C$30*BV120+Weights!$C$31*IF(BU120="",0,BU120))/(Weights!$C$23*IF(BQ120="",0,1)+Weights!$C$24*IF(BN120="",0,1)+Weights!$C$25*IF(BS120="",0,1)+Weights!$C$26*IF(BY120="",0,1)+Weights!$C$27*IF(BX120="",0,1)+Weights!$C$28*IF(BT120="",0,1)+Weights!$C$29*IF(CA120="",0,1)+Weights!$C$30+Weights!$C$31*IF(BU120="",0,1)))</x:f>
      </x:c>
      <x:c r="CD120" s="10">
        <x:f>IF(AND(CB120="",CC120=""),"",IF(CB120="",CC120,IF(CC120="",CB120,AVERAGE(CB120,CC120))))</x:f>
      </x:c>
      <x:c r="CE120" s="7">
        <x:f>ROUND(100*((IF(BP120&lt;&gt;"",1,0)+IF(BQ120&lt;&gt;"",1,0)+IF(BR120&lt;&gt;"",1,0)+IF(BS120&lt;&gt;"",1,0)+IF(BU120&lt;&gt;"",1,0)+IF(BT120&lt;&gt;"",1,0)+IF(BN120&lt;&gt;"",1,0)+IF(AW120&lt;&gt;"",1,0))/8),0)</x:f>
      </x:c>
      <x:c r="CF120">
        <x:f>IF(V120="","",LOG10(V120+1))</x:f>
      </x:c>
      <x:c r="CG120">
        <x:f>IF(CF120="","",IF(MAX($CF$2:$CF$252)-MIN($CF$2:$CF$252)=0,"",(CF120-MIN($CF$2:$CF$252))/(MAX($CF$2:$CF$252)-MIN($CF$2:$CF$252))*100))</x:f>
      </x:c>
    </x:row>
    <x:row r="121">
      <x:c r="A121" t="inlineStr">
        <x:is>
          <x:t xml:space="preserve">ARM</x:t>
        </x:is>
      </x:c>
      <x:c r="B121" t="inlineStr">
        <x:is>
          <x:t xml:space="preserve">Armenia</x:t>
        </x:is>
      </x:c>
      <x:c r="C121" t="inlineStr">
        <x:is>
          <x:t xml:space="preserve">Europe &amp; Central Asia</x:t>
        </x:is>
      </x:c>
      <x:c r="D121" t="inlineStr">
        <x:is>
          <x:t xml:space="preserve">Upper middle income</x:t>
        </x:is>
      </x:c>
      <x:c r="E121" t="inlineStr">
        <x:is>
          <x:t xml:space="preserve">Asia</x:t>
        </x:is>
      </x:c>
      <x:c r="F121" t="n">
        <x:v>2024</x:v>
      </x:c>
      <x:c r="G121" t="n">
        <x:v>3033500</x:v>
      </x:c>
      <x:c r="H121" t="n">
        <x:v>2020</x:v>
      </x:c>
      <x:c r="I121" t="n">
        <x:v>47000</x:v>
      </x:c>
      <x:c r="J121" t="n">
        <x:v>30550</x:v>
      </x:c>
      <x:c r="K121" t="n">
        <x:v>9400</x:v>
      </x:c>
      <x:c r="L121" t="n">
        <x:v>5640</x:v>
      </x:c>
      <x:c r="M121" t="n">
        <x:v>2024</x:v>
      </x:c>
      <x:c r="N121" s="8" t="n">
        <x:v>1418011710.7943</x:v>
      </x:c>
      <x:c r="O121" s="9" t="n">
        <x:v>5.48174920349075</x:v>
      </x:c>
      <x:c r="P121" s="8" t="n">
        <x:v>30170.46193179362</x:v>
      </x:c>
      <x:c r="Q121" t="n">
        <x:v>2024</x:v>
      </x:c>
      <x:c r="R121" s="8" t="n">
        <x:v>25955275380.0321</x:v>
      </x:c>
      <x:c r="S121" t="n">
        <x:v>0</x:v>
      </x:c>
      <x:c r="T121" t="n">
        <x:v>0</x:v>
      </x:c>
      <x:c r="U121" t="inlineStr">
        <x:is>
          <x:t xml:space="preserve">No</x:t>
        </x:is>
      </x:c>
      <x:c r="W121" t="inlineStr">
        <x:is>
          <x:t xml:space="preserve">No</x:t>
        </x:is>
      </x:c>
      <x:c r="X121" t="n">
        <x:v>18.49659512621816</x:v>
      </x:c>
      <x:c r="Y121" t="n">
        <x:v>54.66699678079743</x:v>
      </x:c>
      <x:c r="Z121" t="n">
        <x:v>28656.6007515335</x:v>
      </x:c>
      <x:c r="AA121" t="n">
        <x:v>106.264906518511</x:v>
      </x:c>
      <x:c r="AB121" s="8" t="n">
        <x:v>8636.5682809387</x:v>
      </x:c>
      <x:c r="AR121">
        <x:f>IF(G121="","",LOG10(G121+1))</x:f>
      </x:c>
      <x:c r="AS121" s="10">
        <x:f>IF(AR121="","",IF(MAX($AR$2:$AR$252)-MIN($AR$2:$AR$252)=0,"",(AR121-MIN($AR$2:$AR$252))/(MAX($AR$2:$AR$252)-MIN($AR$2:$AR$252))*100))</x:f>
      </x:c>
      <x:c r="AT121">
        <x:f>IF(R121="","",LOG10(R121+1))</x:f>
      </x:c>
      <x:c r="AU121" s="10">
        <x:f>IF(AT121="","",IF(MAX($AT$2:$AT$252)-MIN($AT$2:$AT$252)=0,"",(AT121-MIN($AT$2:$AT$252))/(MAX($AT$2:$AT$252)-MIN($AT$2:$AT$252))*100))</x:f>
      </x:c>
      <x:c r="AV121">
        <x:f>IF(N121="","",LOG10(N121+1))</x:f>
      </x:c>
      <x:c r="AW121" s="10">
        <x:f>IF(AV121="","",IF(MAX($AV$2:$AV$252)-MIN($AV$2:$AV$252)=0,"",(AV121-MIN($AV$2:$AV$252))/(MAX($AV$2:$AV$252)-MIN($AV$2:$AV$252))*100))</x:f>
      </x:c>
      <x:c r="AX121">
        <x:f>IF(I121="","",LOG10(I121+1))</x:f>
      </x:c>
      <x:c r="AY121" s="10">
        <x:f>IF(AX121="","",IF(MAX($AX$2:$AX$252)-MIN($AX$2:$AX$252)=0,"",(AX121-MIN($AX$2:$AX$252))/(MAX($AX$2:$AX$252)-MIN($AX$2:$AX$252))*100))</x:f>
      </x:c>
      <x:c r="AZ121">
        <x:f>IF(J121="","",LOG10(J121+1))</x:f>
      </x:c>
      <x:c r="BA121" s="10">
        <x:f>IF(AZ121="","",IF(MAX($AZ$2:$AZ$252)-MIN($AZ$2:$AZ$252)=0,"",(AZ121-MIN($AZ$2:$AZ$252))/(MAX($AZ$2:$AZ$252)-MIN($AZ$2:$AZ$252))*100))</x:f>
      </x:c>
      <x:c r="BB121">
        <x:f>IF(K121="","",LOG10(K121+1))</x:f>
      </x:c>
      <x:c r="BC121" s="10">
        <x:f>IF(BB121="","",IF(MAX($BB$2:$BB$252)-MIN($BB$2:$BB$252)=0,"",(BB121-MIN($BB$2:$BB$252))/(MAX($BB$2:$BB$252)-MIN($BB$2:$BB$252))*100))</x:f>
      </x:c>
      <x:c r="BD121">
        <x:f>IF(L121="","",LOG10(L121+1))</x:f>
      </x:c>
      <x:c r="BE121" s="10">
        <x:f>IF(BD121="","",IF(MAX($BD$2:$BD$252)-MIN($BD$2:$BD$252)=0,"",(BD121-MIN($BD$2:$BD$252))/(MAX($BD$2:$BD$252)-MIN($BD$2:$BD$252))*100))</x:f>
      </x:c>
      <x:c r="BF121" s="10">
        <x:f>IF(P121="","",IF(MAX($P$2:$P$252)-MIN($P$2:$P$252)=0,"",(P121-MIN($P$2:$P$252))/(MAX($P$2:$P$252)-MIN($P$2:$P$252))*100))</x:f>
      </x:c>
      <x:c r="BG121">
        <x:f>IF(AF121="","",LOG10(AF121+1))</x:f>
      </x:c>
      <x:c r="BH121" s="10">
        <x:f>IF(BG121="","",IF(MAX($BG$2:$BG$252)-MIN($BG$2:$BG$252)=0,"",(BG121-MIN($BG$2:$BG$252))/(MAX($BG$2:$BG$252)-MIN($BG$2:$BG$252))*100))</x:f>
      </x:c>
      <x:c r="BI121">
        <x:f>IF(AC121="","",LOG10(AC121+1))</x:f>
      </x:c>
      <x:c r="BJ121" s="10">
        <x:f>IF(BI121="","",IF(MAX($BI$2:$BI$252)-MIN($BI$2:$BI$252)=0,"",(BI121-MIN($BI$2:$BI$252))/(MAX($BI$2:$BI$252)-MIN($BI$2:$BI$252))*100))</x:f>
      </x:c>
      <x:c r="BK121">
        <x:f>IF(AD121="","",(AD121*2)+(AE121*1))</x:f>
      </x:c>
      <x:c r="BL121" s="10">
        <x:f>IF(BK121="","",IF(MAX($BK$2:$BK$252)-MIN($BK$2:$BK$252)=0,"",(BK121-MIN($BK$2:$BK$252))/(MAX($BK$2:$BK$252)-MIN($BK$2:$BK$252))*100))</x:f>
      </x:c>
      <x:c r="BM121" s="10">
        <x:f>IF(AB121="","",IF(MAX($AB$2:$AB$252)-MIN($AB$2:$AB$252)=0,"",(AB121-MIN($AB$2:$AB$252))/(MAX($AB$2:$AB$252)-MIN($AB$2:$AB$252))*100))</x:f>
      </x:c>
      <x:c r="BN121" s="10">
        <x:f>IF(X121="","",X121)</x:f>
      </x:c>
      <x:c r="BO121" s="10">
        <x:f>IF(X121="","",100-X121)</x:f>
      </x:c>
      <x:c r="BP121" s="10">
        <x:f>IF((Weights!$C$2*IF(BH121="",0,1)+Weights!$C$3*IF(BJ121="",0,1)+Weights!$C$4*IF(BL121="",0,1))=0,"",(Weights!$C$2*IF(BH121="",0,BH121)+Weights!$C$3*IF(BJ121="",0,BJ121)+Weights!$C$4*IF(BL121="",0,BL121))/(Weights!$C$2*IF(BH121="",0,1)+Weights!$C$3*IF(BJ121="",0,1)+Weights!$C$4*IF(BL121="",0,1)))</x:f>
      </x:c>
      <x:c r="BQ121" s="10">
        <x:f>IF((Weights!$C$5*IF(BA121="",0,1)+Weights!$C$6*IF(AW121="",0,1)+Weights!$C$7*IF(AU121="",0,1))=0,"",(Weights!$C$5*IF(BA121="",0,BA121)+Weights!$C$6*IF(AW121="",0,AW121)+Weights!$C$7*IF(AU121="",0,AU121))/(Weights!$C$5*IF(BA121="",0,1)+Weights!$C$6*IF(AW121="",0,1)+Weights!$C$7*IF(AU121="",0,1)))</x:f>
      </x:c>
      <x:c r="BR121" s="10">
        <x:f>IF((Weights!$C$8*IF(AW121="",0,1)+Weights!$C$9*IF(BC121="",0,1)+Weights!$C$10*IF(BF121="",0,1))=0,"",(Weights!$C$8*IF(AW121="",0,AW121)+Weights!$C$9*IF(BC121="",0,BC121)+Weights!$C$10*IF(BF121="",0,BF121))/(Weights!$C$8*IF(AW121="",0,1)+Weights!$C$9*IF(BC121="",0,1)+Weights!$C$10*IF(BF121="",0,1)))</x:f>
      </x:c>
      <x:c r="BS121" s="10">
        <x:f>IF(Y121="","",Y121)</x:f>
      </x:c>
      <x:c r="BT121" s="10">
        <x:f>IF(AS121="","",AS121)</x:f>
      </x:c>
      <x:c r="BU121" s="10">
        <x:f>IF(AJ121&lt;&gt;"",(0.6*AJ121+0.4*AU121),IF((Weights!$C$11*IF(AU121="",0,1)+Weights!$C$12*IF(BM121="",0,1))=0,"",(Weights!$C$11*IF(AU121="",0,AU121)+Weights!$C$12*IF(BM121="",0,BM121))/(Weights!$C$11*IF(AU121="",0,1)+Weights!$C$12*IF(BM121="",0,1))))</x:f>
      </x:c>
      <x:c r="BV121" s="10">
        <x:f>IF(CG121="",0,CG121)</x:f>
      </x:c>
      <x:c r="BW121" s="10">
        <x:f>IF(AP121="","",AP121)</x:f>
      </x:c>
      <x:c r="BX121" s="10">
        <x:f>IF(AO121="","",AO121)</x:f>
      </x:c>
      <x:c r="BY121" s="10">
        <x:f>IF(AL121="","",AL121)</x:f>
      </x:c>
      <x:c r="BZ121" s="10">
        <x:f>IF(AM121="","",AM121)</x:f>
      </x:c>
      <x:c r="CA121" s="10">
        <x:f>IF(AK121&lt;&gt;"",AK121,AW121)</x:f>
      </x:c>
      <x:c r="CB121" s="10">
        <x:f>IF((Weights!$C$13*IF(BP121="",0,1)+Weights!$C$14*IF(BR121="",0,1)+Weights!$C$15*IF(BQ121="",0,1)+Weights!$C$16*IF(BS121="",0,1)+Weights!$C$17*IF(BU121="",0,1)+Weights!$C$18*IF(BT121="",0,1)+Weights!$C$19*IF(BW121="",0,1)+Weights!$C$20*IF(BZ121="",0,1)+Weights!$C$21*IF(BO121="",0,1)+Weights!$C$22)=0,"",(Weights!$C$13*IF(BP121="",0,BP121)+Weights!$C$14*IF(BR121="",0,BR121)+Weights!$C$15*IF(BQ121="",0,BQ121)+Weights!$C$16*IF(BS121="",0,BS121)+Weights!$C$17*IF(BU121="",0,BU121)+Weights!$C$18*IF(BT121="",0,BT121)+Weights!$C$19*IF(BW121="",0,BW121)+Weights!$C$20*IF(BZ121="",0,BZ121)+Weights!$C$21*IF(BO121="",0,BO121)+Weights!$C$22*BV121)/(Weights!$C$13*IF(BP121="",0,1)+Weights!$C$14*IF(BR121="",0,1)+Weights!$C$15*IF(BQ121="",0,1)+Weights!$C$16*IF(BS121="",0,1)+Weights!$C$17*IF(BU121="",0,1)+Weights!$C$18*IF(BT121="",0,1)+Weights!$C$19*IF(BW121="",0,1)+Weights!$C$20*IF(BZ121="",0,1)+Weights!$C$21*IF(BO121="",0,1)+Weights!$C$22))</x:f>
      </x:c>
      <x:c r="CC121" s="10">
        <x:f>IF((Weights!$C$23*IF(BQ121="",0,1)+Weights!$C$24*IF(BN121="",0,1)+Weights!$C$25*IF(BS121="",0,1)+Weights!$C$26*IF(BY121="",0,1)+Weights!$C$27*IF(BX121="",0,1)+Weights!$C$28*IF(BT121="",0,1)+Weights!$C$29*IF(CA121="",0,1)+Weights!$C$30+Weights!$C$31*IF(BU121="",0,1))=0,"",(Weights!$C$23*IF(BQ121="",0,BQ121)+Weights!$C$24*IF(BN121="",0,BN121)+Weights!$C$25*IF(BS121="",0,BS121)+Weights!$C$26*IF(BY121="",0,BY121)+Weights!$C$27*IF(BX121="",0,BX121)+Weights!$C$28*IF(BT121="",0,BT121)+Weights!$C$29*IF(CA121="",0,CA121)+Weights!$C$30*BV121+Weights!$C$31*IF(BU121="",0,BU121))/(Weights!$C$23*IF(BQ121="",0,1)+Weights!$C$24*IF(BN121="",0,1)+Weights!$C$25*IF(BS121="",0,1)+Weights!$C$26*IF(BY121="",0,1)+Weights!$C$27*IF(BX121="",0,1)+Weights!$C$28*IF(BT121="",0,1)+Weights!$C$29*IF(CA121="",0,1)+Weights!$C$30+Weights!$C$31*IF(BU121="",0,1)))</x:f>
      </x:c>
      <x:c r="CD121" s="10">
        <x:f>IF(AND(CB121="",CC121=""),"",IF(CB121="",CC121,IF(CC121="",CB121,AVERAGE(CB121,CC121))))</x:f>
      </x:c>
      <x:c r="CE121" s="7">
        <x:f>ROUND(100*((IF(BP121&lt;&gt;"",1,0)+IF(BQ121&lt;&gt;"",1,0)+IF(BR121&lt;&gt;"",1,0)+IF(BS121&lt;&gt;"",1,0)+IF(BU121&lt;&gt;"",1,0)+IF(BT121&lt;&gt;"",1,0)+IF(BN121&lt;&gt;"",1,0)+IF(AW121&lt;&gt;"",1,0))/8),0)</x:f>
      </x:c>
      <x:c r="CF121">
        <x:f>IF(V121="","",LOG10(V121+1))</x:f>
      </x:c>
      <x:c r="CG121">
        <x:f>IF(CF121="","",IF(MAX($CF$2:$CF$252)-MIN($CF$2:$CF$252)=0,"",(CF121-MIN($CF$2:$CF$252))/(MAX($CF$2:$CF$252)-MIN($CF$2:$CF$252))*100))</x:f>
      </x:c>
    </x:row>
    <x:row r="122">
      <x:c r="A122" t="inlineStr">
        <x:is>
          <x:t xml:space="preserve">AUT</x:t>
        </x:is>
      </x:c>
      <x:c r="B122" t="inlineStr">
        <x:is>
          <x:t xml:space="preserve">Austria</x:t>
        </x:is>
      </x:c>
      <x:c r="C122" t="inlineStr">
        <x:is>
          <x:t xml:space="preserve">Europe &amp; Central Asia</x:t>
        </x:is>
      </x:c>
      <x:c r="D122" t="inlineStr">
        <x:is>
          <x:t xml:space="preserve">High income</x:t>
        </x:is>
      </x:c>
      <x:c r="E122" t="inlineStr">
        <x:is>
          <x:t xml:space="preserve">Europe</x:t>
        </x:is>
      </x:c>
      <x:c r="F122" t="n">
        <x:v>2024</x:v>
      </x:c>
      <x:c r="G122" t="n">
        <x:v>9177982</x:v>
      </x:c>
      <x:c r="H122" t="n">
        <x:v>2020</x:v>
      </x:c>
      <x:c r="I122" t="n">
        <x:v>23000</x:v>
      </x:c>
      <x:c r="J122" t="n">
        <x:v>14950</x:v>
      </x:c>
      <x:c r="K122" t="n">
        <x:v>4600</x:v>
      </x:c>
      <x:c r="L122" t="n">
        <x:v>2760</x:v>
      </x:c>
      <x:c r="M122" t="n">
        <x:v>2024</x:v>
      </x:c>
      <x:c r="N122" s="8" t="n">
        <x:v>5258693991.82582</x:v>
      </x:c>
      <x:c r="O122" s="9" t="n">
        <x:v>0.9998431770366411</x:v>
      </x:c>
      <x:c r="P122" s="8" t="n">
        <x:v>228638.8692098183</x:v>
      </x:c>
      <x:c r="Q122" t="n">
        <x:v>2024</x:v>
      </x:c>
      <x:c r="R122" s="8" t="n">
        <x:v>534790720466.822</x:v>
      </x:c>
      <x:c r="S122" t="n">
        <x:v>2</x:v>
      </x:c>
      <x:c r="T122" t="n">
        <x:v>0</x:v>
      </x:c>
      <x:c r="U122" t="inlineStr">
        <x:is>
          <x:t xml:space="preserve">No</x:t>
        </x:is>
      </x:c>
      <x:c r="W122" t="inlineStr">
        <x:is>
          <x:t xml:space="preserve">No</x:t>
        </x:is>
      </x:c>
      <x:c r="X122" t="n">
        <x:v>20.58242298547406</x:v>
      </x:c>
      <x:c r="Y122" t="n">
        <x:v>79.45818260197942</x:v>
      </x:c>
      <x:c r="Z122" t="n">
        <x:v>85064.89515859495</x:v>
      </x:c>
      <x:c r="AA122" t="n">
        <x:v>102.9145217151949</x:v>
      </x:c>
      <x:c r="AB122" s="8" t="n">
        <x:v>47587.42819193017</x:v>
      </x:c>
      <x:c r="AR122">
        <x:f>IF(G122="","",LOG10(G122+1))</x:f>
      </x:c>
      <x:c r="AS122" s="10">
        <x:f>IF(AR122="","",IF(MAX($AR$2:$AR$252)-MIN($AR$2:$AR$252)=0,"",(AR122-MIN($AR$2:$AR$252))/(MAX($AR$2:$AR$252)-MIN($AR$2:$AR$252))*100))</x:f>
      </x:c>
      <x:c r="AT122">
        <x:f>IF(R122="","",LOG10(R122+1))</x:f>
      </x:c>
      <x:c r="AU122" s="10">
        <x:f>IF(AT122="","",IF(MAX($AT$2:$AT$252)-MIN($AT$2:$AT$252)=0,"",(AT122-MIN($AT$2:$AT$252))/(MAX($AT$2:$AT$252)-MIN($AT$2:$AT$252))*100))</x:f>
      </x:c>
      <x:c r="AV122">
        <x:f>IF(N122="","",LOG10(N122+1))</x:f>
      </x:c>
      <x:c r="AW122" s="10">
        <x:f>IF(AV122="","",IF(MAX($AV$2:$AV$252)-MIN($AV$2:$AV$252)=0,"",(AV122-MIN($AV$2:$AV$252))/(MAX($AV$2:$AV$252)-MIN($AV$2:$AV$252))*100))</x:f>
      </x:c>
      <x:c r="AX122">
        <x:f>IF(I122="","",LOG10(I122+1))</x:f>
      </x:c>
      <x:c r="AY122" s="10">
        <x:f>IF(AX122="","",IF(MAX($AX$2:$AX$252)-MIN($AX$2:$AX$252)=0,"",(AX122-MIN($AX$2:$AX$252))/(MAX($AX$2:$AX$252)-MIN($AX$2:$AX$252))*100))</x:f>
      </x:c>
      <x:c r="AZ122">
        <x:f>IF(J122="","",LOG10(J122+1))</x:f>
      </x:c>
      <x:c r="BA122" s="10">
        <x:f>IF(AZ122="","",IF(MAX($AZ$2:$AZ$252)-MIN($AZ$2:$AZ$252)=0,"",(AZ122-MIN($AZ$2:$AZ$252))/(MAX($AZ$2:$AZ$252)-MIN($AZ$2:$AZ$252))*100))</x:f>
      </x:c>
      <x:c r="BB122">
        <x:f>IF(K122="","",LOG10(K122+1))</x:f>
      </x:c>
      <x:c r="BC122" s="10">
        <x:f>IF(BB122="","",IF(MAX($BB$2:$BB$252)-MIN($BB$2:$BB$252)=0,"",(BB122-MIN($BB$2:$BB$252))/(MAX($BB$2:$BB$252)-MIN($BB$2:$BB$252))*100))</x:f>
      </x:c>
      <x:c r="BD122">
        <x:f>IF(L122="","",LOG10(L122+1))</x:f>
      </x:c>
      <x:c r="BE122" s="10">
        <x:f>IF(BD122="","",IF(MAX($BD$2:$BD$252)-MIN($BD$2:$BD$252)=0,"",(BD122-MIN($BD$2:$BD$252))/(MAX($BD$2:$BD$252)-MIN($BD$2:$BD$252))*100))</x:f>
      </x:c>
      <x:c r="BF122" s="10">
        <x:f>IF(P122="","",IF(MAX($P$2:$P$252)-MIN($P$2:$P$252)=0,"",(P122-MIN($P$2:$P$252))/(MAX($P$2:$P$252)-MIN($P$2:$P$252))*100))</x:f>
      </x:c>
      <x:c r="BG122">
        <x:f>IF(AF122="","",LOG10(AF122+1))</x:f>
      </x:c>
      <x:c r="BH122" s="10">
        <x:f>IF(BG122="","",IF(MAX($BG$2:$BG$252)-MIN($BG$2:$BG$252)=0,"",(BG122-MIN($BG$2:$BG$252))/(MAX($BG$2:$BG$252)-MIN($BG$2:$BG$252))*100))</x:f>
      </x:c>
      <x:c r="BI122">
        <x:f>IF(AC122="","",LOG10(AC122+1))</x:f>
      </x:c>
      <x:c r="BJ122" s="10">
        <x:f>IF(BI122="","",IF(MAX($BI$2:$BI$252)-MIN($BI$2:$BI$252)=0,"",(BI122-MIN($BI$2:$BI$252))/(MAX($BI$2:$BI$252)-MIN($BI$2:$BI$252))*100))</x:f>
      </x:c>
      <x:c r="BK122">
        <x:f>IF(AD122="","",(AD122*2)+(AE122*1))</x:f>
      </x:c>
      <x:c r="BL122" s="10">
        <x:f>IF(BK122="","",IF(MAX($BK$2:$BK$252)-MIN($BK$2:$BK$252)=0,"",(BK122-MIN($BK$2:$BK$252))/(MAX($BK$2:$BK$252)-MIN($BK$2:$BK$252))*100))</x:f>
      </x:c>
      <x:c r="BM122" s="10">
        <x:f>IF(AB122="","",IF(MAX($AB$2:$AB$252)-MIN($AB$2:$AB$252)=0,"",(AB122-MIN($AB$2:$AB$252))/(MAX($AB$2:$AB$252)-MIN($AB$2:$AB$252))*100))</x:f>
      </x:c>
      <x:c r="BN122" s="10">
        <x:f>IF(X122="","",X122)</x:f>
      </x:c>
      <x:c r="BO122" s="10">
        <x:f>IF(X122="","",100-X122)</x:f>
      </x:c>
      <x:c r="BP122" s="10">
        <x:f>IF((Weights!$C$2*IF(BH122="",0,1)+Weights!$C$3*IF(BJ122="",0,1)+Weights!$C$4*IF(BL122="",0,1))=0,"",(Weights!$C$2*IF(BH122="",0,BH122)+Weights!$C$3*IF(BJ122="",0,BJ122)+Weights!$C$4*IF(BL122="",0,BL122))/(Weights!$C$2*IF(BH122="",0,1)+Weights!$C$3*IF(BJ122="",0,1)+Weights!$C$4*IF(BL122="",0,1)))</x:f>
      </x:c>
      <x:c r="BQ122" s="10">
        <x:f>IF((Weights!$C$5*IF(BA122="",0,1)+Weights!$C$6*IF(AW122="",0,1)+Weights!$C$7*IF(AU122="",0,1))=0,"",(Weights!$C$5*IF(BA122="",0,BA122)+Weights!$C$6*IF(AW122="",0,AW122)+Weights!$C$7*IF(AU122="",0,AU122))/(Weights!$C$5*IF(BA122="",0,1)+Weights!$C$6*IF(AW122="",0,1)+Weights!$C$7*IF(AU122="",0,1)))</x:f>
      </x:c>
      <x:c r="BR122" s="10">
        <x:f>IF((Weights!$C$8*IF(AW122="",0,1)+Weights!$C$9*IF(BC122="",0,1)+Weights!$C$10*IF(BF122="",0,1))=0,"",(Weights!$C$8*IF(AW122="",0,AW122)+Weights!$C$9*IF(BC122="",0,BC122)+Weights!$C$10*IF(BF122="",0,BF122))/(Weights!$C$8*IF(AW122="",0,1)+Weights!$C$9*IF(BC122="",0,1)+Weights!$C$10*IF(BF122="",0,1)))</x:f>
      </x:c>
      <x:c r="BS122" s="10">
        <x:f>IF(Y122="","",Y122)</x:f>
      </x:c>
      <x:c r="BT122" s="10">
        <x:f>IF(AS122="","",AS122)</x:f>
      </x:c>
      <x:c r="BU122" s="10">
        <x:f>IF(AJ122&lt;&gt;"",(0.6*AJ122+0.4*AU122),IF((Weights!$C$11*IF(AU122="",0,1)+Weights!$C$12*IF(BM122="",0,1))=0,"",(Weights!$C$11*IF(AU122="",0,AU122)+Weights!$C$12*IF(BM122="",0,BM122))/(Weights!$C$11*IF(AU122="",0,1)+Weights!$C$12*IF(BM122="",0,1))))</x:f>
      </x:c>
      <x:c r="BV122" s="10">
        <x:f>IF(CG122="",0,CG122)</x:f>
      </x:c>
      <x:c r="BW122" s="10">
        <x:f>IF(AP122="","",AP122)</x:f>
      </x:c>
      <x:c r="BX122" s="10">
        <x:f>IF(AO122="","",AO122)</x:f>
      </x:c>
      <x:c r="BY122" s="10">
        <x:f>IF(AL122="","",AL122)</x:f>
      </x:c>
      <x:c r="BZ122" s="10">
        <x:f>IF(AM122="","",AM122)</x:f>
      </x:c>
      <x:c r="CA122" s="10">
        <x:f>IF(AK122&lt;&gt;"",AK122,AW122)</x:f>
      </x:c>
      <x:c r="CB122" s="10">
        <x:f>IF((Weights!$C$13*IF(BP122="",0,1)+Weights!$C$14*IF(BR122="",0,1)+Weights!$C$15*IF(BQ122="",0,1)+Weights!$C$16*IF(BS122="",0,1)+Weights!$C$17*IF(BU122="",0,1)+Weights!$C$18*IF(BT122="",0,1)+Weights!$C$19*IF(BW122="",0,1)+Weights!$C$20*IF(BZ122="",0,1)+Weights!$C$21*IF(BO122="",0,1)+Weights!$C$22)=0,"",(Weights!$C$13*IF(BP122="",0,BP122)+Weights!$C$14*IF(BR122="",0,BR122)+Weights!$C$15*IF(BQ122="",0,BQ122)+Weights!$C$16*IF(BS122="",0,BS122)+Weights!$C$17*IF(BU122="",0,BU122)+Weights!$C$18*IF(BT122="",0,BT122)+Weights!$C$19*IF(BW122="",0,BW122)+Weights!$C$20*IF(BZ122="",0,BZ122)+Weights!$C$21*IF(BO122="",0,BO122)+Weights!$C$22*BV122)/(Weights!$C$13*IF(BP122="",0,1)+Weights!$C$14*IF(BR122="",0,1)+Weights!$C$15*IF(BQ122="",0,1)+Weights!$C$16*IF(BS122="",0,1)+Weights!$C$17*IF(BU122="",0,1)+Weights!$C$18*IF(BT122="",0,1)+Weights!$C$19*IF(BW122="",0,1)+Weights!$C$20*IF(BZ122="",0,1)+Weights!$C$21*IF(BO122="",0,1)+Weights!$C$22))</x:f>
      </x:c>
      <x:c r="CC122" s="10">
        <x:f>IF((Weights!$C$23*IF(BQ122="",0,1)+Weights!$C$24*IF(BN122="",0,1)+Weights!$C$25*IF(BS122="",0,1)+Weights!$C$26*IF(BY122="",0,1)+Weights!$C$27*IF(BX122="",0,1)+Weights!$C$28*IF(BT122="",0,1)+Weights!$C$29*IF(CA122="",0,1)+Weights!$C$30+Weights!$C$31*IF(BU122="",0,1))=0,"",(Weights!$C$23*IF(BQ122="",0,BQ122)+Weights!$C$24*IF(BN122="",0,BN122)+Weights!$C$25*IF(BS122="",0,BS122)+Weights!$C$26*IF(BY122="",0,BY122)+Weights!$C$27*IF(BX122="",0,BX122)+Weights!$C$28*IF(BT122="",0,BT122)+Weights!$C$29*IF(CA122="",0,CA122)+Weights!$C$30*BV122+Weights!$C$31*IF(BU122="",0,BU122))/(Weights!$C$23*IF(BQ122="",0,1)+Weights!$C$24*IF(BN122="",0,1)+Weights!$C$25*IF(BS122="",0,1)+Weights!$C$26*IF(BY122="",0,1)+Weights!$C$27*IF(BX122="",0,1)+Weights!$C$28*IF(BT122="",0,1)+Weights!$C$29*IF(CA122="",0,1)+Weights!$C$30+Weights!$C$31*IF(BU122="",0,1)))</x:f>
      </x:c>
      <x:c r="CD122" s="10">
        <x:f>IF(AND(CB122="",CC122=""),"",IF(CB122="",CC122,IF(CC122="",CB122,AVERAGE(CB122,CC122))))</x:f>
      </x:c>
      <x:c r="CE122" s="7">
        <x:f>ROUND(100*((IF(BP122&lt;&gt;"",1,0)+IF(BQ122&lt;&gt;"",1,0)+IF(BR122&lt;&gt;"",1,0)+IF(BS122&lt;&gt;"",1,0)+IF(BU122&lt;&gt;"",1,0)+IF(BT122&lt;&gt;"",1,0)+IF(BN122&lt;&gt;"",1,0)+IF(AW122&lt;&gt;"",1,0))/8),0)</x:f>
      </x:c>
      <x:c r="CF122">
        <x:f>IF(V122="","",LOG10(V122+1))</x:f>
      </x:c>
      <x:c r="CG122">
        <x:f>IF(CF122="","",IF(MAX($CF$2:$CF$252)-MIN($CF$2:$CF$252)=0,"",(CF122-MIN($CF$2:$CF$252))/(MAX($CF$2:$CF$252)-MIN($CF$2:$CF$252))*100))</x:f>
      </x:c>
    </x:row>
    <x:row r="123">
      <x:c r="A123" t="inlineStr">
        <x:is>
          <x:t xml:space="preserve">AZE</x:t>
        </x:is>
      </x:c>
      <x:c r="B123" t="inlineStr">
        <x:is>
          <x:t xml:space="preserve">Azerbaijan</x:t>
        </x:is>
      </x:c>
      <x:c r="C123" t="inlineStr">
        <x:is>
          <x:t xml:space="preserve">Europe &amp; Central Asia</x:t>
        </x:is>
      </x:c>
      <x:c r="D123" t="inlineStr">
        <x:is>
          <x:t xml:space="preserve">Upper middle income</x:t>
        </x:is>
      </x:c>
      <x:c r="E123" t="inlineStr">
        <x:is>
          <x:t xml:space="preserve">Asia</x:t>
        </x:is>
      </x:c>
      <x:c r="F123" t="n">
        <x:v>2024</x:v>
      </x:c>
      <x:c r="G123" t="n">
        <x:v>10202830</x:v>
      </x:c>
      <x:c r="H123" t="n">
        <x:v>2020</x:v>
      </x:c>
      <x:c r="I123" t="n">
        <x:v>82000</x:v>
      </x:c>
      <x:c r="J123" t="n">
        <x:v>53300</x:v>
      </x:c>
      <x:c r="K123" t="n">
        <x:v>16400</x:v>
      </x:c>
      <x:c r="L123" t="n">
        <x:v>9840</x:v>
      </x:c>
      <x:c r="M123" t="n">
        <x:v>2024</x:v>
      </x:c>
      <x:c r="N123" s="8" t="n">
        <x:v>3777088235.29412</x:v>
      </x:c>
      <x:c r="O123" s="9" t="n">
        <x:v>4.99292395978321</x:v>
      </x:c>
      <x:c r="P123" s="8" t="n">
        <x:v>46062.05164992829</x:v>
      </x:c>
      <x:c r="Q123" t="n">
        <x:v>2024</x:v>
      </x:c>
      <x:c r="R123" s="8" t="n">
        <x:v>74315882352.94119</x:v>
      </x:c>
      <x:c r="S123" t="n">
        <x:v>2</x:v>
      </x:c>
      <x:c r="T123" t="n">
        <x:v>0</x:v>
      </x:c>
      <x:c r="U123" t="inlineStr">
        <x:is>
          <x:t xml:space="preserve">No</x:t>
        </x:is>
      </x:c>
      <x:c r="W123" t="inlineStr">
        <x:is>
          <x:t xml:space="preserve">No</x:t>
        </x:is>
      </x:c>
      <x:c r="X123" t="n">
        <x:v>37.07153982445145</x:v>
      </x:c>
      <x:c r="Y123" t="n">
        <x:v>64.63523150061286</x:v>
      </x:c>
      <x:c r="Z123" t="n">
        <x:v>91113.25415431292</x:v>
      </x:c>
      <x:c r="AA123" t="n">
        <x:v>109.3298235526633</x:v>
      </x:c>
      <x:c r="AB123" s="8" t="n">
        <x:v>16855.06730181192</x:v>
      </x:c>
      <x:c r="AC123" t="n">
        <x:v>24</x:v>
      </x:c>
      <x:c r="AD123" t="n">
        <x:v>0</x:v>
      </x:c>
      <x:c r="AE123" t="n">
        <x:v>0</x:v>
      </x:c>
      <x:c r="AR123">
        <x:f>IF(G123="","",LOG10(G123+1))</x:f>
      </x:c>
      <x:c r="AS123" s="10">
        <x:f>IF(AR123="","",IF(MAX($AR$2:$AR$252)-MIN($AR$2:$AR$252)=0,"",(AR123-MIN($AR$2:$AR$252))/(MAX($AR$2:$AR$252)-MIN($AR$2:$AR$252))*100))</x:f>
      </x:c>
      <x:c r="AT123">
        <x:f>IF(R123="","",LOG10(R123+1))</x:f>
      </x:c>
      <x:c r="AU123" s="10">
        <x:f>IF(AT123="","",IF(MAX($AT$2:$AT$252)-MIN($AT$2:$AT$252)=0,"",(AT123-MIN($AT$2:$AT$252))/(MAX($AT$2:$AT$252)-MIN($AT$2:$AT$252))*100))</x:f>
      </x:c>
      <x:c r="AV123">
        <x:f>IF(N123="","",LOG10(N123+1))</x:f>
      </x:c>
      <x:c r="AW123" s="10">
        <x:f>IF(AV123="","",IF(MAX($AV$2:$AV$252)-MIN($AV$2:$AV$252)=0,"",(AV123-MIN($AV$2:$AV$252))/(MAX($AV$2:$AV$252)-MIN($AV$2:$AV$252))*100))</x:f>
      </x:c>
      <x:c r="AX123">
        <x:f>IF(I123="","",LOG10(I123+1))</x:f>
      </x:c>
      <x:c r="AY123" s="10">
        <x:f>IF(AX123="","",IF(MAX($AX$2:$AX$252)-MIN($AX$2:$AX$252)=0,"",(AX123-MIN($AX$2:$AX$252))/(MAX($AX$2:$AX$252)-MIN($AX$2:$AX$252))*100))</x:f>
      </x:c>
      <x:c r="AZ123">
        <x:f>IF(J123="","",LOG10(J123+1))</x:f>
      </x:c>
      <x:c r="BA123" s="10">
        <x:f>IF(AZ123="","",IF(MAX($AZ$2:$AZ$252)-MIN($AZ$2:$AZ$252)=0,"",(AZ123-MIN($AZ$2:$AZ$252))/(MAX($AZ$2:$AZ$252)-MIN($AZ$2:$AZ$252))*100))</x:f>
      </x:c>
      <x:c r="BB123">
        <x:f>IF(K123="","",LOG10(K123+1))</x:f>
      </x:c>
      <x:c r="BC123" s="10">
        <x:f>IF(BB123="","",IF(MAX($BB$2:$BB$252)-MIN($BB$2:$BB$252)=0,"",(BB123-MIN($BB$2:$BB$252))/(MAX($BB$2:$BB$252)-MIN($BB$2:$BB$252))*100))</x:f>
      </x:c>
      <x:c r="BD123">
        <x:f>IF(L123="","",LOG10(L123+1))</x:f>
      </x:c>
      <x:c r="BE123" s="10">
        <x:f>IF(BD123="","",IF(MAX($BD$2:$BD$252)-MIN($BD$2:$BD$252)=0,"",(BD123-MIN($BD$2:$BD$252))/(MAX($BD$2:$BD$252)-MIN($BD$2:$BD$252))*100))</x:f>
      </x:c>
      <x:c r="BF123" s="10">
        <x:f>IF(P123="","",IF(MAX($P$2:$P$252)-MIN($P$2:$P$252)=0,"",(P123-MIN($P$2:$P$252))/(MAX($P$2:$P$252)-MIN($P$2:$P$252))*100))</x:f>
      </x:c>
      <x:c r="BG123">
        <x:f>IF(AF123="","",LOG10(AF123+1))</x:f>
      </x:c>
      <x:c r="BH123" s="10">
        <x:f>IF(BG123="","",IF(MAX($BG$2:$BG$252)-MIN($BG$2:$BG$252)=0,"",(BG123-MIN($BG$2:$BG$252))/(MAX($BG$2:$BG$252)-MIN($BG$2:$BG$252))*100))</x:f>
      </x:c>
      <x:c r="BI123">
        <x:f>IF(AC123="","",LOG10(AC123+1))</x:f>
      </x:c>
      <x:c r="BJ123" s="10">
        <x:f>IF(BI123="","",IF(MAX($BI$2:$BI$252)-MIN($BI$2:$BI$252)=0,"",(BI123-MIN($BI$2:$BI$252))/(MAX($BI$2:$BI$252)-MIN($BI$2:$BI$252))*100))</x:f>
      </x:c>
      <x:c r="BK123">
        <x:f>IF(AD123="","",(AD123*2)+(AE123*1))</x:f>
      </x:c>
      <x:c r="BL123" s="10">
        <x:f>IF(BK123="","",IF(MAX($BK$2:$BK$252)-MIN($BK$2:$BK$252)=0,"",(BK123-MIN($BK$2:$BK$252))/(MAX($BK$2:$BK$252)-MIN($BK$2:$BK$252))*100))</x:f>
      </x:c>
      <x:c r="BM123" s="10">
        <x:f>IF(AB123="","",IF(MAX($AB$2:$AB$252)-MIN($AB$2:$AB$252)=0,"",(AB123-MIN($AB$2:$AB$252))/(MAX($AB$2:$AB$252)-MIN($AB$2:$AB$252))*100))</x:f>
      </x:c>
      <x:c r="BN123" s="10">
        <x:f>IF(X123="","",X123)</x:f>
      </x:c>
      <x:c r="BO123" s="10">
        <x:f>IF(X123="","",100-X123)</x:f>
      </x:c>
      <x:c r="BP123" s="10">
        <x:f>IF((Weights!$C$2*IF(BH123="",0,1)+Weights!$C$3*IF(BJ123="",0,1)+Weights!$C$4*IF(BL123="",0,1))=0,"",(Weights!$C$2*IF(BH123="",0,BH123)+Weights!$C$3*IF(BJ123="",0,BJ123)+Weights!$C$4*IF(BL123="",0,BL123))/(Weights!$C$2*IF(BH123="",0,1)+Weights!$C$3*IF(BJ123="",0,1)+Weights!$C$4*IF(BL123="",0,1)))</x:f>
      </x:c>
      <x:c r="BQ123" s="10">
        <x:f>IF((Weights!$C$5*IF(BA123="",0,1)+Weights!$C$6*IF(AW123="",0,1)+Weights!$C$7*IF(AU123="",0,1))=0,"",(Weights!$C$5*IF(BA123="",0,BA123)+Weights!$C$6*IF(AW123="",0,AW123)+Weights!$C$7*IF(AU123="",0,AU123))/(Weights!$C$5*IF(BA123="",0,1)+Weights!$C$6*IF(AW123="",0,1)+Weights!$C$7*IF(AU123="",0,1)))</x:f>
      </x:c>
      <x:c r="BR123" s="10">
        <x:f>IF((Weights!$C$8*IF(AW123="",0,1)+Weights!$C$9*IF(BC123="",0,1)+Weights!$C$10*IF(BF123="",0,1))=0,"",(Weights!$C$8*IF(AW123="",0,AW123)+Weights!$C$9*IF(BC123="",0,BC123)+Weights!$C$10*IF(BF123="",0,BF123))/(Weights!$C$8*IF(AW123="",0,1)+Weights!$C$9*IF(BC123="",0,1)+Weights!$C$10*IF(BF123="",0,1)))</x:f>
      </x:c>
      <x:c r="BS123" s="10">
        <x:f>IF(Y123="","",Y123)</x:f>
      </x:c>
      <x:c r="BT123" s="10">
        <x:f>IF(AS123="","",AS123)</x:f>
      </x:c>
      <x:c r="BU123" s="10">
        <x:f>IF(AJ123&lt;&gt;"",(0.6*AJ123+0.4*AU123),IF((Weights!$C$11*IF(AU123="",0,1)+Weights!$C$12*IF(BM123="",0,1))=0,"",(Weights!$C$11*IF(AU123="",0,AU123)+Weights!$C$12*IF(BM123="",0,BM123))/(Weights!$C$11*IF(AU123="",0,1)+Weights!$C$12*IF(BM123="",0,1))))</x:f>
      </x:c>
      <x:c r="BV123" s="10">
        <x:f>IF(CG123="",0,CG123)</x:f>
      </x:c>
      <x:c r="BW123" s="10">
        <x:f>IF(AP123="","",AP123)</x:f>
      </x:c>
      <x:c r="BX123" s="10">
        <x:f>IF(AO123="","",AO123)</x:f>
      </x:c>
      <x:c r="BY123" s="10">
        <x:f>IF(AL123="","",AL123)</x:f>
      </x:c>
      <x:c r="BZ123" s="10">
        <x:f>IF(AM123="","",AM123)</x:f>
      </x:c>
      <x:c r="CA123" s="10">
        <x:f>IF(AK123&lt;&gt;"",AK123,AW123)</x:f>
      </x:c>
      <x:c r="CB123" s="10">
        <x:f>IF((Weights!$C$13*IF(BP123="",0,1)+Weights!$C$14*IF(BR123="",0,1)+Weights!$C$15*IF(BQ123="",0,1)+Weights!$C$16*IF(BS123="",0,1)+Weights!$C$17*IF(BU123="",0,1)+Weights!$C$18*IF(BT123="",0,1)+Weights!$C$19*IF(BW123="",0,1)+Weights!$C$20*IF(BZ123="",0,1)+Weights!$C$21*IF(BO123="",0,1)+Weights!$C$22)=0,"",(Weights!$C$13*IF(BP123="",0,BP123)+Weights!$C$14*IF(BR123="",0,BR123)+Weights!$C$15*IF(BQ123="",0,BQ123)+Weights!$C$16*IF(BS123="",0,BS123)+Weights!$C$17*IF(BU123="",0,BU123)+Weights!$C$18*IF(BT123="",0,BT123)+Weights!$C$19*IF(BW123="",0,BW123)+Weights!$C$20*IF(BZ123="",0,BZ123)+Weights!$C$21*IF(BO123="",0,BO123)+Weights!$C$22*BV123)/(Weights!$C$13*IF(BP123="",0,1)+Weights!$C$14*IF(BR123="",0,1)+Weights!$C$15*IF(BQ123="",0,1)+Weights!$C$16*IF(BS123="",0,1)+Weights!$C$17*IF(BU123="",0,1)+Weights!$C$18*IF(BT123="",0,1)+Weights!$C$19*IF(BW123="",0,1)+Weights!$C$20*IF(BZ123="",0,1)+Weights!$C$21*IF(BO123="",0,1)+Weights!$C$22))</x:f>
      </x:c>
      <x:c r="CC123" s="10">
        <x:f>IF((Weights!$C$23*IF(BQ123="",0,1)+Weights!$C$24*IF(BN123="",0,1)+Weights!$C$25*IF(BS123="",0,1)+Weights!$C$26*IF(BY123="",0,1)+Weights!$C$27*IF(BX123="",0,1)+Weights!$C$28*IF(BT123="",0,1)+Weights!$C$29*IF(CA123="",0,1)+Weights!$C$30+Weights!$C$31*IF(BU123="",0,1))=0,"",(Weights!$C$23*IF(BQ123="",0,BQ123)+Weights!$C$24*IF(BN123="",0,BN123)+Weights!$C$25*IF(BS123="",0,BS123)+Weights!$C$26*IF(BY123="",0,BY123)+Weights!$C$27*IF(BX123="",0,BX123)+Weights!$C$28*IF(BT123="",0,BT123)+Weights!$C$29*IF(CA123="",0,CA123)+Weights!$C$30*BV123+Weights!$C$31*IF(BU123="",0,BU123))/(Weights!$C$23*IF(BQ123="",0,1)+Weights!$C$24*IF(BN123="",0,1)+Weights!$C$25*IF(BS123="",0,1)+Weights!$C$26*IF(BY123="",0,1)+Weights!$C$27*IF(BX123="",0,1)+Weights!$C$28*IF(BT123="",0,1)+Weights!$C$29*IF(CA123="",0,1)+Weights!$C$30+Weights!$C$31*IF(BU123="",0,1)))</x:f>
      </x:c>
      <x:c r="CD123" s="10">
        <x:f>IF(AND(CB123="",CC123=""),"",IF(CB123="",CC123,IF(CC123="",CB123,AVERAGE(CB123,CC123))))</x:f>
      </x:c>
      <x:c r="CE123" s="7">
        <x:f>ROUND(100*((IF(BP123&lt;&gt;"",1,0)+IF(BQ123&lt;&gt;"",1,0)+IF(BR123&lt;&gt;"",1,0)+IF(BS123&lt;&gt;"",1,0)+IF(BU123&lt;&gt;"",1,0)+IF(BT123&lt;&gt;"",1,0)+IF(BN123&lt;&gt;"",1,0)+IF(AW123&lt;&gt;"",1,0))/8),0)</x:f>
      </x:c>
      <x:c r="CF123">
        <x:f>IF(V123="","",LOG10(V123+1))</x:f>
      </x:c>
      <x:c r="CG123">
        <x:f>IF(CF123="","",IF(MAX($CF$2:$CF$252)-MIN($CF$2:$CF$252)=0,"",(CF123-MIN($CF$2:$CF$252))/(MAX($CF$2:$CF$252)-MIN($CF$2:$CF$252))*100))</x:f>
      </x:c>
    </x:row>
    <x:row r="124">
      <x:c r="A124" t="inlineStr">
        <x:is>
          <x:t xml:space="preserve">BLR</x:t>
        </x:is>
      </x:c>
      <x:c r="B124" t="inlineStr">
        <x:is>
          <x:t xml:space="preserve">Belarus</x:t>
        </x:is>
      </x:c>
      <x:c r="C124" t="inlineStr">
        <x:is>
          <x:t xml:space="preserve">Europe &amp; Central Asia</x:t>
        </x:is>
      </x:c>
      <x:c r="D124" t="inlineStr">
        <x:is>
          <x:t xml:space="preserve">Upper middle income</x:t>
        </x:is>
      </x:c>
      <x:c r="E124" t="inlineStr">
        <x:is>
          <x:t xml:space="preserve">Europe</x:t>
        </x:is>
      </x:c>
      <x:c r="F124" t="n">
        <x:v>2024</x:v>
      </x:c>
      <x:c r="G124" t="n">
        <x:v>9132629</x:v>
      </x:c>
      <x:c r="H124" t="n">
        <x:v>2020</x:v>
      </x:c>
      <x:c r="I124" t="n">
        <x:v>158000</x:v>
      </x:c>
      <x:c r="J124" t="n">
        <x:v>102700</x:v>
      </x:c>
      <x:c r="K124" t="n">
        <x:v>31600</x:v>
      </x:c>
      <x:c r="L124" t="n">
        <x:v>18960</x:v>
      </x:c>
      <x:c r="M124" t="n">
        <x:v>2024</x:v>
      </x:c>
      <x:c r="N124" s="8" t="n">
        <x:v>1491391768.48364</x:v>
      </x:c>
      <x:c r="O124" s="9" t="n">
        <x:v>2.07364910790144</x:v>
      </x:c>
      <x:c r="P124" s="8" t="n">
        <x:v>9439.188408124304</x:v>
      </x:c>
      <x:c r="Q124" t="n">
        <x:v>2024</x:v>
      </x:c>
      <x:c r="R124" s="8" t="n">
        <x:v>75961865471.9129</x:v>
      </x:c>
      <x:c r="S124" t="n">
        <x:v>2</x:v>
      </x:c>
      <x:c r="T124" t="n">
        <x:v>0</x:v>
      </x:c>
      <x:c r="U124" t="inlineStr">
        <x:is>
          <x:t xml:space="preserve">No</x:t>
        </x:is>
      </x:c>
      <x:c r="W124" t="inlineStr">
        <x:is>
          <x:t xml:space="preserve">No</x:t>
        </x:is>
      </x:c>
      <x:c r="X124" t="n">
        <x:v>11.16394582084155</x:v>
      </x:c>
      <x:c r="Y124" t="n">
        <x:v>59.63789670231606</x:v>
      </x:c>
      <x:c r="Z124" t="n">
        <x:v>208969.8297181311</x:v>
      </x:c>
      <x:c r="AA124" t="n">
        <x:v>45.69916630013612</x:v>
      </x:c>
      <x:c r="AB124" s="8" t="n">
        <x:v>17319.83056723911</x:v>
      </x:c>
      <x:c r="AR124">
        <x:f>IF(G124="","",LOG10(G124+1))</x:f>
      </x:c>
      <x:c r="AS124" s="10">
        <x:f>IF(AR124="","",IF(MAX($AR$2:$AR$252)-MIN($AR$2:$AR$252)=0,"",(AR124-MIN($AR$2:$AR$252))/(MAX($AR$2:$AR$252)-MIN($AR$2:$AR$252))*100))</x:f>
      </x:c>
      <x:c r="AT124">
        <x:f>IF(R124="","",LOG10(R124+1))</x:f>
      </x:c>
      <x:c r="AU124" s="10">
        <x:f>IF(AT124="","",IF(MAX($AT$2:$AT$252)-MIN($AT$2:$AT$252)=0,"",(AT124-MIN($AT$2:$AT$252))/(MAX($AT$2:$AT$252)-MIN($AT$2:$AT$252))*100))</x:f>
      </x:c>
      <x:c r="AV124">
        <x:f>IF(N124="","",LOG10(N124+1))</x:f>
      </x:c>
      <x:c r="AW124" s="10">
        <x:f>IF(AV124="","",IF(MAX($AV$2:$AV$252)-MIN($AV$2:$AV$252)=0,"",(AV124-MIN($AV$2:$AV$252))/(MAX($AV$2:$AV$252)-MIN($AV$2:$AV$252))*100))</x:f>
      </x:c>
      <x:c r="AX124">
        <x:f>IF(I124="","",LOG10(I124+1))</x:f>
      </x:c>
      <x:c r="AY124" s="10">
        <x:f>IF(AX124="","",IF(MAX($AX$2:$AX$252)-MIN($AX$2:$AX$252)=0,"",(AX124-MIN($AX$2:$AX$252))/(MAX($AX$2:$AX$252)-MIN($AX$2:$AX$252))*100))</x:f>
      </x:c>
      <x:c r="AZ124">
        <x:f>IF(J124="","",LOG10(J124+1))</x:f>
      </x:c>
      <x:c r="BA124" s="10">
        <x:f>IF(AZ124="","",IF(MAX($AZ$2:$AZ$252)-MIN($AZ$2:$AZ$252)=0,"",(AZ124-MIN($AZ$2:$AZ$252))/(MAX($AZ$2:$AZ$252)-MIN($AZ$2:$AZ$252))*100))</x:f>
      </x:c>
      <x:c r="BB124">
        <x:f>IF(K124="","",LOG10(K124+1))</x:f>
      </x:c>
      <x:c r="BC124" s="10">
        <x:f>IF(BB124="","",IF(MAX($BB$2:$BB$252)-MIN($BB$2:$BB$252)=0,"",(BB124-MIN($BB$2:$BB$252))/(MAX($BB$2:$BB$252)-MIN($BB$2:$BB$252))*100))</x:f>
      </x:c>
      <x:c r="BD124">
        <x:f>IF(L124="","",LOG10(L124+1))</x:f>
      </x:c>
      <x:c r="BE124" s="10">
        <x:f>IF(BD124="","",IF(MAX($BD$2:$BD$252)-MIN($BD$2:$BD$252)=0,"",(BD124-MIN($BD$2:$BD$252))/(MAX($BD$2:$BD$252)-MIN($BD$2:$BD$252))*100))</x:f>
      </x:c>
      <x:c r="BF124" s="10">
        <x:f>IF(P124="","",IF(MAX($P$2:$P$252)-MIN($P$2:$P$252)=0,"",(P124-MIN($P$2:$P$252))/(MAX($P$2:$P$252)-MIN($P$2:$P$252))*100))</x:f>
      </x:c>
      <x:c r="BG124">
        <x:f>IF(AF124="","",LOG10(AF124+1))</x:f>
      </x:c>
      <x:c r="BH124" s="10">
        <x:f>IF(BG124="","",IF(MAX($BG$2:$BG$252)-MIN($BG$2:$BG$252)=0,"",(BG124-MIN($BG$2:$BG$252))/(MAX($BG$2:$BG$252)-MIN($BG$2:$BG$252))*100))</x:f>
      </x:c>
      <x:c r="BI124">
        <x:f>IF(AC124="","",LOG10(AC124+1))</x:f>
      </x:c>
      <x:c r="BJ124" s="10">
        <x:f>IF(BI124="","",IF(MAX($BI$2:$BI$252)-MIN($BI$2:$BI$252)=0,"",(BI124-MIN($BI$2:$BI$252))/(MAX($BI$2:$BI$252)-MIN($BI$2:$BI$252))*100))</x:f>
      </x:c>
      <x:c r="BK124">
        <x:f>IF(AD124="","",(AD124*2)+(AE124*1))</x:f>
      </x:c>
      <x:c r="BL124" s="10">
        <x:f>IF(BK124="","",IF(MAX($BK$2:$BK$252)-MIN($BK$2:$BK$252)=0,"",(BK124-MIN($BK$2:$BK$252))/(MAX($BK$2:$BK$252)-MIN($BK$2:$BK$252))*100))</x:f>
      </x:c>
      <x:c r="BM124" s="10">
        <x:f>IF(AB124="","",IF(MAX($AB$2:$AB$252)-MIN($AB$2:$AB$252)=0,"",(AB124-MIN($AB$2:$AB$252))/(MAX($AB$2:$AB$252)-MIN($AB$2:$AB$252))*100))</x:f>
      </x:c>
      <x:c r="BN124" s="10">
        <x:f>IF(X124="","",X124)</x:f>
      </x:c>
      <x:c r="BO124" s="10">
        <x:f>IF(X124="","",100-X124)</x:f>
      </x:c>
      <x:c r="BP124" s="10">
        <x:f>IF((Weights!$C$2*IF(BH124="",0,1)+Weights!$C$3*IF(BJ124="",0,1)+Weights!$C$4*IF(BL124="",0,1))=0,"",(Weights!$C$2*IF(BH124="",0,BH124)+Weights!$C$3*IF(BJ124="",0,BJ124)+Weights!$C$4*IF(BL124="",0,BL124))/(Weights!$C$2*IF(BH124="",0,1)+Weights!$C$3*IF(BJ124="",0,1)+Weights!$C$4*IF(BL124="",0,1)))</x:f>
      </x:c>
      <x:c r="BQ124" s="10">
        <x:f>IF((Weights!$C$5*IF(BA124="",0,1)+Weights!$C$6*IF(AW124="",0,1)+Weights!$C$7*IF(AU124="",0,1))=0,"",(Weights!$C$5*IF(BA124="",0,BA124)+Weights!$C$6*IF(AW124="",0,AW124)+Weights!$C$7*IF(AU124="",0,AU124))/(Weights!$C$5*IF(BA124="",0,1)+Weights!$C$6*IF(AW124="",0,1)+Weights!$C$7*IF(AU124="",0,1)))</x:f>
      </x:c>
      <x:c r="BR124" s="10">
        <x:f>IF((Weights!$C$8*IF(AW124="",0,1)+Weights!$C$9*IF(BC124="",0,1)+Weights!$C$10*IF(BF124="",0,1))=0,"",(Weights!$C$8*IF(AW124="",0,AW124)+Weights!$C$9*IF(BC124="",0,BC124)+Weights!$C$10*IF(BF124="",0,BF124))/(Weights!$C$8*IF(AW124="",0,1)+Weights!$C$9*IF(BC124="",0,1)+Weights!$C$10*IF(BF124="",0,1)))</x:f>
      </x:c>
      <x:c r="BS124" s="10">
        <x:f>IF(Y124="","",Y124)</x:f>
      </x:c>
      <x:c r="BT124" s="10">
        <x:f>IF(AS124="","",AS124)</x:f>
      </x:c>
      <x:c r="BU124" s="10">
        <x:f>IF(AJ124&lt;&gt;"",(0.6*AJ124+0.4*AU124),IF((Weights!$C$11*IF(AU124="",0,1)+Weights!$C$12*IF(BM124="",0,1))=0,"",(Weights!$C$11*IF(AU124="",0,AU124)+Weights!$C$12*IF(BM124="",0,BM124))/(Weights!$C$11*IF(AU124="",0,1)+Weights!$C$12*IF(BM124="",0,1))))</x:f>
      </x:c>
      <x:c r="BV124" s="10">
        <x:f>IF(CG124="",0,CG124)</x:f>
      </x:c>
      <x:c r="BW124" s="10">
        <x:f>IF(AP124="","",AP124)</x:f>
      </x:c>
      <x:c r="BX124" s="10">
        <x:f>IF(AO124="","",AO124)</x:f>
      </x:c>
      <x:c r="BY124" s="10">
        <x:f>IF(AL124="","",AL124)</x:f>
      </x:c>
      <x:c r="BZ124" s="10">
        <x:f>IF(AM124="","",AM124)</x:f>
      </x:c>
      <x:c r="CA124" s="10">
        <x:f>IF(AK124&lt;&gt;"",AK124,AW124)</x:f>
      </x:c>
      <x:c r="CB124" s="10">
        <x:f>IF((Weights!$C$13*IF(BP124="",0,1)+Weights!$C$14*IF(BR124="",0,1)+Weights!$C$15*IF(BQ124="",0,1)+Weights!$C$16*IF(BS124="",0,1)+Weights!$C$17*IF(BU124="",0,1)+Weights!$C$18*IF(BT124="",0,1)+Weights!$C$19*IF(BW124="",0,1)+Weights!$C$20*IF(BZ124="",0,1)+Weights!$C$21*IF(BO124="",0,1)+Weights!$C$22)=0,"",(Weights!$C$13*IF(BP124="",0,BP124)+Weights!$C$14*IF(BR124="",0,BR124)+Weights!$C$15*IF(BQ124="",0,BQ124)+Weights!$C$16*IF(BS124="",0,BS124)+Weights!$C$17*IF(BU124="",0,BU124)+Weights!$C$18*IF(BT124="",0,BT124)+Weights!$C$19*IF(BW124="",0,BW124)+Weights!$C$20*IF(BZ124="",0,BZ124)+Weights!$C$21*IF(BO124="",0,BO124)+Weights!$C$22*BV124)/(Weights!$C$13*IF(BP124="",0,1)+Weights!$C$14*IF(BR124="",0,1)+Weights!$C$15*IF(BQ124="",0,1)+Weights!$C$16*IF(BS124="",0,1)+Weights!$C$17*IF(BU124="",0,1)+Weights!$C$18*IF(BT124="",0,1)+Weights!$C$19*IF(BW124="",0,1)+Weights!$C$20*IF(BZ124="",0,1)+Weights!$C$21*IF(BO124="",0,1)+Weights!$C$22))</x:f>
      </x:c>
      <x:c r="CC124" s="10">
        <x:f>IF((Weights!$C$23*IF(BQ124="",0,1)+Weights!$C$24*IF(BN124="",0,1)+Weights!$C$25*IF(BS124="",0,1)+Weights!$C$26*IF(BY124="",0,1)+Weights!$C$27*IF(BX124="",0,1)+Weights!$C$28*IF(BT124="",0,1)+Weights!$C$29*IF(CA124="",0,1)+Weights!$C$30+Weights!$C$31*IF(BU124="",0,1))=0,"",(Weights!$C$23*IF(BQ124="",0,BQ124)+Weights!$C$24*IF(BN124="",0,BN124)+Weights!$C$25*IF(BS124="",0,BS124)+Weights!$C$26*IF(BY124="",0,BY124)+Weights!$C$27*IF(BX124="",0,BX124)+Weights!$C$28*IF(BT124="",0,BT124)+Weights!$C$29*IF(CA124="",0,CA124)+Weights!$C$30*BV124+Weights!$C$31*IF(BU124="",0,BU124))/(Weights!$C$23*IF(BQ124="",0,1)+Weights!$C$24*IF(BN124="",0,1)+Weights!$C$25*IF(BS124="",0,1)+Weights!$C$26*IF(BY124="",0,1)+Weights!$C$27*IF(BX124="",0,1)+Weights!$C$28*IF(BT124="",0,1)+Weights!$C$29*IF(CA124="",0,1)+Weights!$C$30+Weights!$C$31*IF(BU124="",0,1)))</x:f>
      </x:c>
      <x:c r="CD124" s="10">
        <x:f>IF(AND(CB124="",CC124=""),"",IF(CB124="",CC124,IF(CC124="",CB124,AVERAGE(CB124,CC124))))</x:f>
      </x:c>
      <x:c r="CE124" s="7">
        <x:f>ROUND(100*((IF(BP124&lt;&gt;"",1,0)+IF(BQ124&lt;&gt;"",1,0)+IF(BR124&lt;&gt;"",1,0)+IF(BS124&lt;&gt;"",1,0)+IF(BU124&lt;&gt;"",1,0)+IF(BT124&lt;&gt;"",1,0)+IF(BN124&lt;&gt;"",1,0)+IF(AW124&lt;&gt;"",1,0))/8),0)</x:f>
      </x:c>
      <x:c r="CF124">
        <x:f>IF(V124="","",LOG10(V124+1))</x:f>
      </x:c>
      <x:c r="CG124">
        <x:f>IF(CF124="","",IF(MAX($CF$2:$CF$252)-MIN($CF$2:$CF$252)=0,"",(CF124-MIN($CF$2:$CF$252))/(MAX($CF$2:$CF$252)-MIN($CF$2:$CF$252))*100))</x:f>
      </x:c>
    </x:row>
    <x:row r="125">
      <x:c r="A125" t="inlineStr">
        <x:is>
          <x:t xml:space="preserve">BEN</x:t>
        </x:is>
      </x:c>
      <x:c r="B125" t="inlineStr">
        <x:is>
          <x:t xml:space="preserve">Benin</x:t>
        </x:is>
      </x:c>
      <x:c r="C125" t="inlineStr">
        <x:is>
          <x:t xml:space="preserve">Sub-Saharan Africa</x:t>
        </x:is>
      </x:c>
      <x:c r="D125" t="inlineStr">
        <x:is>
          <x:t xml:space="preserve">Lower middle income</x:t>
        </x:is>
      </x:c>
      <x:c r="E125" t="inlineStr">
        <x:is>
          <x:t xml:space="preserve">Africa</x:t>
        </x:is>
      </x:c>
      <x:c r="F125" t="n">
        <x:v>2024</x:v>
      </x:c>
      <x:c r="G125" t="n">
        <x:v>14462724</x:v>
      </x:c>
      <x:c r="H125" t="n">
        <x:v>2020</x:v>
      </x:c>
      <x:c r="I125" t="n">
        <x:v>12000</x:v>
      </x:c>
      <x:c r="J125" t="n">
        <x:v>7800</x:v>
      </x:c>
      <x:c r="K125" t="n">
        <x:v>2400</x:v>
      </x:c>
      <x:c r="L125" t="n">
        <x:v>1440</x:v>
      </x:c>
      <x:c r="M125" t="n">
        <x:v>2024</x:v>
      </x:c>
      <x:c r="N125" s="8" t="n">
        <x:v>154107719.732787</x:v>
      </x:c>
      <x:c r="O125" s="9" t="n">
        <x:v>0.720549619940377</x:v>
      </x:c>
      <x:c r="P125" s="8" t="n">
        <x:v>12842.30997773225</x:v>
      </x:c>
      <x:c r="Q125" t="n">
        <x:v>2024</x:v>
      </x:c>
      <x:c r="R125" s="8" t="n">
        <x:v>21482643706.4249</x:v>
      </x:c>
      <x:c r="S125" t="n">
        <x:v>0</x:v>
      </x:c>
      <x:c r="T125" t="n">
        <x:v>0</x:v>
      </x:c>
      <x:c r="U125" t="inlineStr">
        <x:is>
          <x:t xml:space="preserve">No</x:t>
        </x:is>
      </x:c>
      <x:c r="W125" t="inlineStr">
        <x:is>
          <x:t xml:space="preserve">No</x:t>
        </x:is>
      </x:c>
      <x:c r="X125" t="n">
        <x:v>14.02145221273898</x:v>
      </x:c>
      <x:c r="Y125" t="n">
        <x:v>33.91695191880051</x:v>
      </x:c>
      <x:c r="Z125" t="n">
        <x:v>116998.7125786331</x:v>
      </x:c>
      <x:c r="AA125" t="n">
        <x:v>94.34979887134217</x:v>
      </x:c>
      <x:c r="AB125" s="8" t="n">
        <x:v>2202.231129184726</x:v>
      </x:c>
      <x:c r="AC125" t="n">
        <x:v>7</x:v>
      </x:c>
      <x:c r="AD125" t="n">
        <x:v>0</x:v>
      </x:c>
      <x:c r="AE125" t="n">
        <x:v>0</x:v>
      </x:c>
      <x:c r="AR125">
        <x:f>IF(G125="","",LOG10(G125+1))</x:f>
      </x:c>
      <x:c r="AS125" s="10">
        <x:f>IF(AR125="","",IF(MAX($AR$2:$AR$252)-MIN($AR$2:$AR$252)=0,"",(AR125-MIN($AR$2:$AR$252))/(MAX($AR$2:$AR$252)-MIN($AR$2:$AR$252))*100))</x:f>
      </x:c>
      <x:c r="AT125">
        <x:f>IF(R125="","",LOG10(R125+1))</x:f>
      </x:c>
      <x:c r="AU125" s="10">
        <x:f>IF(AT125="","",IF(MAX($AT$2:$AT$252)-MIN($AT$2:$AT$252)=0,"",(AT125-MIN($AT$2:$AT$252))/(MAX($AT$2:$AT$252)-MIN($AT$2:$AT$252))*100))</x:f>
      </x:c>
      <x:c r="AV125">
        <x:f>IF(N125="","",LOG10(N125+1))</x:f>
      </x:c>
      <x:c r="AW125" s="10">
        <x:f>IF(AV125="","",IF(MAX($AV$2:$AV$252)-MIN($AV$2:$AV$252)=0,"",(AV125-MIN($AV$2:$AV$252))/(MAX($AV$2:$AV$252)-MIN($AV$2:$AV$252))*100))</x:f>
      </x:c>
      <x:c r="AX125">
        <x:f>IF(I125="","",LOG10(I125+1))</x:f>
      </x:c>
      <x:c r="AY125" s="10">
        <x:f>IF(AX125="","",IF(MAX($AX$2:$AX$252)-MIN($AX$2:$AX$252)=0,"",(AX125-MIN($AX$2:$AX$252))/(MAX($AX$2:$AX$252)-MIN($AX$2:$AX$252))*100))</x:f>
      </x:c>
      <x:c r="AZ125">
        <x:f>IF(J125="","",LOG10(J125+1))</x:f>
      </x:c>
      <x:c r="BA125" s="10">
        <x:f>IF(AZ125="","",IF(MAX($AZ$2:$AZ$252)-MIN($AZ$2:$AZ$252)=0,"",(AZ125-MIN($AZ$2:$AZ$252))/(MAX($AZ$2:$AZ$252)-MIN($AZ$2:$AZ$252))*100))</x:f>
      </x:c>
      <x:c r="BB125">
        <x:f>IF(K125="","",LOG10(K125+1))</x:f>
      </x:c>
      <x:c r="BC125" s="10">
        <x:f>IF(BB125="","",IF(MAX($BB$2:$BB$252)-MIN($BB$2:$BB$252)=0,"",(BB125-MIN($BB$2:$BB$252))/(MAX($BB$2:$BB$252)-MIN($BB$2:$BB$252))*100))</x:f>
      </x:c>
      <x:c r="BD125">
        <x:f>IF(L125="","",LOG10(L125+1))</x:f>
      </x:c>
      <x:c r="BE125" s="10">
        <x:f>IF(BD125="","",IF(MAX($BD$2:$BD$252)-MIN($BD$2:$BD$252)=0,"",(BD125-MIN($BD$2:$BD$252))/(MAX($BD$2:$BD$252)-MIN($BD$2:$BD$252))*100))</x:f>
      </x:c>
      <x:c r="BF125" s="10">
        <x:f>IF(P125="","",IF(MAX($P$2:$P$252)-MIN($P$2:$P$252)=0,"",(P125-MIN($P$2:$P$252))/(MAX($P$2:$P$252)-MIN($P$2:$P$252))*100))</x:f>
      </x:c>
      <x:c r="BG125">
        <x:f>IF(AF125="","",LOG10(AF125+1))</x:f>
      </x:c>
      <x:c r="BH125" s="10">
        <x:f>IF(BG125="","",IF(MAX($BG$2:$BG$252)-MIN($BG$2:$BG$252)=0,"",(BG125-MIN($BG$2:$BG$252))/(MAX($BG$2:$BG$252)-MIN($BG$2:$BG$252))*100))</x:f>
      </x:c>
      <x:c r="BI125">
        <x:f>IF(AC125="","",LOG10(AC125+1))</x:f>
      </x:c>
      <x:c r="BJ125" s="10">
        <x:f>IF(BI125="","",IF(MAX($BI$2:$BI$252)-MIN($BI$2:$BI$252)=0,"",(BI125-MIN($BI$2:$BI$252))/(MAX($BI$2:$BI$252)-MIN($BI$2:$BI$252))*100))</x:f>
      </x:c>
      <x:c r="BK125">
        <x:f>IF(AD125="","",(AD125*2)+(AE125*1))</x:f>
      </x:c>
      <x:c r="BL125" s="10">
        <x:f>IF(BK125="","",IF(MAX($BK$2:$BK$252)-MIN($BK$2:$BK$252)=0,"",(BK125-MIN($BK$2:$BK$252))/(MAX($BK$2:$BK$252)-MIN($BK$2:$BK$252))*100))</x:f>
      </x:c>
      <x:c r="BM125" s="10">
        <x:f>IF(AB125="","",IF(MAX($AB$2:$AB$252)-MIN($AB$2:$AB$252)=0,"",(AB125-MIN($AB$2:$AB$252))/(MAX($AB$2:$AB$252)-MIN($AB$2:$AB$252))*100))</x:f>
      </x:c>
      <x:c r="BN125" s="10">
        <x:f>IF(X125="","",X125)</x:f>
      </x:c>
      <x:c r="BO125" s="10">
        <x:f>IF(X125="","",100-X125)</x:f>
      </x:c>
      <x:c r="BP125" s="10">
        <x:f>IF((Weights!$C$2*IF(BH125="",0,1)+Weights!$C$3*IF(BJ125="",0,1)+Weights!$C$4*IF(BL125="",0,1))=0,"",(Weights!$C$2*IF(BH125="",0,BH125)+Weights!$C$3*IF(BJ125="",0,BJ125)+Weights!$C$4*IF(BL125="",0,BL125))/(Weights!$C$2*IF(BH125="",0,1)+Weights!$C$3*IF(BJ125="",0,1)+Weights!$C$4*IF(BL125="",0,1)))</x:f>
      </x:c>
      <x:c r="BQ125" s="10">
        <x:f>IF((Weights!$C$5*IF(BA125="",0,1)+Weights!$C$6*IF(AW125="",0,1)+Weights!$C$7*IF(AU125="",0,1))=0,"",(Weights!$C$5*IF(BA125="",0,BA125)+Weights!$C$6*IF(AW125="",0,AW125)+Weights!$C$7*IF(AU125="",0,AU125))/(Weights!$C$5*IF(BA125="",0,1)+Weights!$C$6*IF(AW125="",0,1)+Weights!$C$7*IF(AU125="",0,1)))</x:f>
      </x:c>
      <x:c r="BR125" s="10">
        <x:f>IF((Weights!$C$8*IF(AW125="",0,1)+Weights!$C$9*IF(BC125="",0,1)+Weights!$C$10*IF(BF125="",0,1))=0,"",(Weights!$C$8*IF(AW125="",0,AW125)+Weights!$C$9*IF(BC125="",0,BC125)+Weights!$C$10*IF(BF125="",0,BF125))/(Weights!$C$8*IF(AW125="",0,1)+Weights!$C$9*IF(BC125="",0,1)+Weights!$C$10*IF(BF125="",0,1)))</x:f>
      </x:c>
      <x:c r="BS125" s="10">
        <x:f>IF(Y125="","",Y125)</x:f>
      </x:c>
      <x:c r="BT125" s="10">
        <x:f>IF(AS125="","",AS125)</x:f>
      </x:c>
      <x:c r="BU125" s="10">
        <x:f>IF(AJ125&lt;&gt;"",(0.6*AJ125+0.4*AU125),IF((Weights!$C$11*IF(AU125="",0,1)+Weights!$C$12*IF(BM125="",0,1))=0,"",(Weights!$C$11*IF(AU125="",0,AU125)+Weights!$C$12*IF(BM125="",0,BM125))/(Weights!$C$11*IF(AU125="",0,1)+Weights!$C$12*IF(BM125="",0,1))))</x:f>
      </x:c>
      <x:c r="BV125" s="10">
        <x:f>IF(CG125="",0,CG125)</x:f>
      </x:c>
      <x:c r="BW125" s="10">
        <x:f>IF(AP125="","",AP125)</x:f>
      </x:c>
      <x:c r="BX125" s="10">
        <x:f>IF(AO125="","",AO125)</x:f>
      </x:c>
      <x:c r="BY125" s="10">
        <x:f>IF(AL125="","",AL125)</x:f>
      </x:c>
      <x:c r="BZ125" s="10">
        <x:f>IF(AM125="","",AM125)</x:f>
      </x:c>
      <x:c r="CA125" s="10">
        <x:f>IF(AK125&lt;&gt;"",AK125,AW125)</x:f>
      </x:c>
      <x:c r="CB125" s="10">
        <x:f>IF((Weights!$C$13*IF(BP125="",0,1)+Weights!$C$14*IF(BR125="",0,1)+Weights!$C$15*IF(BQ125="",0,1)+Weights!$C$16*IF(BS125="",0,1)+Weights!$C$17*IF(BU125="",0,1)+Weights!$C$18*IF(BT125="",0,1)+Weights!$C$19*IF(BW125="",0,1)+Weights!$C$20*IF(BZ125="",0,1)+Weights!$C$21*IF(BO125="",0,1)+Weights!$C$22)=0,"",(Weights!$C$13*IF(BP125="",0,BP125)+Weights!$C$14*IF(BR125="",0,BR125)+Weights!$C$15*IF(BQ125="",0,BQ125)+Weights!$C$16*IF(BS125="",0,BS125)+Weights!$C$17*IF(BU125="",0,BU125)+Weights!$C$18*IF(BT125="",0,BT125)+Weights!$C$19*IF(BW125="",0,BW125)+Weights!$C$20*IF(BZ125="",0,BZ125)+Weights!$C$21*IF(BO125="",0,BO125)+Weights!$C$22*BV125)/(Weights!$C$13*IF(BP125="",0,1)+Weights!$C$14*IF(BR125="",0,1)+Weights!$C$15*IF(BQ125="",0,1)+Weights!$C$16*IF(BS125="",0,1)+Weights!$C$17*IF(BU125="",0,1)+Weights!$C$18*IF(BT125="",0,1)+Weights!$C$19*IF(BW125="",0,1)+Weights!$C$20*IF(BZ125="",0,1)+Weights!$C$21*IF(BO125="",0,1)+Weights!$C$22))</x:f>
      </x:c>
      <x:c r="CC125" s="10">
        <x:f>IF((Weights!$C$23*IF(BQ125="",0,1)+Weights!$C$24*IF(BN125="",0,1)+Weights!$C$25*IF(BS125="",0,1)+Weights!$C$26*IF(BY125="",0,1)+Weights!$C$27*IF(BX125="",0,1)+Weights!$C$28*IF(BT125="",0,1)+Weights!$C$29*IF(CA125="",0,1)+Weights!$C$30+Weights!$C$31*IF(BU125="",0,1))=0,"",(Weights!$C$23*IF(BQ125="",0,BQ125)+Weights!$C$24*IF(BN125="",0,BN125)+Weights!$C$25*IF(BS125="",0,BS125)+Weights!$C$26*IF(BY125="",0,BY125)+Weights!$C$27*IF(BX125="",0,BX125)+Weights!$C$28*IF(BT125="",0,BT125)+Weights!$C$29*IF(CA125="",0,CA125)+Weights!$C$30*BV125+Weights!$C$31*IF(BU125="",0,BU125))/(Weights!$C$23*IF(BQ125="",0,1)+Weights!$C$24*IF(BN125="",0,1)+Weights!$C$25*IF(BS125="",0,1)+Weights!$C$26*IF(BY125="",0,1)+Weights!$C$27*IF(BX125="",0,1)+Weights!$C$28*IF(BT125="",0,1)+Weights!$C$29*IF(CA125="",0,1)+Weights!$C$30+Weights!$C$31*IF(BU125="",0,1)))</x:f>
      </x:c>
      <x:c r="CD125" s="10">
        <x:f>IF(AND(CB125="",CC125=""),"",IF(CB125="",CC125,IF(CC125="",CB125,AVERAGE(CB125,CC125))))</x:f>
      </x:c>
      <x:c r="CE125" s="7">
        <x:f>ROUND(100*((IF(BP125&lt;&gt;"",1,0)+IF(BQ125&lt;&gt;"",1,0)+IF(BR125&lt;&gt;"",1,0)+IF(BS125&lt;&gt;"",1,0)+IF(BU125&lt;&gt;"",1,0)+IF(BT125&lt;&gt;"",1,0)+IF(BN125&lt;&gt;"",1,0)+IF(AW125&lt;&gt;"",1,0))/8),0)</x:f>
      </x:c>
      <x:c r="CF125">
        <x:f>IF(V125="","",LOG10(V125+1))</x:f>
      </x:c>
      <x:c r="CG125">
        <x:f>IF(CF125="","",IF(MAX($CF$2:$CF$252)-MIN($CF$2:$CF$252)=0,"",(CF125-MIN($CF$2:$CF$252))/(MAX($CF$2:$CF$252)-MIN($CF$2:$CF$252))*100))</x:f>
      </x:c>
    </x:row>
    <x:row r="126">
      <x:c r="A126" t="inlineStr">
        <x:is>
          <x:t xml:space="preserve">BIH</x:t>
        </x:is>
      </x:c>
      <x:c r="B126" t="inlineStr">
        <x:is>
          <x:t xml:space="preserve">Bosnia and Herzegovina</x:t>
        </x:is>
      </x:c>
      <x:c r="C126" t="inlineStr">
        <x:is>
          <x:t xml:space="preserve">Europe &amp; Central Asia</x:t>
        </x:is>
      </x:c>
      <x:c r="D126" t="inlineStr">
        <x:is>
          <x:t xml:space="preserve">Upper middle income</x:t>
        </x:is>
      </x:c>
      <x:c r="E126" t="inlineStr">
        <x:is>
          <x:t xml:space="preserve">Europe</x:t>
        </x:is>
      </x:c>
      <x:c r="F126" t="n">
        <x:v>2024</x:v>
      </x:c>
      <x:c r="G126" t="n">
        <x:v>3164253</x:v>
      </x:c>
      <x:c r="H126" t="n">
        <x:v>2020</x:v>
      </x:c>
      <x:c r="I126" t="n">
        <x:v>11000</x:v>
      </x:c>
      <x:c r="J126" t="n">
        <x:v>7150</x:v>
      </x:c>
      <x:c r="K126" t="n">
        <x:v>2200</x:v>
      </x:c>
      <x:c r="L126" t="n">
        <x:v>1320</x:v>
      </x:c>
      <x:c r="M126" t="n">
        <x:v>2024</x:v>
      </x:c>
      <x:c r="N126" s="8" t="n">
        <x:v>215974868.507652</x:v>
      </x:c>
      <x:c r="O126" s="9" t="n">
        <x:v>0.747079920408854</x:v>
      </x:c>
      <x:c r="P126" s="8" t="n">
        <x:v>19634.07895524109</x:v>
      </x:c>
      <x:c r="Q126" t="n">
        <x:v>2024</x:v>
      </x:c>
      <x:c r="R126" s="8" t="n">
        <x:v>29613572022.8993</x:v>
      </x:c>
      <x:c r="S126" t="n">
        <x:v>0</x:v>
      </x:c>
      <x:c r="T126" t="n">
        <x:v>0</x:v>
      </x:c>
      <x:c r="U126" t="inlineStr">
        <x:is>
          <x:t xml:space="preserve">No</x:t>
        </x:is>
      </x:c>
      <x:c r="W126" t="inlineStr">
        <x:is>
          <x:t xml:space="preserve">No</x:t>
        </x:is>
      </x:c>
      <x:c r="X126" t="n">
        <x:v>7.865448445291003</x:v>
      </x:c>
      <x:c r="Y126" t="n">
        <x:v>56.18374626737691</x:v>
      </x:c>
      <x:c r="Z126" t="n">
        <x:v>50605.07485165571</x:v>
      </x:c>
      <x:c r="AA126" t="n">
        <x:v>76.20146815915307</x:v>
      </x:c>
      <x:c r="AB126" s="8" t="n">
        <x:v>11029.0466137352</x:v>
      </x:c>
      <x:c r="AR126">
        <x:f>IF(G126="","",LOG10(G126+1))</x:f>
      </x:c>
      <x:c r="AS126" s="10">
        <x:f>IF(AR126="","",IF(MAX($AR$2:$AR$252)-MIN($AR$2:$AR$252)=0,"",(AR126-MIN($AR$2:$AR$252))/(MAX($AR$2:$AR$252)-MIN($AR$2:$AR$252))*100))</x:f>
      </x:c>
      <x:c r="AT126">
        <x:f>IF(R126="","",LOG10(R126+1))</x:f>
      </x:c>
      <x:c r="AU126" s="10">
        <x:f>IF(AT126="","",IF(MAX($AT$2:$AT$252)-MIN($AT$2:$AT$252)=0,"",(AT126-MIN($AT$2:$AT$252))/(MAX($AT$2:$AT$252)-MIN($AT$2:$AT$252))*100))</x:f>
      </x:c>
      <x:c r="AV126">
        <x:f>IF(N126="","",LOG10(N126+1))</x:f>
      </x:c>
      <x:c r="AW126" s="10">
        <x:f>IF(AV126="","",IF(MAX($AV$2:$AV$252)-MIN($AV$2:$AV$252)=0,"",(AV126-MIN($AV$2:$AV$252))/(MAX($AV$2:$AV$252)-MIN($AV$2:$AV$252))*100))</x:f>
      </x:c>
      <x:c r="AX126">
        <x:f>IF(I126="","",LOG10(I126+1))</x:f>
      </x:c>
      <x:c r="AY126" s="10">
        <x:f>IF(AX126="","",IF(MAX($AX$2:$AX$252)-MIN($AX$2:$AX$252)=0,"",(AX126-MIN($AX$2:$AX$252))/(MAX($AX$2:$AX$252)-MIN($AX$2:$AX$252))*100))</x:f>
      </x:c>
      <x:c r="AZ126">
        <x:f>IF(J126="","",LOG10(J126+1))</x:f>
      </x:c>
      <x:c r="BA126" s="10">
        <x:f>IF(AZ126="","",IF(MAX($AZ$2:$AZ$252)-MIN($AZ$2:$AZ$252)=0,"",(AZ126-MIN($AZ$2:$AZ$252))/(MAX($AZ$2:$AZ$252)-MIN($AZ$2:$AZ$252))*100))</x:f>
      </x:c>
      <x:c r="BB126">
        <x:f>IF(K126="","",LOG10(K126+1))</x:f>
      </x:c>
      <x:c r="BC126" s="10">
        <x:f>IF(BB126="","",IF(MAX($BB$2:$BB$252)-MIN($BB$2:$BB$252)=0,"",(BB126-MIN($BB$2:$BB$252))/(MAX($BB$2:$BB$252)-MIN($BB$2:$BB$252))*100))</x:f>
      </x:c>
      <x:c r="BD126">
        <x:f>IF(L126="","",LOG10(L126+1))</x:f>
      </x:c>
      <x:c r="BE126" s="10">
        <x:f>IF(BD126="","",IF(MAX($BD$2:$BD$252)-MIN($BD$2:$BD$252)=0,"",(BD126-MIN($BD$2:$BD$252))/(MAX($BD$2:$BD$252)-MIN($BD$2:$BD$252))*100))</x:f>
      </x:c>
      <x:c r="BF126" s="10">
        <x:f>IF(P126="","",IF(MAX($P$2:$P$252)-MIN($P$2:$P$252)=0,"",(P126-MIN($P$2:$P$252))/(MAX($P$2:$P$252)-MIN($P$2:$P$252))*100))</x:f>
      </x:c>
      <x:c r="BG126">
        <x:f>IF(AF126="","",LOG10(AF126+1))</x:f>
      </x:c>
      <x:c r="BH126" s="10">
        <x:f>IF(BG126="","",IF(MAX($BG$2:$BG$252)-MIN($BG$2:$BG$252)=0,"",(BG126-MIN($BG$2:$BG$252))/(MAX($BG$2:$BG$252)-MIN($BG$2:$BG$252))*100))</x:f>
      </x:c>
      <x:c r="BI126">
        <x:f>IF(AC126="","",LOG10(AC126+1))</x:f>
      </x:c>
      <x:c r="BJ126" s="10">
        <x:f>IF(BI126="","",IF(MAX($BI$2:$BI$252)-MIN($BI$2:$BI$252)=0,"",(BI126-MIN($BI$2:$BI$252))/(MAX($BI$2:$BI$252)-MIN($BI$2:$BI$252))*100))</x:f>
      </x:c>
      <x:c r="BK126">
        <x:f>IF(AD126="","",(AD126*2)+(AE126*1))</x:f>
      </x:c>
      <x:c r="BL126" s="10">
        <x:f>IF(BK126="","",IF(MAX($BK$2:$BK$252)-MIN($BK$2:$BK$252)=0,"",(BK126-MIN($BK$2:$BK$252))/(MAX($BK$2:$BK$252)-MIN($BK$2:$BK$252))*100))</x:f>
      </x:c>
      <x:c r="BM126" s="10">
        <x:f>IF(AB126="","",IF(MAX($AB$2:$AB$252)-MIN($AB$2:$AB$252)=0,"",(AB126-MIN($AB$2:$AB$252))/(MAX($AB$2:$AB$252)-MIN($AB$2:$AB$252))*100))</x:f>
      </x:c>
      <x:c r="BN126" s="10">
        <x:f>IF(X126="","",X126)</x:f>
      </x:c>
      <x:c r="BO126" s="10">
        <x:f>IF(X126="","",100-X126)</x:f>
      </x:c>
      <x:c r="BP126" s="10">
        <x:f>IF((Weights!$C$2*IF(BH126="",0,1)+Weights!$C$3*IF(BJ126="",0,1)+Weights!$C$4*IF(BL126="",0,1))=0,"",(Weights!$C$2*IF(BH126="",0,BH126)+Weights!$C$3*IF(BJ126="",0,BJ126)+Weights!$C$4*IF(BL126="",0,BL126))/(Weights!$C$2*IF(BH126="",0,1)+Weights!$C$3*IF(BJ126="",0,1)+Weights!$C$4*IF(BL126="",0,1)))</x:f>
      </x:c>
      <x:c r="BQ126" s="10">
        <x:f>IF((Weights!$C$5*IF(BA126="",0,1)+Weights!$C$6*IF(AW126="",0,1)+Weights!$C$7*IF(AU126="",0,1))=0,"",(Weights!$C$5*IF(BA126="",0,BA126)+Weights!$C$6*IF(AW126="",0,AW126)+Weights!$C$7*IF(AU126="",0,AU126))/(Weights!$C$5*IF(BA126="",0,1)+Weights!$C$6*IF(AW126="",0,1)+Weights!$C$7*IF(AU126="",0,1)))</x:f>
      </x:c>
      <x:c r="BR126" s="10">
        <x:f>IF((Weights!$C$8*IF(AW126="",0,1)+Weights!$C$9*IF(BC126="",0,1)+Weights!$C$10*IF(BF126="",0,1))=0,"",(Weights!$C$8*IF(AW126="",0,AW126)+Weights!$C$9*IF(BC126="",0,BC126)+Weights!$C$10*IF(BF126="",0,BF126))/(Weights!$C$8*IF(AW126="",0,1)+Weights!$C$9*IF(BC126="",0,1)+Weights!$C$10*IF(BF126="",0,1)))</x:f>
      </x:c>
      <x:c r="BS126" s="10">
        <x:f>IF(Y126="","",Y126)</x:f>
      </x:c>
      <x:c r="BT126" s="10">
        <x:f>IF(AS126="","",AS126)</x:f>
      </x:c>
      <x:c r="BU126" s="10">
        <x:f>IF(AJ126&lt;&gt;"",(0.6*AJ126+0.4*AU126),IF((Weights!$C$11*IF(AU126="",0,1)+Weights!$C$12*IF(BM126="",0,1))=0,"",(Weights!$C$11*IF(AU126="",0,AU126)+Weights!$C$12*IF(BM126="",0,BM126))/(Weights!$C$11*IF(AU126="",0,1)+Weights!$C$12*IF(BM126="",0,1))))</x:f>
      </x:c>
      <x:c r="BV126" s="10">
        <x:f>IF(CG126="",0,CG126)</x:f>
      </x:c>
      <x:c r="BW126" s="10">
        <x:f>IF(AP126="","",AP126)</x:f>
      </x:c>
      <x:c r="BX126" s="10">
        <x:f>IF(AO126="","",AO126)</x:f>
      </x:c>
      <x:c r="BY126" s="10">
        <x:f>IF(AL126="","",AL126)</x:f>
      </x:c>
      <x:c r="BZ126" s="10">
        <x:f>IF(AM126="","",AM126)</x:f>
      </x:c>
      <x:c r="CA126" s="10">
        <x:f>IF(AK126&lt;&gt;"",AK126,AW126)</x:f>
      </x:c>
      <x:c r="CB126" s="10">
        <x:f>IF((Weights!$C$13*IF(BP126="",0,1)+Weights!$C$14*IF(BR126="",0,1)+Weights!$C$15*IF(BQ126="",0,1)+Weights!$C$16*IF(BS126="",0,1)+Weights!$C$17*IF(BU126="",0,1)+Weights!$C$18*IF(BT126="",0,1)+Weights!$C$19*IF(BW126="",0,1)+Weights!$C$20*IF(BZ126="",0,1)+Weights!$C$21*IF(BO126="",0,1)+Weights!$C$22)=0,"",(Weights!$C$13*IF(BP126="",0,BP126)+Weights!$C$14*IF(BR126="",0,BR126)+Weights!$C$15*IF(BQ126="",0,BQ126)+Weights!$C$16*IF(BS126="",0,BS126)+Weights!$C$17*IF(BU126="",0,BU126)+Weights!$C$18*IF(BT126="",0,BT126)+Weights!$C$19*IF(BW126="",0,BW126)+Weights!$C$20*IF(BZ126="",0,BZ126)+Weights!$C$21*IF(BO126="",0,BO126)+Weights!$C$22*BV126)/(Weights!$C$13*IF(BP126="",0,1)+Weights!$C$14*IF(BR126="",0,1)+Weights!$C$15*IF(BQ126="",0,1)+Weights!$C$16*IF(BS126="",0,1)+Weights!$C$17*IF(BU126="",0,1)+Weights!$C$18*IF(BT126="",0,1)+Weights!$C$19*IF(BW126="",0,1)+Weights!$C$20*IF(BZ126="",0,1)+Weights!$C$21*IF(BO126="",0,1)+Weights!$C$22))</x:f>
      </x:c>
      <x:c r="CC126" s="10">
        <x:f>IF((Weights!$C$23*IF(BQ126="",0,1)+Weights!$C$24*IF(BN126="",0,1)+Weights!$C$25*IF(BS126="",0,1)+Weights!$C$26*IF(BY126="",0,1)+Weights!$C$27*IF(BX126="",0,1)+Weights!$C$28*IF(BT126="",0,1)+Weights!$C$29*IF(CA126="",0,1)+Weights!$C$30+Weights!$C$31*IF(BU126="",0,1))=0,"",(Weights!$C$23*IF(BQ126="",0,BQ126)+Weights!$C$24*IF(BN126="",0,BN126)+Weights!$C$25*IF(BS126="",0,BS126)+Weights!$C$26*IF(BY126="",0,BY126)+Weights!$C$27*IF(BX126="",0,BX126)+Weights!$C$28*IF(BT126="",0,BT126)+Weights!$C$29*IF(CA126="",0,CA126)+Weights!$C$30*BV126+Weights!$C$31*IF(BU126="",0,BU126))/(Weights!$C$23*IF(BQ126="",0,1)+Weights!$C$24*IF(BN126="",0,1)+Weights!$C$25*IF(BS126="",0,1)+Weights!$C$26*IF(BY126="",0,1)+Weights!$C$27*IF(BX126="",0,1)+Weights!$C$28*IF(BT126="",0,1)+Weights!$C$29*IF(CA126="",0,1)+Weights!$C$30+Weights!$C$31*IF(BU126="",0,1)))</x:f>
      </x:c>
      <x:c r="CD126" s="10">
        <x:f>IF(AND(CB126="",CC126=""),"",IF(CB126="",CC126,IF(CC126="",CB126,AVERAGE(CB126,CC126))))</x:f>
      </x:c>
      <x:c r="CE126" s="7">
        <x:f>ROUND(100*((IF(BP126&lt;&gt;"",1,0)+IF(BQ126&lt;&gt;"",1,0)+IF(BR126&lt;&gt;"",1,0)+IF(BS126&lt;&gt;"",1,0)+IF(BU126&lt;&gt;"",1,0)+IF(BT126&lt;&gt;"",1,0)+IF(BN126&lt;&gt;"",1,0)+IF(AW126&lt;&gt;"",1,0))/8),0)</x:f>
      </x:c>
      <x:c r="CF126">
        <x:f>IF(V126="","",LOG10(V126+1))</x:f>
      </x:c>
      <x:c r="CG126">
        <x:f>IF(CF126="","",IF(MAX($CF$2:$CF$252)-MIN($CF$2:$CF$252)=0,"",(CF126-MIN($CF$2:$CF$252))/(MAX($CF$2:$CF$252)-MIN($CF$2:$CF$252))*100))</x:f>
      </x:c>
    </x:row>
    <x:row r="127">
      <x:c r="A127" t="inlineStr">
        <x:is>
          <x:t xml:space="preserve">BWA</x:t>
        </x:is>
      </x:c>
      <x:c r="B127" t="inlineStr">
        <x:is>
          <x:t xml:space="preserve">Botswana</x:t>
        </x:is>
      </x:c>
      <x:c r="C127" t="inlineStr">
        <x:is>
          <x:t xml:space="preserve">Sub-Saharan Africa</x:t>
        </x:is>
      </x:c>
      <x:c r="D127" t="inlineStr">
        <x:is>
          <x:t xml:space="preserve">Upper middle income</x:t>
        </x:is>
      </x:c>
      <x:c r="E127" t="inlineStr">
        <x:is>
          <x:t xml:space="preserve">Africa</x:t>
        </x:is>
      </x:c>
      <x:c r="F127" t="n">
        <x:v>2024</x:v>
      </x:c>
      <x:c r="G127" t="n">
        <x:v>2521139</x:v>
      </x:c>
      <x:c r="H127" t="n">
        <x:v>2020</x:v>
      </x:c>
      <x:c r="I127" t="n">
        <x:v>9000</x:v>
      </x:c>
      <x:c r="J127" t="n">
        <x:v>5850</x:v>
      </x:c>
      <x:c r="K127" t="n">
        <x:v>1800</x:v>
      </x:c>
      <x:c r="L127" t="n">
        <x:v>1080</x:v>
      </x:c>
      <x:c r="M127" t="n">
        <x:v>2024</x:v>
      </x:c>
      <x:c r="N127" s="8" t="n">
        <x:v>567822651.448639</x:v>
      </x:c>
      <x:c r="O127" s="9" t="n">
        <x:v>2.83392800595041</x:v>
      </x:c>
      <x:c r="P127" s="8" t="n">
        <x:v>63091.40571651545</x:v>
      </x:c>
      <x:c r="Q127" t="n">
        <x:v>2024</x:v>
      </x:c>
      <x:c r="R127" s="8" t="n">
        <x:v>19402063512.9066</x:v>
      </x:c>
      <x:c r="S127" t="n">
        <x:v>0</x:v>
      </x:c>
      <x:c r="T127" t="n">
        <x:v>0</x:v>
      </x:c>
      <x:c r="U127" t="inlineStr">
        <x:is>
          <x:t xml:space="preserve">No</x:t>
        </x:is>
      </x:c>
      <x:c r="W127" t="inlineStr">
        <x:is>
          <x:t xml:space="preserve">No</x:t>
        </x:is>
      </x:c>
      <x:c r="X127" t="n">
        <x:v>8.535217699670852</x:v>
      </x:c>
      <x:c r="Y127" t="n">
        <x:v>44.31224578614471</x:v>
      </x:c>
      <x:c r="Z127" t="n">
        <x:v>591912.0171663288</x:v>
      </x:c>
      <x:c r="AA127" t="n">
        <x:v>3.741870304649718</x:v>
      </x:c>
      <x:c r="AB127" s="8" t="n">
        <x:v>16208.7140575152</x:v>
      </x:c>
      <x:c r="AR127">
        <x:f>IF(G127="","",LOG10(G127+1))</x:f>
      </x:c>
      <x:c r="AS127" s="10">
        <x:f>IF(AR127="","",IF(MAX($AR$2:$AR$252)-MIN($AR$2:$AR$252)=0,"",(AR127-MIN($AR$2:$AR$252))/(MAX($AR$2:$AR$252)-MIN($AR$2:$AR$252))*100))</x:f>
      </x:c>
      <x:c r="AT127">
        <x:f>IF(R127="","",LOG10(R127+1))</x:f>
      </x:c>
      <x:c r="AU127" s="10">
        <x:f>IF(AT127="","",IF(MAX($AT$2:$AT$252)-MIN($AT$2:$AT$252)=0,"",(AT127-MIN($AT$2:$AT$252))/(MAX($AT$2:$AT$252)-MIN($AT$2:$AT$252))*100))</x:f>
      </x:c>
      <x:c r="AV127">
        <x:f>IF(N127="","",LOG10(N127+1))</x:f>
      </x:c>
      <x:c r="AW127" s="10">
        <x:f>IF(AV127="","",IF(MAX($AV$2:$AV$252)-MIN($AV$2:$AV$252)=0,"",(AV127-MIN($AV$2:$AV$252))/(MAX($AV$2:$AV$252)-MIN($AV$2:$AV$252))*100))</x:f>
      </x:c>
      <x:c r="AX127">
        <x:f>IF(I127="","",LOG10(I127+1))</x:f>
      </x:c>
      <x:c r="AY127" s="10">
        <x:f>IF(AX127="","",IF(MAX($AX$2:$AX$252)-MIN($AX$2:$AX$252)=0,"",(AX127-MIN($AX$2:$AX$252))/(MAX($AX$2:$AX$252)-MIN($AX$2:$AX$252))*100))</x:f>
      </x:c>
      <x:c r="AZ127">
        <x:f>IF(J127="","",LOG10(J127+1))</x:f>
      </x:c>
      <x:c r="BA127" s="10">
        <x:f>IF(AZ127="","",IF(MAX($AZ$2:$AZ$252)-MIN($AZ$2:$AZ$252)=0,"",(AZ127-MIN($AZ$2:$AZ$252))/(MAX($AZ$2:$AZ$252)-MIN($AZ$2:$AZ$252))*100))</x:f>
      </x:c>
      <x:c r="BB127">
        <x:f>IF(K127="","",LOG10(K127+1))</x:f>
      </x:c>
      <x:c r="BC127" s="10">
        <x:f>IF(BB127="","",IF(MAX($BB$2:$BB$252)-MIN($BB$2:$BB$252)=0,"",(BB127-MIN($BB$2:$BB$252))/(MAX($BB$2:$BB$252)-MIN($BB$2:$BB$252))*100))</x:f>
      </x:c>
      <x:c r="BD127">
        <x:f>IF(L127="","",LOG10(L127+1))</x:f>
      </x:c>
      <x:c r="BE127" s="10">
        <x:f>IF(BD127="","",IF(MAX($BD$2:$BD$252)-MIN($BD$2:$BD$252)=0,"",(BD127-MIN($BD$2:$BD$252))/(MAX($BD$2:$BD$252)-MIN($BD$2:$BD$252))*100))</x:f>
      </x:c>
      <x:c r="BF127" s="10">
        <x:f>IF(P127="","",IF(MAX($P$2:$P$252)-MIN($P$2:$P$252)=0,"",(P127-MIN($P$2:$P$252))/(MAX($P$2:$P$252)-MIN($P$2:$P$252))*100))</x:f>
      </x:c>
      <x:c r="BG127">
        <x:f>IF(AF127="","",LOG10(AF127+1))</x:f>
      </x:c>
      <x:c r="BH127" s="10">
        <x:f>IF(BG127="","",IF(MAX($BG$2:$BG$252)-MIN($BG$2:$BG$252)=0,"",(BG127-MIN($BG$2:$BG$252))/(MAX($BG$2:$BG$252)-MIN($BG$2:$BG$252))*100))</x:f>
      </x:c>
      <x:c r="BI127">
        <x:f>IF(AC127="","",LOG10(AC127+1))</x:f>
      </x:c>
      <x:c r="BJ127" s="10">
        <x:f>IF(BI127="","",IF(MAX($BI$2:$BI$252)-MIN($BI$2:$BI$252)=0,"",(BI127-MIN($BI$2:$BI$252))/(MAX($BI$2:$BI$252)-MIN($BI$2:$BI$252))*100))</x:f>
      </x:c>
      <x:c r="BK127">
        <x:f>IF(AD127="","",(AD127*2)+(AE127*1))</x:f>
      </x:c>
      <x:c r="BL127" s="10">
        <x:f>IF(BK127="","",IF(MAX($BK$2:$BK$252)-MIN($BK$2:$BK$252)=0,"",(BK127-MIN($BK$2:$BK$252))/(MAX($BK$2:$BK$252)-MIN($BK$2:$BK$252))*100))</x:f>
      </x:c>
      <x:c r="BM127" s="10">
        <x:f>IF(AB127="","",IF(MAX($AB$2:$AB$252)-MIN($AB$2:$AB$252)=0,"",(AB127-MIN($AB$2:$AB$252))/(MAX($AB$2:$AB$252)-MIN($AB$2:$AB$252))*100))</x:f>
      </x:c>
      <x:c r="BN127" s="10">
        <x:f>IF(X127="","",X127)</x:f>
      </x:c>
      <x:c r="BO127" s="10">
        <x:f>IF(X127="","",100-X127)</x:f>
      </x:c>
      <x:c r="BP127" s="10">
        <x:f>IF((Weights!$C$2*IF(BH127="",0,1)+Weights!$C$3*IF(BJ127="",0,1)+Weights!$C$4*IF(BL127="",0,1))=0,"",(Weights!$C$2*IF(BH127="",0,BH127)+Weights!$C$3*IF(BJ127="",0,BJ127)+Weights!$C$4*IF(BL127="",0,BL127))/(Weights!$C$2*IF(BH127="",0,1)+Weights!$C$3*IF(BJ127="",0,1)+Weights!$C$4*IF(BL127="",0,1)))</x:f>
      </x:c>
      <x:c r="BQ127" s="10">
        <x:f>IF((Weights!$C$5*IF(BA127="",0,1)+Weights!$C$6*IF(AW127="",0,1)+Weights!$C$7*IF(AU127="",0,1))=0,"",(Weights!$C$5*IF(BA127="",0,BA127)+Weights!$C$6*IF(AW127="",0,AW127)+Weights!$C$7*IF(AU127="",0,AU127))/(Weights!$C$5*IF(BA127="",0,1)+Weights!$C$6*IF(AW127="",0,1)+Weights!$C$7*IF(AU127="",0,1)))</x:f>
      </x:c>
      <x:c r="BR127" s="10">
        <x:f>IF((Weights!$C$8*IF(AW127="",0,1)+Weights!$C$9*IF(BC127="",0,1)+Weights!$C$10*IF(BF127="",0,1))=0,"",(Weights!$C$8*IF(AW127="",0,AW127)+Weights!$C$9*IF(BC127="",0,BC127)+Weights!$C$10*IF(BF127="",0,BF127))/(Weights!$C$8*IF(AW127="",0,1)+Weights!$C$9*IF(BC127="",0,1)+Weights!$C$10*IF(BF127="",0,1)))</x:f>
      </x:c>
      <x:c r="BS127" s="10">
        <x:f>IF(Y127="","",Y127)</x:f>
      </x:c>
      <x:c r="BT127" s="10">
        <x:f>IF(AS127="","",AS127)</x:f>
      </x:c>
      <x:c r="BU127" s="10">
        <x:f>IF(AJ127&lt;&gt;"",(0.6*AJ127+0.4*AU127),IF((Weights!$C$11*IF(AU127="",0,1)+Weights!$C$12*IF(BM127="",0,1))=0,"",(Weights!$C$11*IF(AU127="",0,AU127)+Weights!$C$12*IF(BM127="",0,BM127))/(Weights!$C$11*IF(AU127="",0,1)+Weights!$C$12*IF(BM127="",0,1))))</x:f>
      </x:c>
      <x:c r="BV127" s="10">
        <x:f>IF(CG127="",0,CG127)</x:f>
      </x:c>
      <x:c r="BW127" s="10">
        <x:f>IF(AP127="","",AP127)</x:f>
      </x:c>
      <x:c r="BX127" s="10">
        <x:f>IF(AO127="","",AO127)</x:f>
      </x:c>
      <x:c r="BY127" s="10">
        <x:f>IF(AL127="","",AL127)</x:f>
      </x:c>
      <x:c r="BZ127" s="10">
        <x:f>IF(AM127="","",AM127)</x:f>
      </x:c>
      <x:c r="CA127" s="10">
        <x:f>IF(AK127&lt;&gt;"",AK127,AW127)</x:f>
      </x:c>
      <x:c r="CB127" s="10">
        <x:f>IF((Weights!$C$13*IF(BP127="",0,1)+Weights!$C$14*IF(BR127="",0,1)+Weights!$C$15*IF(BQ127="",0,1)+Weights!$C$16*IF(BS127="",0,1)+Weights!$C$17*IF(BU127="",0,1)+Weights!$C$18*IF(BT127="",0,1)+Weights!$C$19*IF(BW127="",0,1)+Weights!$C$20*IF(BZ127="",0,1)+Weights!$C$21*IF(BO127="",0,1)+Weights!$C$22)=0,"",(Weights!$C$13*IF(BP127="",0,BP127)+Weights!$C$14*IF(BR127="",0,BR127)+Weights!$C$15*IF(BQ127="",0,BQ127)+Weights!$C$16*IF(BS127="",0,BS127)+Weights!$C$17*IF(BU127="",0,BU127)+Weights!$C$18*IF(BT127="",0,BT127)+Weights!$C$19*IF(BW127="",0,BW127)+Weights!$C$20*IF(BZ127="",0,BZ127)+Weights!$C$21*IF(BO127="",0,BO127)+Weights!$C$22*BV127)/(Weights!$C$13*IF(BP127="",0,1)+Weights!$C$14*IF(BR127="",0,1)+Weights!$C$15*IF(BQ127="",0,1)+Weights!$C$16*IF(BS127="",0,1)+Weights!$C$17*IF(BU127="",0,1)+Weights!$C$18*IF(BT127="",0,1)+Weights!$C$19*IF(BW127="",0,1)+Weights!$C$20*IF(BZ127="",0,1)+Weights!$C$21*IF(BO127="",0,1)+Weights!$C$22))</x:f>
      </x:c>
      <x:c r="CC127" s="10">
        <x:f>IF((Weights!$C$23*IF(BQ127="",0,1)+Weights!$C$24*IF(BN127="",0,1)+Weights!$C$25*IF(BS127="",0,1)+Weights!$C$26*IF(BY127="",0,1)+Weights!$C$27*IF(BX127="",0,1)+Weights!$C$28*IF(BT127="",0,1)+Weights!$C$29*IF(CA127="",0,1)+Weights!$C$30+Weights!$C$31*IF(BU127="",0,1))=0,"",(Weights!$C$23*IF(BQ127="",0,BQ127)+Weights!$C$24*IF(BN127="",0,BN127)+Weights!$C$25*IF(BS127="",0,BS127)+Weights!$C$26*IF(BY127="",0,BY127)+Weights!$C$27*IF(BX127="",0,BX127)+Weights!$C$28*IF(BT127="",0,BT127)+Weights!$C$29*IF(CA127="",0,CA127)+Weights!$C$30*BV127+Weights!$C$31*IF(BU127="",0,BU127))/(Weights!$C$23*IF(BQ127="",0,1)+Weights!$C$24*IF(BN127="",0,1)+Weights!$C$25*IF(BS127="",0,1)+Weights!$C$26*IF(BY127="",0,1)+Weights!$C$27*IF(BX127="",0,1)+Weights!$C$28*IF(BT127="",0,1)+Weights!$C$29*IF(CA127="",0,1)+Weights!$C$30+Weights!$C$31*IF(BU127="",0,1)))</x:f>
      </x:c>
      <x:c r="CD127" s="10">
        <x:f>IF(AND(CB127="",CC127=""),"",IF(CB127="",CC127,IF(CC127="",CB127,AVERAGE(CB127,CC127))))</x:f>
      </x:c>
      <x:c r="CE127" s="7">
        <x:f>ROUND(100*((IF(BP127&lt;&gt;"",1,0)+IF(BQ127&lt;&gt;"",1,0)+IF(BR127&lt;&gt;"",1,0)+IF(BS127&lt;&gt;"",1,0)+IF(BU127&lt;&gt;"",1,0)+IF(BT127&lt;&gt;"",1,0)+IF(BN127&lt;&gt;"",1,0)+IF(AW127&lt;&gt;"",1,0))/8),0)</x:f>
      </x:c>
      <x:c r="CF127">
        <x:f>IF(V127="","",LOG10(V127+1))</x:f>
      </x:c>
      <x:c r="CG127">
        <x:f>IF(CF127="","",IF(MAX($CF$2:$CF$252)-MIN($CF$2:$CF$252)=0,"",(CF127-MIN($CF$2:$CF$252))/(MAX($CF$2:$CF$252)-MIN($CF$2:$CF$252))*100))</x:f>
      </x:c>
    </x:row>
    <x:row r="128">
      <x:c r="A128" t="inlineStr">
        <x:is>
          <x:t xml:space="preserve">BGR</x:t>
        </x:is>
      </x:c>
      <x:c r="B128" t="inlineStr">
        <x:is>
          <x:t xml:space="preserve">Bulgaria</x:t>
        </x:is>
      </x:c>
      <x:c r="C128" t="inlineStr">
        <x:is>
          <x:t xml:space="preserve">Europe &amp; Central Asia</x:t>
        </x:is>
      </x:c>
      <x:c r="D128" t="inlineStr">
        <x:is>
          <x:t xml:space="preserve">High income</x:t>
        </x:is>
      </x:c>
      <x:c r="E128" t="inlineStr">
        <x:is>
          <x:t xml:space="preserve">Europe</x:t>
        </x:is>
      </x:c>
      <x:c r="F128" t="n">
        <x:v>2024</x:v>
      </x:c>
      <x:c r="G128" t="n">
        <x:v>6441421</x:v>
      </x:c>
      <x:c r="H128" t="n">
        <x:v>2020</x:v>
      </x:c>
      <x:c r="I128" t="n">
        <x:v>37000</x:v>
      </x:c>
      <x:c r="J128" t="n">
        <x:v>24050</x:v>
      </x:c>
      <x:c r="K128" t="n">
        <x:v>7400</x:v>
      </x:c>
      <x:c r="L128" t="n">
        <x:v>4440</x:v>
      </x:c>
      <x:c r="M128" t="n">
        <x:v>2024</x:v>
      </x:c>
      <x:c r="N128" s="8" t="n">
        <x:v>2329834254.14365</x:v>
      </x:c>
      <x:c r="O128" s="9" t="n">
        <x:v>2.14947328244853</x:v>
      </x:c>
      <x:c r="P128" s="8" t="n">
        <x:v>62968.49335523378</x:v>
      </x:c>
      <x:c r="Q128" t="n">
        <x:v>2024</x:v>
      </x:c>
      <x:c r="R128" s="8" t="n">
        <x:v>113343355779.985</x:v>
      </x:c>
      <x:c r="S128" t="n">
        <x:v>2</x:v>
      </x:c>
      <x:c r="T128" t="n">
        <x:v>0</x:v>
      </x:c>
      <x:c r="U128" t="inlineStr">
        <x:is>
          <x:t xml:space="preserve">No</x:t>
        </x:is>
      </x:c>
      <x:c r="W128" t="inlineStr">
        <x:is>
          <x:t xml:space="preserve">No</x:t>
        </x:is>
      </x:c>
      <x:c r="X128" t="n">
        <x:v>13.5979555302057</x:v>
      </x:c>
      <x:c r="Y128" t="n">
        <x:v>63.97148159343514</x:v>
      </x:c>
      <x:c r="Z128" t="n">
        <x:v>110216.8750591178</x:v>
      </x:c>
      <x:c r="AA128" t="n">
        <x:v>64.4321479464094</x:v>
      </x:c>
      <x:c r="AB128" s="8" t="n">
        <x:v>20150.64401796238</x:v>
      </x:c>
      <x:c r="AC128" t="n">
        <x:v>40</x:v>
      </x:c>
      <x:c r="AD128" t="n">
        <x:v>0</x:v>
      </x:c>
      <x:c r="AE128" t="n">
        <x:v>0</x:v>
      </x:c>
      <x:c r="AR128">
        <x:f>IF(G128="","",LOG10(G128+1))</x:f>
      </x:c>
      <x:c r="AS128" s="10">
        <x:f>IF(AR128="","",IF(MAX($AR$2:$AR$252)-MIN($AR$2:$AR$252)=0,"",(AR128-MIN($AR$2:$AR$252))/(MAX($AR$2:$AR$252)-MIN($AR$2:$AR$252))*100))</x:f>
      </x:c>
      <x:c r="AT128">
        <x:f>IF(R128="","",LOG10(R128+1))</x:f>
      </x:c>
      <x:c r="AU128" s="10">
        <x:f>IF(AT128="","",IF(MAX($AT$2:$AT$252)-MIN($AT$2:$AT$252)=0,"",(AT128-MIN($AT$2:$AT$252))/(MAX($AT$2:$AT$252)-MIN($AT$2:$AT$252))*100))</x:f>
      </x:c>
      <x:c r="AV128">
        <x:f>IF(N128="","",LOG10(N128+1))</x:f>
      </x:c>
      <x:c r="AW128" s="10">
        <x:f>IF(AV128="","",IF(MAX($AV$2:$AV$252)-MIN($AV$2:$AV$252)=0,"",(AV128-MIN($AV$2:$AV$252))/(MAX($AV$2:$AV$252)-MIN($AV$2:$AV$252))*100))</x:f>
      </x:c>
      <x:c r="AX128">
        <x:f>IF(I128="","",LOG10(I128+1))</x:f>
      </x:c>
      <x:c r="AY128" s="10">
        <x:f>IF(AX128="","",IF(MAX($AX$2:$AX$252)-MIN($AX$2:$AX$252)=0,"",(AX128-MIN($AX$2:$AX$252))/(MAX($AX$2:$AX$252)-MIN($AX$2:$AX$252))*100))</x:f>
      </x:c>
      <x:c r="AZ128">
        <x:f>IF(J128="","",LOG10(J128+1))</x:f>
      </x:c>
      <x:c r="BA128" s="10">
        <x:f>IF(AZ128="","",IF(MAX($AZ$2:$AZ$252)-MIN($AZ$2:$AZ$252)=0,"",(AZ128-MIN($AZ$2:$AZ$252))/(MAX($AZ$2:$AZ$252)-MIN($AZ$2:$AZ$252))*100))</x:f>
      </x:c>
      <x:c r="BB128">
        <x:f>IF(K128="","",LOG10(K128+1))</x:f>
      </x:c>
      <x:c r="BC128" s="10">
        <x:f>IF(BB128="","",IF(MAX($BB$2:$BB$252)-MIN($BB$2:$BB$252)=0,"",(BB128-MIN($BB$2:$BB$252))/(MAX($BB$2:$BB$252)-MIN($BB$2:$BB$252))*100))</x:f>
      </x:c>
      <x:c r="BD128">
        <x:f>IF(L128="","",LOG10(L128+1))</x:f>
      </x:c>
      <x:c r="BE128" s="10">
        <x:f>IF(BD128="","",IF(MAX($BD$2:$BD$252)-MIN($BD$2:$BD$252)=0,"",(BD128-MIN($BD$2:$BD$252))/(MAX($BD$2:$BD$252)-MIN($BD$2:$BD$252))*100))</x:f>
      </x:c>
      <x:c r="BF128" s="10">
        <x:f>IF(P128="","",IF(MAX($P$2:$P$252)-MIN($P$2:$P$252)=0,"",(P128-MIN($P$2:$P$252))/(MAX($P$2:$P$252)-MIN($P$2:$P$252))*100))</x:f>
      </x:c>
      <x:c r="BG128">
        <x:f>IF(AF128="","",LOG10(AF128+1))</x:f>
      </x:c>
      <x:c r="BH128" s="10">
        <x:f>IF(BG128="","",IF(MAX($BG$2:$BG$252)-MIN($BG$2:$BG$252)=0,"",(BG128-MIN($BG$2:$BG$252))/(MAX($BG$2:$BG$252)-MIN($BG$2:$BG$252))*100))</x:f>
      </x:c>
      <x:c r="BI128">
        <x:f>IF(AC128="","",LOG10(AC128+1))</x:f>
      </x:c>
      <x:c r="BJ128" s="10">
        <x:f>IF(BI128="","",IF(MAX($BI$2:$BI$252)-MIN($BI$2:$BI$252)=0,"",(BI128-MIN($BI$2:$BI$252))/(MAX($BI$2:$BI$252)-MIN($BI$2:$BI$252))*100))</x:f>
      </x:c>
      <x:c r="BK128">
        <x:f>IF(AD128="","",(AD128*2)+(AE128*1))</x:f>
      </x:c>
      <x:c r="BL128" s="10">
        <x:f>IF(BK128="","",IF(MAX($BK$2:$BK$252)-MIN($BK$2:$BK$252)=0,"",(BK128-MIN($BK$2:$BK$252))/(MAX($BK$2:$BK$252)-MIN($BK$2:$BK$252))*100))</x:f>
      </x:c>
      <x:c r="BM128" s="10">
        <x:f>IF(AB128="","",IF(MAX($AB$2:$AB$252)-MIN($AB$2:$AB$252)=0,"",(AB128-MIN($AB$2:$AB$252))/(MAX($AB$2:$AB$252)-MIN($AB$2:$AB$252))*100))</x:f>
      </x:c>
      <x:c r="BN128" s="10">
        <x:f>IF(X128="","",X128)</x:f>
      </x:c>
      <x:c r="BO128" s="10">
        <x:f>IF(X128="","",100-X128)</x:f>
      </x:c>
      <x:c r="BP128" s="10">
        <x:f>IF((Weights!$C$2*IF(BH128="",0,1)+Weights!$C$3*IF(BJ128="",0,1)+Weights!$C$4*IF(BL128="",0,1))=0,"",(Weights!$C$2*IF(BH128="",0,BH128)+Weights!$C$3*IF(BJ128="",0,BJ128)+Weights!$C$4*IF(BL128="",0,BL128))/(Weights!$C$2*IF(BH128="",0,1)+Weights!$C$3*IF(BJ128="",0,1)+Weights!$C$4*IF(BL128="",0,1)))</x:f>
      </x:c>
      <x:c r="BQ128" s="10">
        <x:f>IF((Weights!$C$5*IF(BA128="",0,1)+Weights!$C$6*IF(AW128="",0,1)+Weights!$C$7*IF(AU128="",0,1))=0,"",(Weights!$C$5*IF(BA128="",0,BA128)+Weights!$C$6*IF(AW128="",0,AW128)+Weights!$C$7*IF(AU128="",0,AU128))/(Weights!$C$5*IF(BA128="",0,1)+Weights!$C$6*IF(AW128="",0,1)+Weights!$C$7*IF(AU128="",0,1)))</x:f>
      </x:c>
      <x:c r="BR128" s="10">
        <x:f>IF((Weights!$C$8*IF(AW128="",0,1)+Weights!$C$9*IF(BC128="",0,1)+Weights!$C$10*IF(BF128="",0,1))=0,"",(Weights!$C$8*IF(AW128="",0,AW128)+Weights!$C$9*IF(BC128="",0,BC128)+Weights!$C$10*IF(BF128="",0,BF128))/(Weights!$C$8*IF(AW128="",0,1)+Weights!$C$9*IF(BC128="",0,1)+Weights!$C$10*IF(BF128="",0,1)))</x:f>
      </x:c>
      <x:c r="BS128" s="10">
        <x:f>IF(Y128="","",Y128)</x:f>
      </x:c>
      <x:c r="BT128" s="10">
        <x:f>IF(AS128="","",AS128)</x:f>
      </x:c>
      <x:c r="BU128" s="10">
        <x:f>IF(AJ128&lt;&gt;"",(0.6*AJ128+0.4*AU128),IF((Weights!$C$11*IF(AU128="",0,1)+Weights!$C$12*IF(BM128="",0,1))=0,"",(Weights!$C$11*IF(AU128="",0,AU128)+Weights!$C$12*IF(BM128="",0,BM128))/(Weights!$C$11*IF(AU128="",0,1)+Weights!$C$12*IF(BM128="",0,1))))</x:f>
      </x:c>
      <x:c r="BV128" s="10">
        <x:f>IF(CG128="",0,CG128)</x:f>
      </x:c>
      <x:c r="BW128" s="10">
        <x:f>IF(AP128="","",AP128)</x:f>
      </x:c>
      <x:c r="BX128" s="10">
        <x:f>IF(AO128="","",AO128)</x:f>
      </x:c>
      <x:c r="BY128" s="10">
        <x:f>IF(AL128="","",AL128)</x:f>
      </x:c>
      <x:c r="BZ128" s="10">
        <x:f>IF(AM128="","",AM128)</x:f>
      </x:c>
      <x:c r="CA128" s="10">
        <x:f>IF(AK128&lt;&gt;"",AK128,AW128)</x:f>
      </x:c>
      <x:c r="CB128" s="10">
        <x:f>IF((Weights!$C$13*IF(BP128="",0,1)+Weights!$C$14*IF(BR128="",0,1)+Weights!$C$15*IF(BQ128="",0,1)+Weights!$C$16*IF(BS128="",0,1)+Weights!$C$17*IF(BU128="",0,1)+Weights!$C$18*IF(BT128="",0,1)+Weights!$C$19*IF(BW128="",0,1)+Weights!$C$20*IF(BZ128="",0,1)+Weights!$C$21*IF(BO128="",0,1)+Weights!$C$22)=0,"",(Weights!$C$13*IF(BP128="",0,BP128)+Weights!$C$14*IF(BR128="",0,BR128)+Weights!$C$15*IF(BQ128="",0,BQ128)+Weights!$C$16*IF(BS128="",0,BS128)+Weights!$C$17*IF(BU128="",0,BU128)+Weights!$C$18*IF(BT128="",0,BT128)+Weights!$C$19*IF(BW128="",0,BW128)+Weights!$C$20*IF(BZ128="",0,BZ128)+Weights!$C$21*IF(BO128="",0,BO128)+Weights!$C$22*BV128)/(Weights!$C$13*IF(BP128="",0,1)+Weights!$C$14*IF(BR128="",0,1)+Weights!$C$15*IF(BQ128="",0,1)+Weights!$C$16*IF(BS128="",0,1)+Weights!$C$17*IF(BU128="",0,1)+Weights!$C$18*IF(BT128="",0,1)+Weights!$C$19*IF(BW128="",0,1)+Weights!$C$20*IF(BZ128="",0,1)+Weights!$C$21*IF(BO128="",0,1)+Weights!$C$22))</x:f>
      </x:c>
      <x:c r="CC128" s="10">
        <x:f>IF((Weights!$C$23*IF(BQ128="",0,1)+Weights!$C$24*IF(BN128="",0,1)+Weights!$C$25*IF(BS128="",0,1)+Weights!$C$26*IF(BY128="",0,1)+Weights!$C$27*IF(BX128="",0,1)+Weights!$C$28*IF(BT128="",0,1)+Weights!$C$29*IF(CA128="",0,1)+Weights!$C$30+Weights!$C$31*IF(BU128="",0,1))=0,"",(Weights!$C$23*IF(BQ128="",0,BQ128)+Weights!$C$24*IF(BN128="",0,BN128)+Weights!$C$25*IF(BS128="",0,BS128)+Weights!$C$26*IF(BY128="",0,BY128)+Weights!$C$27*IF(BX128="",0,BX128)+Weights!$C$28*IF(BT128="",0,BT128)+Weights!$C$29*IF(CA128="",0,CA128)+Weights!$C$30*BV128+Weights!$C$31*IF(BU128="",0,BU128))/(Weights!$C$23*IF(BQ128="",0,1)+Weights!$C$24*IF(BN128="",0,1)+Weights!$C$25*IF(BS128="",0,1)+Weights!$C$26*IF(BY128="",0,1)+Weights!$C$27*IF(BX128="",0,1)+Weights!$C$28*IF(BT128="",0,1)+Weights!$C$29*IF(CA128="",0,1)+Weights!$C$30+Weights!$C$31*IF(BU128="",0,1)))</x:f>
      </x:c>
      <x:c r="CD128" s="10">
        <x:f>IF(AND(CB128="",CC128=""),"",IF(CB128="",CC128,IF(CC128="",CB128,AVERAGE(CB128,CC128))))</x:f>
      </x:c>
      <x:c r="CE128" s="7">
        <x:f>ROUND(100*((IF(BP128&lt;&gt;"",1,0)+IF(BQ128&lt;&gt;"",1,0)+IF(BR128&lt;&gt;"",1,0)+IF(BS128&lt;&gt;"",1,0)+IF(BU128&lt;&gt;"",1,0)+IF(BT128&lt;&gt;"",1,0)+IF(BN128&lt;&gt;"",1,0)+IF(AW128&lt;&gt;"",1,0))/8),0)</x:f>
      </x:c>
      <x:c r="CF128">
        <x:f>IF(V128="","",LOG10(V128+1))</x:f>
      </x:c>
      <x:c r="CG128">
        <x:f>IF(CF128="","",IF(MAX($CF$2:$CF$252)-MIN($CF$2:$CF$252)=0,"",(CF128-MIN($CF$2:$CF$252))/(MAX($CF$2:$CF$252)-MIN($CF$2:$CF$252))*100))</x:f>
      </x:c>
    </x:row>
    <x:row r="129">
      <x:c r="A129" t="inlineStr">
        <x:is>
          <x:t xml:space="preserve">BDI</x:t>
        </x:is>
      </x:c>
      <x:c r="B129" t="inlineStr">
        <x:is>
          <x:t xml:space="preserve">Burundi</x:t>
        </x:is>
      </x:c>
      <x:c r="C129" t="inlineStr">
        <x:is>
          <x:t xml:space="preserve">Sub-Saharan Africa</x:t>
        </x:is>
      </x:c>
      <x:c r="D129" t="inlineStr">
        <x:is>
          <x:t xml:space="preserve">Low income</x:t>
        </x:is>
      </x:c>
      <x:c r="E129" t="inlineStr">
        <x:is>
          <x:t xml:space="preserve">Africa</x:t>
        </x:is>
      </x:c>
      <x:c r="F129" t="n">
        <x:v>2024</x:v>
      </x:c>
      <x:c r="G129" t="n">
        <x:v>14047786</x:v>
      </x:c>
      <x:c r="H129" t="n">
        <x:v>2020</x:v>
      </x:c>
      <x:c r="I129" t="n">
        <x:v>31000</x:v>
      </x:c>
      <x:c r="J129" t="n">
        <x:v>20150</x:v>
      </x:c>
      <x:c r="K129" t="n">
        <x:v>6200</x:v>
      </x:c>
      <x:c r="L129" t="n">
        <x:v>3720</x:v>
      </x:c>
      <x:c r="M129" t="n">
        <x:v>2024</x:v>
      </x:c>
      <x:c r="N129" s="8" t="n">
        <x:v>171829784.578258</x:v>
      </x:c>
      <x:c r="O129" s="9" t="n">
        <x:v>3.80127919699841</x:v>
      </x:c>
      <x:c r="P129" s="8" t="n">
        <x:v>5542.896276718</x:v>
      </x:c>
      <x:c r="Q129" t="n">
        <x:v>2024</x:v>
      </x:c>
      <x:c r="R129" s="8" t="n">
        <x:v>3082433067.32634</x:v>
      </x:c>
      <x:c r="S129" t="n">
        <x:v>0</x:v>
      </x:c>
      <x:c r="T129" t="n">
        <x:v>0</x:v>
      </x:c>
      <x:c r="U129" t="inlineStr">
        <x:is>
          <x:t xml:space="preserve">No</x:t>
        </x:is>
      </x:c>
      <x:c r="W129" t="inlineStr">
        <x:is>
          <x:t xml:space="preserve">No</x:t>
        </x:is>
      </x:c>
      <x:c r="X129" t="n">
        <x:v>8.187290264562792</x:v>
      </x:c>
      <x:c r="Y129" t="n">
        <x:v>26.45406751365801</x:v>
      </x:c>
      <x:c r="Z129" t="n">
        <x:v>26238.94785927363</x:v>
      </x:c>
      <x:c r="AA129" t="n">
        <x:v>437.0127972165357</x:v>
      </x:c>
      <x:c r="AB129" s="8" t="n">
        <x:v>688.2504520022925</x:v>
      </x:c>
      <x:c r="AR129">
        <x:f>IF(G129="","",LOG10(G129+1))</x:f>
      </x:c>
      <x:c r="AS129" s="10">
        <x:f>IF(AR129="","",IF(MAX($AR$2:$AR$252)-MIN($AR$2:$AR$252)=0,"",(AR129-MIN($AR$2:$AR$252))/(MAX($AR$2:$AR$252)-MIN($AR$2:$AR$252))*100))</x:f>
      </x:c>
      <x:c r="AT129">
        <x:f>IF(R129="","",LOG10(R129+1))</x:f>
      </x:c>
      <x:c r="AU129" s="10">
        <x:f>IF(AT129="","",IF(MAX($AT$2:$AT$252)-MIN($AT$2:$AT$252)=0,"",(AT129-MIN($AT$2:$AT$252))/(MAX($AT$2:$AT$252)-MIN($AT$2:$AT$252))*100))</x:f>
      </x:c>
      <x:c r="AV129">
        <x:f>IF(N129="","",LOG10(N129+1))</x:f>
      </x:c>
      <x:c r="AW129" s="10">
        <x:f>IF(AV129="","",IF(MAX($AV$2:$AV$252)-MIN($AV$2:$AV$252)=0,"",(AV129-MIN($AV$2:$AV$252))/(MAX($AV$2:$AV$252)-MIN($AV$2:$AV$252))*100))</x:f>
      </x:c>
      <x:c r="AX129">
        <x:f>IF(I129="","",LOG10(I129+1))</x:f>
      </x:c>
      <x:c r="AY129" s="10">
        <x:f>IF(AX129="","",IF(MAX($AX$2:$AX$252)-MIN($AX$2:$AX$252)=0,"",(AX129-MIN($AX$2:$AX$252))/(MAX($AX$2:$AX$252)-MIN($AX$2:$AX$252))*100))</x:f>
      </x:c>
      <x:c r="AZ129">
        <x:f>IF(J129="","",LOG10(J129+1))</x:f>
      </x:c>
      <x:c r="BA129" s="10">
        <x:f>IF(AZ129="","",IF(MAX($AZ$2:$AZ$252)-MIN($AZ$2:$AZ$252)=0,"",(AZ129-MIN($AZ$2:$AZ$252))/(MAX($AZ$2:$AZ$252)-MIN($AZ$2:$AZ$252))*100))</x:f>
      </x:c>
      <x:c r="BB129">
        <x:f>IF(K129="","",LOG10(K129+1))</x:f>
      </x:c>
      <x:c r="BC129" s="10">
        <x:f>IF(BB129="","",IF(MAX($BB$2:$BB$252)-MIN($BB$2:$BB$252)=0,"",(BB129-MIN($BB$2:$BB$252))/(MAX($BB$2:$BB$252)-MIN($BB$2:$BB$252))*100))</x:f>
      </x:c>
      <x:c r="BD129">
        <x:f>IF(L129="","",LOG10(L129+1))</x:f>
      </x:c>
      <x:c r="BE129" s="10">
        <x:f>IF(BD129="","",IF(MAX($BD$2:$BD$252)-MIN($BD$2:$BD$252)=0,"",(BD129-MIN($BD$2:$BD$252))/(MAX($BD$2:$BD$252)-MIN($BD$2:$BD$252))*100))</x:f>
      </x:c>
      <x:c r="BF129" s="10">
        <x:f>IF(P129="","",IF(MAX($P$2:$P$252)-MIN($P$2:$P$252)=0,"",(P129-MIN($P$2:$P$252))/(MAX($P$2:$P$252)-MIN($P$2:$P$252))*100))</x:f>
      </x:c>
      <x:c r="BG129">
        <x:f>IF(AF129="","",LOG10(AF129+1))</x:f>
      </x:c>
      <x:c r="BH129" s="10">
        <x:f>IF(BG129="","",IF(MAX($BG$2:$BG$252)-MIN($BG$2:$BG$252)=0,"",(BG129-MIN($BG$2:$BG$252))/(MAX($BG$2:$BG$252)-MIN($BG$2:$BG$252))*100))</x:f>
      </x:c>
      <x:c r="BI129">
        <x:f>IF(AC129="","",LOG10(AC129+1))</x:f>
      </x:c>
      <x:c r="BJ129" s="10">
        <x:f>IF(BI129="","",IF(MAX($BI$2:$BI$252)-MIN($BI$2:$BI$252)=0,"",(BI129-MIN($BI$2:$BI$252))/(MAX($BI$2:$BI$252)-MIN($BI$2:$BI$252))*100))</x:f>
      </x:c>
      <x:c r="BK129">
        <x:f>IF(AD129="","",(AD129*2)+(AE129*1))</x:f>
      </x:c>
      <x:c r="BL129" s="10">
        <x:f>IF(BK129="","",IF(MAX($BK$2:$BK$252)-MIN($BK$2:$BK$252)=0,"",(BK129-MIN($BK$2:$BK$252))/(MAX($BK$2:$BK$252)-MIN($BK$2:$BK$252))*100))</x:f>
      </x:c>
      <x:c r="BM129" s="10">
        <x:f>IF(AB129="","",IF(MAX($AB$2:$AB$252)-MIN($AB$2:$AB$252)=0,"",(AB129-MIN($AB$2:$AB$252))/(MAX($AB$2:$AB$252)-MIN($AB$2:$AB$252))*100))</x:f>
      </x:c>
      <x:c r="BN129" s="10">
        <x:f>IF(X129="","",X129)</x:f>
      </x:c>
      <x:c r="BO129" s="10">
        <x:f>IF(X129="","",100-X129)</x:f>
      </x:c>
      <x:c r="BP129" s="10">
        <x:f>IF((Weights!$C$2*IF(BH129="",0,1)+Weights!$C$3*IF(BJ129="",0,1)+Weights!$C$4*IF(BL129="",0,1))=0,"",(Weights!$C$2*IF(BH129="",0,BH129)+Weights!$C$3*IF(BJ129="",0,BJ129)+Weights!$C$4*IF(BL129="",0,BL129))/(Weights!$C$2*IF(BH129="",0,1)+Weights!$C$3*IF(BJ129="",0,1)+Weights!$C$4*IF(BL129="",0,1)))</x:f>
      </x:c>
      <x:c r="BQ129" s="10">
        <x:f>IF((Weights!$C$5*IF(BA129="",0,1)+Weights!$C$6*IF(AW129="",0,1)+Weights!$C$7*IF(AU129="",0,1))=0,"",(Weights!$C$5*IF(BA129="",0,BA129)+Weights!$C$6*IF(AW129="",0,AW129)+Weights!$C$7*IF(AU129="",0,AU129))/(Weights!$C$5*IF(BA129="",0,1)+Weights!$C$6*IF(AW129="",0,1)+Weights!$C$7*IF(AU129="",0,1)))</x:f>
      </x:c>
      <x:c r="BR129" s="10">
        <x:f>IF((Weights!$C$8*IF(AW129="",0,1)+Weights!$C$9*IF(BC129="",0,1)+Weights!$C$10*IF(BF129="",0,1))=0,"",(Weights!$C$8*IF(AW129="",0,AW129)+Weights!$C$9*IF(BC129="",0,BC129)+Weights!$C$10*IF(BF129="",0,BF129))/(Weights!$C$8*IF(AW129="",0,1)+Weights!$C$9*IF(BC129="",0,1)+Weights!$C$10*IF(BF129="",0,1)))</x:f>
      </x:c>
      <x:c r="BS129" s="10">
        <x:f>IF(Y129="","",Y129)</x:f>
      </x:c>
      <x:c r="BT129" s="10">
        <x:f>IF(AS129="","",AS129)</x:f>
      </x:c>
      <x:c r="BU129" s="10">
        <x:f>IF(AJ129&lt;&gt;"",(0.6*AJ129+0.4*AU129),IF((Weights!$C$11*IF(AU129="",0,1)+Weights!$C$12*IF(BM129="",0,1))=0,"",(Weights!$C$11*IF(AU129="",0,AU129)+Weights!$C$12*IF(BM129="",0,BM129))/(Weights!$C$11*IF(AU129="",0,1)+Weights!$C$12*IF(BM129="",0,1))))</x:f>
      </x:c>
      <x:c r="BV129" s="10">
        <x:f>IF(CG129="",0,CG129)</x:f>
      </x:c>
      <x:c r="BW129" s="10">
        <x:f>IF(AP129="","",AP129)</x:f>
      </x:c>
      <x:c r="BX129" s="10">
        <x:f>IF(AO129="","",AO129)</x:f>
      </x:c>
      <x:c r="BY129" s="10">
        <x:f>IF(AL129="","",AL129)</x:f>
      </x:c>
      <x:c r="BZ129" s="10">
        <x:f>IF(AM129="","",AM129)</x:f>
      </x:c>
      <x:c r="CA129" s="10">
        <x:f>IF(AK129&lt;&gt;"",AK129,AW129)</x:f>
      </x:c>
      <x:c r="CB129" s="10">
        <x:f>IF((Weights!$C$13*IF(BP129="",0,1)+Weights!$C$14*IF(BR129="",0,1)+Weights!$C$15*IF(BQ129="",0,1)+Weights!$C$16*IF(BS129="",0,1)+Weights!$C$17*IF(BU129="",0,1)+Weights!$C$18*IF(BT129="",0,1)+Weights!$C$19*IF(BW129="",0,1)+Weights!$C$20*IF(BZ129="",0,1)+Weights!$C$21*IF(BO129="",0,1)+Weights!$C$22)=0,"",(Weights!$C$13*IF(BP129="",0,BP129)+Weights!$C$14*IF(BR129="",0,BR129)+Weights!$C$15*IF(BQ129="",0,BQ129)+Weights!$C$16*IF(BS129="",0,BS129)+Weights!$C$17*IF(BU129="",0,BU129)+Weights!$C$18*IF(BT129="",0,BT129)+Weights!$C$19*IF(BW129="",0,BW129)+Weights!$C$20*IF(BZ129="",0,BZ129)+Weights!$C$21*IF(BO129="",0,BO129)+Weights!$C$22*BV129)/(Weights!$C$13*IF(BP129="",0,1)+Weights!$C$14*IF(BR129="",0,1)+Weights!$C$15*IF(BQ129="",0,1)+Weights!$C$16*IF(BS129="",0,1)+Weights!$C$17*IF(BU129="",0,1)+Weights!$C$18*IF(BT129="",0,1)+Weights!$C$19*IF(BW129="",0,1)+Weights!$C$20*IF(BZ129="",0,1)+Weights!$C$21*IF(BO129="",0,1)+Weights!$C$22))</x:f>
      </x:c>
      <x:c r="CC129" s="10">
        <x:f>IF((Weights!$C$23*IF(BQ129="",0,1)+Weights!$C$24*IF(BN129="",0,1)+Weights!$C$25*IF(BS129="",0,1)+Weights!$C$26*IF(BY129="",0,1)+Weights!$C$27*IF(BX129="",0,1)+Weights!$C$28*IF(BT129="",0,1)+Weights!$C$29*IF(CA129="",0,1)+Weights!$C$30+Weights!$C$31*IF(BU129="",0,1))=0,"",(Weights!$C$23*IF(BQ129="",0,BQ129)+Weights!$C$24*IF(BN129="",0,BN129)+Weights!$C$25*IF(BS129="",0,BS129)+Weights!$C$26*IF(BY129="",0,BY129)+Weights!$C$27*IF(BX129="",0,BX129)+Weights!$C$28*IF(BT129="",0,BT129)+Weights!$C$29*IF(CA129="",0,CA129)+Weights!$C$30*BV129+Weights!$C$31*IF(BU129="",0,BU129))/(Weights!$C$23*IF(BQ129="",0,1)+Weights!$C$24*IF(BN129="",0,1)+Weights!$C$25*IF(BS129="",0,1)+Weights!$C$26*IF(BY129="",0,1)+Weights!$C$27*IF(BX129="",0,1)+Weights!$C$28*IF(BT129="",0,1)+Weights!$C$29*IF(CA129="",0,1)+Weights!$C$30+Weights!$C$31*IF(BU129="",0,1)))</x:f>
      </x:c>
      <x:c r="CD129" s="10">
        <x:f>IF(AND(CB129="",CC129=""),"",IF(CB129="",CC129,IF(CC129="",CB129,AVERAGE(CB129,CC129))))</x:f>
      </x:c>
      <x:c r="CE129" s="7">
        <x:f>ROUND(100*((IF(BP129&lt;&gt;"",1,0)+IF(BQ129&lt;&gt;"",1,0)+IF(BR129&lt;&gt;"",1,0)+IF(BS129&lt;&gt;"",1,0)+IF(BU129&lt;&gt;"",1,0)+IF(BT129&lt;&gt;"",1,0)+IF(BN129&lt;&gt;"",1,0)+IF(AW129&lt;&gt;"",1,0))/8),0)</x:f>
      </x:c>
      <x:c r="CF129">
        <x:f>IF(V129="","",LOG10(V129+1))</x:f>
      </x:c>
      <x:c r="CG129">
        <x:f>IF(CF129="","",IF(MAX($CF$2:$CF$252)-MIN($CF$2:$CF$252)=0,"",(CF129-MIN($CF$2:$CF$252))/(MAX($CF$2:$CF$252)-MIN($CF$2:$CF$252))*100))</x:f>
      </x:c>
    </x:row>
    <x:row r="130">
      <x:c r="A130" t="inlineStr">
        <x:is>
          <x:t xml:space="preserve">CPV</x:t>
        </x:is>
      </x:c>
      <x:c r="B130" t="inlineStr">
        <x:is>
          <x:t xml:space="preserve">Cabo Verde</x:t>
        </x:is>
      </x:c>
      <x:c r="C130" t="inlineStr">
        <x:is>
          <x:t xml:space="preserve">Sub-Saharan Africa</x:t>
        </x:is>
      </x:c>
      <x:c r="D130" t="inlineStr">
        <x:is>
          <x:t xml:space="preserve">Upper middle income</x:t>
        </x:is>
      </x:c>
      <x:c r="F130" t="n">
        <x:v>2024</x:v>
      </x:c>
      <x:c r="G130" t="n">
        <x:v>524877</x:v>
      </x:c>
      <x:c r="H130" t="n">
        <x:v>2020</x:v>
      </x:c>
      <x:c r="I130" t="n">
        <x:v>1000</x:v>
      </x:c>
      <x:c r="J130" t="n">
        <x:v>650</x:v>
      </x:c>
      <x:c r="K130" t="n">
        <x:v>200</x:v>
      </x:c>
      <x:c r="L130" t="n">
        <x:v>120</x:v>
      </x:c>
      <x:c r="M130" t="n">
        <x:v>2024</x:v>
      </x:c>
      <x:c r="N130" s="8" t="n">
        <x:v>16827224.9254434</x:v>
      </x:c>
      <x:c r="O130" s="9" t="n">
        <x:v>0.623903407592831</x:v>
      </x:c>
      <x:c r="P130" s="8" t="n">
        <x:v>16827.2249254434</x:v>
      </x:c>
      <x:c r="Q130" t="n">
        <x:v>2024</x:v>
      </x:c>
      <x:c r="R130" s="8" t="n">
        <x:v>2725414150.72735</x:v>
      </x:c>
      <x:c r="S130" t="n">
        <x:v>0</x:v>
      </x:c>
      <x:c r="T130" t="n">
        <x:v>0</x:v>
      </x:c>
      <x:c r="U130" t="inlineStr">
        <x:is>
          <x:t xml:space="preserve">No</x:t>
        </x:is>
      </x:c>
      <x:c r="W130" t="inlineStr">
        <x:is>
          <x:t xml:space="preserve">No</x:t>
        </x:is>
      </x:c>
      <x:c r="AB130" s="8" t="n"/>
      <x:c r="AR130">
        <x:f>IF(G130="","",LOG10(G130+1))</x:f>
      </x:c>
      <x:c r="AS130" s="10">
        <x:f>IF(AR130="","",IF(MAX($AR$2:$AR$252)-MIN($AR$2:$AR$252)=0,"",(AR130-MIN($AR$2:$AR$252))/(MAX($AR$2:$AR$252)-MIN($AR$2:$AR$252))*100))</x:f>
      </x:c>
      <x:c r="AT130">
        <x:f>IF(R130="","",LOG10(R130+1))</x:f>
      </x:c>
      <x:c r="AU130" s="10">
        <x:f>IF(AT130="","",IF(MAX($AT$2:$AT$252)-MIN($AT$2:$AT$252)=0,"",(AT130-MIN($AT$2:$AT$252))/(MAX($AT$2:$AT$252)-MIN($AT$2:$AT$252))*100))</x:f>
      </x:c>
      <x:c r="AV130">
        <x:f>IF(N130="","",LOG10(N130+1))</x:f>
      </x:c>
      <x:c r="AW130" s="10">
        <x:f>IF(AV130="","",IF(MAX($AV$2:$AV$252)-MIN($AV$2:$AV$252)=0,"",(AV130-MIN($AV$2:$AV$252))/(MAX($AV$2:$AV$252)-MIN($AV$2:$AV$252))*100))</x:f>
      </x:c>
      <x:c r="AX130">
        <x:f>IF(I130="","",LOG10(I130+1))</x:f>
      </x:c>
      <x:c r="AY130" s="10">
        <x:f>IF(AX130="","",IF(MAX($AX$2:$AX$252)-MIN($AX$2:$AX$252)=0,"",(AX130-MIN($AX$2:$AX$252))/(MAX($AX$2:$AX$252)-MIN($AX$2:$AX$252))*100))</x:f>
      </x:c>
      <x:c r="AZ130">
        <x:f>IF(J130="","",LOG10(J130+1))</x:f>
      </x:c>
      <x:c r="BA130" s="10">
        <x:f>IF(AZ130="","",IF(MAX($AZ$2:$AZ$252)-MIN($AZ$2:$AZ$252)=0,"",(AZ130-MIN($AZ$2:$AZ$252))/(MAX($AZ$2:$AZ$252)-MIN($AZ$2:$AZ$252))*100))</x:f>
      </x:c>
      <x:c r="BB130">
        <x:f>IF(K130="","",LOG10(K130+1))</x:f>
      </x:c>
      <x:c r="BC130" s="10">
        <x:f>IF(BB130="","",IF(MAX($BB$2:$BB$252)-MIN($BB$2:$BB$252)=0,"",(BB130-MIN($BB$2:$BB$252))/(MAX($BB$2:$BB$252)-MIN($BB$2:$BB$252))*100))</x:f>
      </x:c>
      <x:c r="BD130">
        <x:f>IF(L130="","",LOG10(L130+1))</x:f>
      </x:c>
      <x:c r="BE130" s="10">
        <x:f>IF(BD130="","",IF(MAX($BD$2:$BD$252)-MIN($BD$2:$BD$252)=0,"",(BD130-MIN($BD$2:$BD$252))/(MAX($BD$2:$BD$252)-MIN($BD$2:$BD$252))*100))</x:f>
      </x:c>
      <x:c r="BF130" s="10">
        <x:f>IF(P130="","",IF(MAX($P$2:$P$252)-MIN($P$2:$P$252)=0,"",(P130-MIN($P$2:$P$252))/(MAX($P$2:$P$252)-MIN($P$2:$P$252))*100))</x:f>
      </x:c>
      <x:c r="BG130">
        <x:f>IF(AF130="","",LOG10(AF130+1))</x:f>
      </x:c>
      <x:c r="BH130" s="10">
        <x:f>IF(BG130="","",IF(MAX($BG$2:$BG$252)-MIN($BG$2:$BG$252)=0,"",(BG130-MIN($BG$2:$BG$252))/(MAX($BG$2:$BG$252)-MIN($BG$2:$BG$252))*100))</x:f>
      </x:c>
      <x:c r="BI130">
        <x:f>IF(AC130="","",LOG10(AC130+1))</x:f>
      </x:c>
      <x:c r="BJ130" s="10">
        <x:f>IF(BI130="","",IF(MAX($BI$2:$BI$252)-MIN($BI$2:$BI$252)=0,"",(BI130-MIN($BI$2:$BI$252))/(MAX($BI$2:$BI$252)-MIN($BI$2:$BI$252))*100))</x:f>
      </x:c>
      <x:c r="BK130">
        <x:f>IF(AD130="","",(AD130*2)+(AE130*1))</x:f>
      </x:c>
      <x:c r="BL130" s="10">
        <x:f>IF(BK130="","",IF(MAX($BK$2:$BK$252)-MIN($BK$2:$BK$252)=0,"",(BK130-MIN($BK$2:$BK$252))/(MAX($BK$2:$BK$252)-MIN($BK$2:$BK$252))*100))</x:f>
      </x:c>
      <x:c r="BM130" s="10">
        <x:f>IF(AB130="","",IF(MAX($AB$2:$AB$252)-MIN($AB$2:$AB$252)=0,"",(AB130-MIN($AB$2:$AB$252))/(MAX($AB$2:$AB$252)-MIN($AB$2:$AB$252))*100))</x:f>
      </x:c>
      <x:c r="BN130" s="10">
        <x:f>IF(X130="","",X130)</x:f>
      </x:c>
      <x:c r="BO130" s="10">
        <x:f>IF(X130="","",100-X130)</x:f>
      </x:c>
      <x:c r="BP130" s="10">
        <x:f>IF((Weights!$C$2*IF(BH130="",0,1)+Weights!$C$3*IF(BJ130="",0,1)+Weights!$C$4*IF(BL130="",0,1))=0,"",(Weights!$C$2*IF(BH130="",0,BH130)+Weights!$C$3*IF(BJ130="",0,BJ130)+Weights!$C$4*IF(BL130="",0,BL130))/(Weights!$C$2*IF(BH130="",0,1)+Weights!$C$3*IF(BJ130="",0,1)+Weights!$C$4*IF(BL130="",0,1)))</x:f>
      </x:c>
      <x:c r="BQ130" s="10">
        <x:f>IF((Weights!$C$5*IF(BA130="",0,1)+Weights!$C$6*IF(AW130="",0,1)+Weights!$C$7*IF(AU130="",0,1))=0,"",(Weights!$C$5*IF(BA130="",0,BA130)+Weights!$C$6*IF(AW130="",0,AW130)+Weights!$C$7*IF(AU130="",0,AU130))/(Weights!$C$5*IF(BA130="",0,1)+Weights!$C$6*IF(AW130="",0,1)+Weights!$C$7*IF(AU130="",0,1)))</x:f>
      </x:c>
      <x:c r="BR130" s="10">
        <x:f>IF((Weights!$C$8*IF(AW130="",0,1)+Weights!$C$9*IF(BC130="",0,1)+Weights!$C$10*IF(BF130="",0,1))=0,"",(Weights!$C$8*IF(AW130="",0,AW130)+Weights!$C$9*IF(BC130="",0,BC130)+Weights!$C$10*IF(BF130="",0,BF130))/(Weights!$C$8*IF(AW130="",0,1)+Weights!$C$9*IF(BC130="",0,1)+Weights!$C$10*IF(BF130="",0,1)))</x:f>
      </x:c>
      <x:c r="BS130" s="10">
        <x:f>IF(Y130="","",Y130)</x:f>
      </x:c>
      <x:c r="BT130" s="10">
        <x:f>IF(AS130="","",AS130)</x:f>
      </x:c>
      <x:c r="BU130" s="10">
        <x:f>IF(AJ130&lt;&gt;"",(0.6*AJ130+0.4*AU130),IF((Weights!$C$11*IF(AU130="",0,1)+Weights!$C$12*IF(BM130="",0,1))=0,"",(Weights!$C$11*IF(AU130="",0,AU130)+Weights!$C$12*IF(BM130="",0,BM130))/(Weights!$C$11*IF(AU130="",0,1)+Weights!$C$12*IF(BM130="",0,1))))</x:f>
      </x:c>
      <x:c r="BV130" s="10">
        <x:f>IF(CG130="",0,CG130)</x:f>
      </x:c>
      <x:c r="BW130" s="10">
        <x:f>IF(AP130="","",AP130)</x:f>
      </x:c>
      <x:c r="BX130" s="10">
        <x:f>IF(AO130="","",AO130)</x:f>
      </x:c>
      <x:c r="BY130" s="10">
        <x:f>IF(AL130="","",AL130)</x:f>
      </x:c>
      <x:c r="BZ130" s="10">
        <x:f>IF(AM130="","",AM130)</x:f>
      </x:c>
      <x:c r="CA130" s="10">
        <x:f>IF(AK130&lt;&gt;"",AK130,AW130)</x:f>
      </x:c>
      <x:c r="CB130" s="10">
        <x:f>IF((Weights!$C$13*IF(BP130="",0,1)+Weights!$C$14*IF(BR130="",0,1)+Weights!$C$15*IF(BQ130="",0,1)+Weights!$C$16*IF(BS130="",0,1)+Weights!$C$17*IF(BU130="",0,1)+Weights!$C$18*IF(BT130="",0,1)+Weights!$C$19*IF(BW130="",0,1)+Weights!$C$20*IF(BZ130="",0,1)+Weights!$C$21*IF(BO130="",0,1)+Weights!$C$22)=0,"",(Weights!$C$13*IF(BP130="",0,BP130)+Weights!$C$14*IF(BR130="",0,BR130)+Weights!$C$15*IF(BQ130="",0,BQ130)+Weights!$C$16*IF(BS130="",0,BS130)+Weights!$C$17*IF(BU130="",0,BU130)+Weights!$C$18*IF(BT130="",0,BT130)+Weights!$C$19*IF(BW130="",0,BW130)+Weights!$C$20*IF(BZ130="",0,BZ130)+Weights!$C$21*IF(BO130="",0,BO130)+Weights!$C$22*BV130)/(Weights!$C$13*IF(BP130="",0,1)+Weights!$C$14*IF(BR130="",0,1)+Weights!$C$15*IF(BQ130="",0,1)+Weights!$C$16*IF(BS130="",0,1)+Weights!$C$17*IF(BU130="",0,1)+Weights!$C$18*IF(BT130="",0,1)+Weights!$C$19*IF(BW130="",0,1)+Weights!$C$20*IF(BZ130="",0,1)+Weights!$C$21*IF(BO130="",0,1)+Weights!$C$22))</x:f>
      </x:c>
      <x:c r="CC130" s="10">
        <x:f>IF((Weights!$C$23*IF(BQ130="",0,1)+Weights!$C$24*IF(BN130="",0,1)+Weights!$C$25*IF(BS130="",0,1)+Weights!$C$26*IF(BY130="",0,1)+Weights!$C$27*IF(BX130="",0,1)+Weights!$C$28*IF(BT130="",0,1)+Weights!$C$29*IF(CA130="",0,1)+Weights!$C$30+Weights!$C$31*IF(BU130="",0,1))=0,"",(Weights!$C$23*IF(BQ130="",0,BQ130)+Weights!$C$24*IF(BN130="",0,BN130)+Weights!$C$25*IF(BS130="",0,BS130)+Weights!$C$26*IF(BY130="",0,BY130)+Weights!$C$27*IF(BX130="",0,BX130)+Weights!$C$28*IF(BT130="",0,BT130)+Weights!$C$29*IF(CA130="",0,CA130)+Weights!$C$30*BV130+Weights!$C$31*IF(BU130="",0,BU130))/(Weights!$C$23*IF(BQ130="",0,1)+Weights!$C$24*IF(BN130="",0,1)+Weights!$C$25*IF(BS130="",0,1)+Weights!$C$26*IF(BY130="",0,1)+Weights!$C$27*IF(BX130="",0,1)+Weights!$C$28*IF(BT130="",0,1)+Weights!$C$29*IF(CA130="",0,1)+Weights!$C$30+Weights!$C$31*IF(BU130="",0,1)))</x:f>
      </x:c>
      <x:c r="CD130" s="10">
        <x:f>IF(AND(CB130="",CC130=""),"",IF(CB130="",CC130,IF(CC130="",CB130,AVERAGE(CB130,CC130))))</x:f>
      </x:c>
      <x:c r="CE130" s="7">
        <x:f>ROUND(100*((IF(BP130&lt;&gt;"",1,0)+IF(BQ130&lt;&gt;"",1,0)+IF(BR130&lt;&gt;"",1,0)+IF(BS130&lt;&gt;"",1,0)+IF(BU130&lt;&gt;"",1,0)+IF(BT130&lt;&gt;"",1,0)+IF(BN130&lt;&gt;"",1,0)+IF(AW130&lt;&gt;"",1,0))/8),0)</x:f>
      </x:c>
      <x:c r="CF130">
        <x:f>IF(V130="","",LOG10(V130+1))</x:f>
      </x:c>
      <x:c r="CG130">
        <x:f>IF(CF130="","",IF(MAX($CF$2:$CF$252)-MIN($CF$2:$CF$252)=0,"",(CF130-MIN($CF$2:$CF$252))/(MAX($CF$2:$CF$252)-MIN($CF$2:$CF$252))*100))</x:f>
      </x:c>
    </x:row>
    <x:row r="131">
      <x:c r="A131" t="inlineStr">
        <x:is>
          <x:t xml:space="preserve">CMR</x:t>
        </x:is>
      </x:c>
      <x:c r="B131" t="inlineStr">
        <x:is>
          <x:t xml:space="preserve">Cameroon</x:t>
        </x:is>
      </x:c>
      <x:c r="C131" t="inlineStr">
        <x:is>
          <x:t xml:space="preserve">Sub-Saharan Africa</x:t>
        </x:is>
      </x:c>
      <x:c r="D131" t="inlineStr">
        <x:is>
          <x:t xml:space="preserve">Lower middle income</x:t>
        </x:is>
      </x:c>
      <x:c r="E131" t="inlineStr">
        <x:is>
          <x:t xml:space="preserve">Africa</x:t>
        </x:is>
      </x:c>
      <x:c r="F131" t="n">
        <x:v>2024</x:v>
      </x:c>
      <x:c r="G131" t="n">
        <x:v>29123744</x:v>
      </x:c>
      <x:c r="H131" t="n">
        <x:v>2020</x:v>
      </x:c>
      <x:c r="I131" t="n">
        <x:v>34000</x:v>
      </x:c>
      <x:c r="J131" t="n">
        <x:v>22100</x:v>
      </x:c>
      <x:c r="K131" t="n">
        <x:v>6800</x:v>
      </x:c>
      <x:c r="L131" t="n">
        <x:v>4080</x:v>
      </x:c>
      <x:c r="M131" t="n">
        <x:v>2024</x:v>
      </x:c>
      <x:c r="N131" s="8" t="n">
        <x:v>534852005.33635</x:v>
      </x:c>
      <x:c r="O131" s="9" t="n">
        <x:v>1.00912763032385</x:v>
      </x:c>
      <x:c r="P131" s="8" t="n">
        <x:v>15730.94133342206</x:v>
      </x:c>
      <x:c r="Q131" t="n">
        <x:v>2024</x:v>
      </x:c>
      <x:c r="R131" s="8" t="n">
        <x:v>53296694320.2057</x:v>
      </x:c>
      <x:c r="S131" t="n">
        <x:v>0</x:v>
      </x:c>
      <x:c r="T131" t="n">
        <x:v>0</x:v>
      </x:c>
      <x:c r="U131" t="inlineStr">
        <x:is>
          <x:t xml:space="preserve">No</x:t>
        </x:is>
      </x:c>
      <x:c r="W131" t="inlineStr">
        <x:is>
          <x:t xml:space="preserve">No</x:t>
        </x:is>
      </x:c>
      <x:c r="X131" t="n">
        <x:v>22.10474949767458</x:v>
      </x:c>
      <x:c r="Y131" t="n">
        <x:v>35.45872227191438</x:v>
      </x:c>
      <x:c r="Z131" t="n">
        <x:v>460324.7016141628</x:v>
      </x:c>
      <x:c r="AA131" t="n">
        <x:v>54.29837875819737</x:v>
      </x:c>
      <x:c r="AB131" s="8" t="n">
        <x:v>3090.232261520707</x:v>
      </x:c>
      <x:c r="AC131" t="n">
        <x:v>65</x:v>
      </x:c>
      <x:c r="AD131" t="n">
        <x:v>0</x:v>
      </x:c>
      <x:c r="AE131" t="n">
        <x:v>0</x:v>
      </x:c>
      <x:c r="AR131">
        <x:f>IF(G131="","",LOG10(G131+1))</x:f>
      </x:c>
      <x:c r="AS131" s="10">
        <x:f>IF(AR131="","",IF(MAX($AR$2:$AR$252)-MIN($AR$2:$AR$252)=0,"",(AR131-MIN($AR$2:$AR$252))/(MAX($AR$2:$AR$252)-MIN($AR$2:$AR$252))*100))</x:f>
      </x:c>
      <x:c r="AT131">
        <x:f>IF(R131="","",LOG10(R131+1))</x:f>
      </x:c>
      <x:c r="AU131" s="10">
        <x:f>IF(AT131="","",IF(MAX($AT$2:$AT$252)-MIN($AT$2:$AT$252)=0,"",(AT131-MIN($AT$2:$AT$252))/(MAX($AT$2:$AT$252)-MIN($AT$2:$AT$252))*100))</x:f>
      </x:c>
      <x:c r="AV131">
        <x:f>IF(N131="","",LOG10(N131+1))</x:f>
      </x:c>
      <x:c r="AW131" s="10">
        <x:f>IF(AV131="","",IF(MAX($AV$2:$AV$252)-MIN($AV$2:$AV$252)=0,"",(AV131-MIN($AV$2:$AV$252))/(MAX($AV$2:$AV$252)-MIN($AV$2:$AV$252))*100))</x:f>
      </x:c>
      <x:c r="AX131">
        <x:f>IF(I131="","",LOG10(I131+1))</x:f>
      </x:c>
      <x:c r="AY131" s="10">
        <x:f>IF(AX131="","",IF(MAX($AX$2:$AX$252)-MIN($AX$2:$AX$252)=0,"",(AX131-MIN($AX$2:$AX$252))/(MAX($AX$2:$AX$252)-MIN($AX$2:$AX$252))*100))</x:f>
      </x:c>
      <x:c r="AZ131">
        <x:f>IF(J131="","",LOG10(J131+1))</x:f>
      </x:c>
      <x:c r="BA131" s="10">
        <x:f>IF(AZ131="","",IF(MAX($AZ$2:$AZ$252)-MIN($AZ$2:$AZ$252)=0,"",(AZ131-MIN($AZ$2:$AZ$252))/(MAX($AZ$2:$AZ$252)-MIN($AZ$2:$AZ$252))*100))</x:f>
      </x:c>
      <x:c r="BB131">
        <x:f>IF(K131="","",LOG10(K131+1))</x:f>
      </x:c>
      <x:c r="BC131" s="10">
        <x:f>IF(BB131="","",IF(MAX($BB$2:$BB$252)-MIN($BB$2:$BB$252)=0,"",(BB131-MIN($BB$2:$BB$252))/(MAX($BB$2:$BB$252)-MIN($BB$2:$BB$252))*100))</x:f>
      </x:c>
      <x:c r="BD131">
        <x:f>IF(L131="","",LOG10(L131+1))</x:f>
      </x:c>
      <x:c r="BE131" s="10">
        <x:f>IF(BD131="","",IF(MAX($BD$2:$BD$252)-MIN($BD$2:$BD$252)=0,"",(BD131-MIN($BD$2:$BD$252))/(MAX($BD$2:$BD$252)-MIN($BD$2:$BD$252))*100))</x:f>
      </x:c>
      <x:c r="BF131" s="10">
        <x:f>IF(P131="","",IF(MAX($P$2:$P$252)-MIN($P$2:$P$252)=0,"",(P131-MIN($P$2:$P$252))/(MAX($P$2:$P$252)-MIN($P$2:$P$252))*100))</x:f>
      </x:c>
      <x:c r="BG131">
        <x:f>IF(AF131="","",LOG10(AF131+1))</x:f>
      </x:c>
      <x:c r="BH131" s="10">
        <x:f>IF(BG131="","",IF(MAX($BG$2:$BG$252)-MIN($BG$2:$BG$252)=0,"",(BG131-MIN($BG$2:$BG$252))/(MAX($BG$2:$BG$252)-MIN($BG$2:$BG$252))*100))</x:f>
      </x:c>
      <x:c r="BI131">
        <x:f>IF(AC131="","",LOG10(AC131+1))</x:f>
      </x:c>
      <x:c r="BJ131" s="10">
        <x:f>IF(BI131="","",IF(MAX($BI$2:$BI$252)-MIN($BI$2:$BI$252)=0,"",(BI131-MIN($BI$2:$BI$252))/(MAX($BI$2:$BI$252)-MIN($BI$2:$BI$252))*100))</x:f>
      </x:c>
      <x:c r="BK131">
        <x:f>IF(AD131="","",(AD131*2)+(AE131*1))</x:f>
      </x:c>
      <x:c r="BL131" s="10">
        <x:f>IF(BK131="","",IF(MAX($BK$2:$BK$252)-MIN($BK$2:$BK$252)=0,"",(BK131-MIN($BK$2:$BK$252))/(MAX($BK$2:$BK$252)-MIN($BK$2:$BK$252))*100))</x:f>
      </x:c>
      <x:c r="BM131" s="10">
        <x:f>IF(AB131="","",IF(MAX($AB$2:$AB$252)-MIN($AB$2:$AB$252)=0,"",(AB131-MIN($AB$2:$AB$252))/(MAX($AB$2:$AB$252)-MIN($AB$2:$AB$252))*100))</x:f>
      </x:c>
      <x:c r="BN131" s="10">
        <x:f>IF(X131="","",X131)</x:f>
      </x:c>
      <x:c r="BO131" s="10">
        <x:f>IF(X131="","",100-X131)</x:f>
      </x:c>
      <x:c r="BP131" s="10">
        <x:f>IF((Weights!$C$2*IF(BH131="",0,1)+Weights!$C$3*IF(BJ131="",0,1)+Weights!$C$4*IF(BL131="",0,1))=0,"",(Weights!$C$2*IF(BH131="",0,BH131)+Weights!$C$3*IF(BJ131="",0,BJ131)+Weights!$C$4*IF(BL131="",0,BL131))/(Weights!$C$2*IF(BH131="",0,1)+Weights!$C$3*IF(BJ131="",0,1)+Weights!$C$4*IF(BL131="",0,1)))</x:f>
      </x:c>
      <x:c r="BQ131" s="10">
        <x:f>IF((Weights!$C$5*IF(BA131="",0,1)+Weights!$C$6*IF(AW131="",0,1)+Weights!$C$7*IF(AU131="",0,1))=0,"",(Weights!$C$5*IF(BA131="",0,BA131)+Weights!$C$6*IF(AW131="",0,AW131)+Weights!$C$7*IF(AU131="",0,AU131))/(Weights!$C$5*IF(BA131="",0,1)+Weights!$C$6*IF(AW131="",0,1)+Weights!$C$7*IF(AU131="",0,1)))</x:f>
      </x:c>
      <x:c r="BR131" s="10">
        <x:f>IF((Weights!$C$8*IF(AW131="",0,1)+Weights!$C$9*IF(BC131="",0,1)+Weights!$C$10*IF(BF131="",0,1))=0,"",(Weights!$C$8*IF(AW131="",0,AW131)+Weights!$C$9*IF(BC131="",0,BC131)+Weights!$C$10*IF(BF131="",0,BF131))/(Weights!$C$8*IF(AW131="",0,1)+Weights!$C$9*IF(BC131="",0,1)+Weights!$C$10*IF(BF131="",0,1)))</x:f>
      </x:c>
      <x:c r="BS131" s="10">
        <x:f>IF(Y131="","",Y131)</x:f>
      </x:c>
      <x:c r="BT131" s="10">
        <x:f>IF(AS131="","",AS131)</x:f>
      </x:c>
      <x:c r="BU131" s="10">
        <x:f>IF(AJ131&lt;&gt;"",(0.6*AJ131+0.4*AU131),IF((Weights!$C$11*IF(AU131="",0,1)+Weights!$C$12*IF(BM131="",0,1))=0,"",(Weights!$C$11*IF(AU131="",0,AU131)+Weights!$C$12*IF(BM131="",0,BM131))/(Weights!$C$11*IF(AU131="",0,1)+Weights!$C$12*IF(BM131="",0,1))))</x:f>
      </x:c>
      <x:c r="BV131" s="10">
        <x:f>IF(CG131="",0,CG131)</x:f>
      </x:c>
      <x:c r="BW131" s="10">
        <x:f>IF(AP131="","",AP131)</x:f>
      </x:c>
      <x:c r="BX131" s="10">
        <x:f>IF(AO131="","",AO131)</x:f>
      </x:c>
      <x:c r="BY131" s="10">
        <x:f>IF(AL131="","",AL131)</x:f>
      </x:c>
      <x:c r="BZ131" s="10">
        <x:f>IF(AM131="","",AM131)</x:f>
      </x:c>
      <x:c r="CA131" s="10">
        <x:f>IF(AK131&lt;&gt;"",AK131,AW131)</x:f>
      </x:c>
      <x:c r="CB131" s="10">
        <x:f>IF((Weights!$C$13*IF(BP131="",0,1)+Weights!$C$14*IF(BR131="",0,1)+Weights!$C$15*IF(BQ131="",0,1)+Weights!$C$16*IF(BS131="",0,1)+Weights!$C$17*IF(BU131="",0,1)+Weights!$C$18*IF(BT131="",0,1)+Weights!$C$19*IF(BW131="",0,1)+Weights!$C$20*IF(BZ131="",0,1)+Weights!$C$21*IF(BO131="",0,1)+Weights!$C$22)=0,"",(Weights!$C$13*IF(BP131="",0,BP131)+Weights!$C$14*IF(BR131="",0,BR131)+Weights!$C$15*IF(BQ131="",0,BQ131)+Weights!$C$16*IF(BS131="",0,BS131)+Weights!$C$17*IF(BU131="",0,BU131)+Weights!$C$18*IF(BT131="",0,BT131)+Weights!$C$19*IF(BW131="",0,BW131)+Weights!$C$20*IF(BZ131="",0,BZ131)+Weights!$C$21*IF(BO131="",0,BO131)+Weights!$C$22*BV131)/(Weights!$C$13*IF(BP131="",0,1)+Weights!$C$14*IF(BR131="",0,1)+Weights!$C$15*IF(BQ131="",0,1)+Weights!$C$16*IF(BS131="",0,1)+Weights!$C$17*IF(BU131="",0,1)+Weights!$C$18*IF(BT131="",0,1)+Weights!$C$19*IF(BW131="",0,1)+Weights!$C$20*IF(BZ131="",0,1)+Weights!$C$21*IF(BO131="",0,1)+Weights!$C$22))</x:f>
      </x:c>
      <x:c r="CC131" s="10">
        <x:f>IF((Weights!$C$23*IF(BQ131="",0,1)+Weights!$C$24*IF(BN131="",0,1)+Weights!$C$25*IF(BS131="",0,1)+Weights!$C$26*IF(BY131="",0,1)+Weights!$C$27*IF(BX131="",0,1)+Weights!$C$28*IF(BT131="",0,1)+Weights!$C$29*IF(CA131="",0,1)+Weights!$C$30+Weights!$C$31*IF(BU131="",0,1))=0,"",(Weights!$C$23*IF(BQ131="",0,BQ131)+Weights!$C$24*IF(BN131="",0,BN131)+Weights!$C$25*IF(BS131="",0,BS131)+Weights!$C$26*IF(BY131="",0,BY131)+Weights!$C$27*IF(BX131="",0,BX131)+Weights!$C$28*IF(BT131="",0,BT131)+Weights!$C$29*IF(CA131="",0,CA131)+Weights!$C$30*BV131+Weights!$C$31*IF(BU131="",0,BU131))/(Weights!$C$23*IF(BQ131="",0,1)+Weights!$C$24*IF(BN131="",0,1)+Weights!$C$25*IF(BS131="",0,1)+Weights!$C$26*IF(BY131="",0,1)+Weights!$C$27*IF(BX131="",0,1)+Weights!$C$28*IF(BT131="",0,1)+Weights!$C$29*IF(CA131="",0,1)+Weights!$C$30+Weights!$C$31*IF(BU131="",0,1)))</x:f>
      </x:c>
      <x:c r="CD131" s="10">
        <x:f>IF(AND(CB131="",CC131=""),"",IF(CB131="",CC131,IF(CC131="",CB131,AVERAGE(CB131,CC131))))</x:f>
      </x:c>
      <x:c r="CE131" s="7">
        <x:f>ROUND(100*((IF(BP131&lt;&gt;"",1,0)+IF(BQ131&lt;&gt;"",1,0)+IF(BR131&lt;&gt;"",1,0)+IF(BS131&lt;&gt;"",1,0)+IF(BU131&lt;&gt;"",1,0)+IF(BT131&lt;&gt;"",1,0)+IF(BN131&lt;&gt;"",1,0)+IF(AW131&lt;&gt;"",1,0))/8),0)</x:f>
      </x:c>
      <x:c r="CF131">
        <x:f>IF(V131="","",LOG10(V131+1))</x:f>
      </x:c>
      <x:c r="CG131">
        <x:f>IF(CF131="","",IF(MAX($CF$2:$CF$252)-MIN($CF$2:$CF$252)=0,"",(CF131-MIN($CF$2:$CF$252))/(MAX($CF$2:$CF$252)-MIN($CF$2:$CF$252))*100))</x:f>
      </x:c>
    </x:row>
    <x:row r="132">
      <x:c r="A132" t="inlineStr">
        <x:is>
          <x:t xml:space="preserve">TCD</x:t>
        </x:is>
      </x:c>
      <x:c r="B132" t="inlineStr">
        <x:is>
          <x:t xml:space="preserve">Chad</x:t>
        </x:is>
      </x:c>
      <x:c r="C132" t="inlineStr">
        <x:is>
          <x:t xml:space="preserve">Sub-Saharan Africa</x:t>
        </x:is>
      </x:c>
      <x:c r="D132" t="inlineStr">
        <x:is>
          <x:t xml:space="preserve">Low income</x:t>
        </x:is>
      </x:c>
      <x:c r="E132" t="inlineStr">
        <x:is>
          <x:t xml:space="preserve">Africa</x:t>
        </x:is>
      </x:c>
      <x:c r="F132" t="n">
        <x:v>2024</x:v>
      </x:c>
      <x:c r="G132" t="n">
        <x:v>20299123</x:v>
      </x:c>
      <x:c r="H132" t="n">
        <x:v>2020</x:v>
      </x:c>
      <x:c r="I132" t="n">
        <x:v>45000</x:v>
      </x:c>
      <x:c r="J132" t="n">
        <x:v>29250</x:v>
      </x:c>
      <x:c r="K132" t="n">
        <x:v>9000</x:v>
      </x:c>
      <x:c r="L132" t="n">
        <x:v>5400</x:v>
      </x:c>
      <x:c r="M132" t="n">
        <x:v>2024</x:v>
      </x:c>
      <x:c r="N132" s="8" t="n">
        <x:v>557711240.140698</x:v>
      </x:c>
      <x:c r="O132" s="9" t="n">
        <x:v>2.98484990097129</x:v>
      </x:c>
      <x:c r="P132" s="8" t="n">
        <x:v>12393.58311423773</x:v>
      </x:c>
      <x:c r="Q132" t="n">
        <x:v>2024</x:v>
      </x:c>
      <x:c r="R132" s="8" t="n">
        <x:v>19518819751.283</x:v>
      </x:c>
      <x:c r="S132" t="n">
        <x:v>0</x:v>
      </x:c>
      <x:c r="T132" t="n">
        <x:v>0</x:v>
      </x:c>
      <x:c r="U132" t="inlineStr">
        <x:is>
          <x:t xml:space="preserve">No</x:t>
        </x:is>
      </x:c>
      <x:c r="W132" t="inlineStr">
        <x:is>
          <x:t xml:space="preserve">No</x:t>
        </x:is>
      </x:c>
      <x:c r="X132" t="n">
        <x:v>12.43583601500821</x:v>
      </x:c>
      <x:c r="Y132" t="n">
        <x:v>22.11877012216218</x:v>
      </x:c>
      <x:c r="Z132" t="n">
        <x:v>1271694.598203979</x:v>
      </x:c>
      <x:c r="AA132" t="n">
        <x:v>9.495978843548581</x:v>
      </x:c>
      <x:c r="AB132" s="8" t="n">
        <x:v>2533.126697325311</x:v>
      </x:c>
      <x:c r="AR132">
        <x:f>IF(G132="","",LOG10(G132+1))</x:f>
      </x:c>
      <x:c r="AS132" s="10">
        <x:f>IF(AR132="","",IF(MAX($AR$2:$AR$252)-MIN($AR$2:$AR$252)=0,"",(AR132-MIN($AR$2:$AR$252))/(MAX($AR$2:$AR$252)-MIN($AR$2:$AR$252))*100))</x:f>
      </x:c>
      <x:c r="AT132">
        <x:f>IF(R132="","",LOG10(R132+1))</x:f>
      </x:c>
      <x:c r="AU132" s="10">
        <x:f>IF(AT132="","",IF(MAX($AT$2:$AT$252)-MIN($AT$2:$AT$252)=0,"",(AT132-MIN($AT$2:$AT$252))/(MAX($AT$2:$AT$252)-MIN($AT$2:$AT$252))*100))</x:f>
      </x:c>
      <x:c r="AV132">
        <x:f>IF(N132="","",LOG10(N132+1))</x:f>
      </x:c>
      <x:c r="AW132" s="10">
        <x:f>IF(AV132="","",IF(MAX($AV$2:$AV$252)-MIN($AV$2:$AV$252)=0,"",(AV132-MIN($AV$2:$AV$252))/(MAX($AV$2:$AV$252)-MIN($AV$2:$AV$252))*100))</x:f>
      </x:c>
      <x:c r="AX132">
        <x:f>IF(I132="","",LOG10(I132+1))</x:f>
      </x:c>
      <x:c r="AY132" s="10">
        <x:f>IF(AX132="","",IF(MAX($AX$2:$AX$252)-MIN($AX$2:$AX$252)=0,"",(AX132-MIN($AX$2:$AX$252))/(MAX($AX$2:$AX$252)-MIN($AX$2:$AX$252))*100))</x:f>
      </x:c>
      <x:c r="AZ132">
        <x:f>IF(J132="","",LOG10(J132+1))</x:f>
      </x:c>
      <x:c r="BA132" s="10">
        <x:f>IF(AZ132="","",IF(MAX($AZ$2:$AZ$252)-MIN($AZ$2:$AZ$252)=0,"",(AZ132-MIN($AZ$2:$AZ$252))/(MAX($AZ$2:$AZ$252)-MIN($AZ$2:$AZ$252))*100))</x:f>
      </x:c>
      <x:c r="BB132">
        <x:f>IF(K132="","",LOG10(K132+1))</x:f>
      </x:c>
      <x:c r="BC132" s="10">
        <x:f>IF(BB132="","",IF(MAX($BB$2:$BB$252)-MIN($BB$2:$BB$252)=0,"",(BB132-MIN($BB$2:$BB$252))/(MAX($BB$2:$BB$252)-MIN($BB$2:$BB$252))*100))</x:f>
      </x:c>
      <x:c r="BD132">
        <x:f>IF(L132="","",LOG10(L132+1))</x:f>
      </x:c>
      <x:c r="BE132" s="10">
        <x:f>IF(BD132="","",IF(MAX($BD$2:$BD$252)-MIN($BD$2:$BD$252)=0,"",(BD132-MIN($BD$2:$BD$252))/(MAX($BD$2:$BD$252)-MIN($BD$2:$BD$252))*100))</x:f>
      </x:c>
      <x:c r="BF132" s="10">
        <x:f>IF(P132="","",IF(MAX($P$2:$P$252)-MIN($P$2:$P$252)=0,"",(P132-MIN($P$2:$P$252))/(MAX($P$2:$P$252)-MIN($P$2:$P$252))*100))</x:f>
      </x:c>
      <x:c r="BG132">
        <x:f>IF(AF132="","",LOG10(AF132+1))</x:f>
      </x:c>
      <x:c r="BH132" s="10">
        <x:f>IF(BG132="","",IF(MAX($BG$2:$BG$252)-MIN($BG$2:$BG$252)=0,"",(BG132-MIN($BG$2:$BG$252))/(MAX($BG$2:$BG$252)-MIN($BG$2:$BG$252))*100))</x:f>
      </x:c>
      <x:c r="BI132">
        <x:f>IF(AC132="","",LOG10(AC132+1))</x:f>
      </x:c>
      <x:c r="BJ132" s="10">
        <x:f>IF(BI132="","",IF(MAX($BI$2:$BI$252)-MIN($BI$2:$BI$252)=0,"",(BI132-MIN($BI$2:$BI$252))/(MAX($BI$2:$BI$252)-MIN($BI$2:$BI$252))*100))</x:f>
      </x:c>
      <x:c r="BK132">
        <x:f>IF(AD132="","",(AD132*2)+(AE132*1))</x:f>
      </x:c>
      <x:c r="BL132" s="10">
        <x:f>IF(BK132="","",IF(MAX($BK$2:$BK$252)-MIN($BK$2:$BK$252)=0,"",(BK132-MIN($BK$2:$BK$252))/(MAX($BK$2:$BK$252)-MIN($BK$2:$BK$252))*100))</x:f>
      </x:c>
      <x:c r="BM132" s="10">
        <x:f>IF(AB132="","",IF(MAX($AB$2:$AB$252)-MIN($AB$2:$AB$252)=0,"",(AB132-MIN($AB$2:$AB$252))/(MAX($AB$2:$AB$252)-MIN($AB$2:$AB$252))*100))</x:f>
      </x:c>
      <x:c r="BN132" s="10">
        <x:f>IF(X132="","",X132)</x:f>
      </x:c>
      <x:c r="BO132" s="10">
        <x:f>IF(X132="","",100-X132)</x:f>
      </x:c>
      <x:c r="BP132" s="10">
        <x:f>IF((Weights!$C$2*IF(BH132="",0,1)+Weights!$C$3*IF(BJ132="",0,1)+Weights!$C$4*IF(BL132="",0,1))=0,"",(Weights!$C$2*IF(BH132="",0,BH132)+Weights!$C$3*IF(BJ132="",0,BJ132)+Weights!$C$4*IF(BL132="",0,BL132))/(Weights!$C$2*IF(BH132="",0,1)+Weights!$C$3*IF(BJ132="",0,1)+Weights!$C$4*IF(BL132="",0,1)))</x:f>
      </x:c>
      <x:c r="BQ132" s="10">
        <x:f>IF((Weights!$C$5*IF(BA132="",0,1)+Weights!$C$6*IF(AW132="",0,1)+Weights!$C$7*IF(AU132="",0,1))=0,"",(Weights!$C$5*IF(BA132="",0,BA132)+Weights!$C$6*IF(AW132="",0,AW132)+Weights!$C$7*IF(AU132="",0,AU132))/(Weights!$C$5*IF(BA132="",0,1)+Weights!$C$6*IF(AW132="",0,1)+Weights!$C$7*IF(AU132="",0,1)))</x:f>
      </x:c>
      <x:c r="BR132" s="10">
        <x:f>IF((Weights!$C$8*IF(AW132="",0,1)+Weights!$C$9*IF(BC132="",0,1)+Weights!$C$10*IF(BF132="",0,1))=0,"",(Weights!$C$8*IF(AW132="",0,AW132)+Weights!$C$9*IF(BC132="",0,BC132)+Weights!$C$10*IF(BF132="",0,BF132))/(Weights!$C$8*IF(AW132="",0,1)+Weights!$C$9*IF(BC132="",0,1)+Weights!$C$10*IF(BF132="",0,1)))</x:f>
      </x:c>
      <x:c r="BS132" s="10">
        <x:f>IF(Y132="","",Y132)</x:f>
      </x:c>
      <x:c r="BT132" s="10">
        <x:f>IF(AS132="","",AS132)</x:f>
      </x:c>
      <x:c r="BU132" s="10">
        <x:f>IF(AJ132&lt;&gt;"",(0.6*AJ132+0.4*AU132),IF((Weights!$C$11*IF(AU132="",0,1)+Weights!$C$12*IF(BM132="",0,1))=0,"",(Weights!$C$11*IF(AU132="",0,AU132)+Weights!$C$12*IF(BM132="",0,BM132))/(Weights!$C$11*IF(AU132="",0,1)+Weights!$C$12*IF(BM132="",0,1))))</x:f>
      </x:c>
      <x:c r="BV132" s="10">
        <x:f>IF(CG132="",0,CG132)</x:f>
      </x:c>
      <x:c r="BW132" s="10">
        <x:f>IF(AP132="","",AP132)</x:f>
      </x:c>
      <x:c r="BX132" s="10">
        <x:f>IF(AO132="","",AO132)</x:f>
      </x:c>
      <x:c r="BY132" s="10">
        <x:f>IF(AL132="","",AL132)</x:f>
      </x:c>
      <x:c r="BZ132" s="10">
        <x:f>IF(AM132="","",AM132)</x:f>
      </x:c>
      <x:c r="CA132" s="10">
        <x:f>IF(AK132&lt;&gt;"",AK132,AW132)</x:f>
      </x:c>
      <x:c r="CB132" s="10">
        <x:f>IF((Weights!$C$13*IF(BP132="",0,1)+Weights!$C$14*IF(BR132="",0,1)+Weights!$C$15*IF(BQ132="",0,1)+Weights!$C$16*IF(BS132="",0,1)+Weights!$C$17*IF(BU132="",0,1)+Weights!$C$18*IF(BT132="",0,1)+Weights!$C$19*IF(BW132="",0,1)+Weights!$C$20*IF(BZ132="",0,1)+Weights!$C$21*IF(BO132="",0,1)+Weights!$C$22)=0,"",(Weights!$C$13*IF(BP132="",0,BP132)+Weights!$C$14*IF(BR132="",0,BR132)+Weights!$C$15*IF(BQ132="",0,BQ132)+Weights!$C$16*IF(BS132="",0,BS132)+Weights!$C$17*IF(BU132="",0,BU132)+Weights!$C$18*IF(BT132="",0,BT132)+Weights!$C$19*IF(BW132="",0,BW132)+Weights!$C$20*IF(BZ132="",0,BZ132)+Weights!$C$21*IF(BO132="",0,BO132)+Weights!$C$22*BV132)/(Weights!$C$13*IF(BP132="",0,1)+Weights!$C$14*IF(BR132="",0,1)+Weights!$C$15*IF(BQ132="",0,1)+Weights!$C$16*IF(BS132="",0,1)+Weights!$C$17*IF(BU132="",0,1)+Weights!$C$18*IF(BT132="",0,1)+Weights!$C$19*IF(BW132="",0,1)+Weights!$C$20*IF(BZ132="",0,1)+Weights!$C$21*IF(BO132="",0,1)+Weights!$C$22))</x:f>
      </x:c>
      <x:c r="CC132" s="10">
        <x:f>IF((Weights!$C$23*IF(BQ132="",0,1)+Weights!$C$24*IF(BN132="",0,1)+Weights!$C$25*IF(BS132="",0,1)+Weights!$C$26*IF(BY132="",0,1)+Weights!$C$27*IF(BX132="",0,1)+Weights!$C$28*IF(BT132="",0,1)+Weights!$C$29*IF(CA132="",0,1)+Weights!$C$30+Weights!$C$31*IF(BU132="",0,1))=0,"",(Weights!$C$23*IF(BQ132="",0,BQ132)+Weights!$C$24*IF(BN132="",0,BN132)+Weights!$C$25*IF(BS132="",0,BS132)+Weights!$C$26*IF(BY132="",0,BY132)+Weights!$C$27*IF(BX132="",0,BX132)+Weights!$C$28*IF(BT132="",0,BT132)+Weights!$C$29*IF(CA132="",0,CA132)+Weights!$C$30*BV132+Weights!$C$31*IF(BU132="",0,BU132))/(Weights!$C$23*IF(BQ132="",0,1)+Weights!$C$24*IF(BN132="",0,1)+Weights!$C$25*IF(BS132="",0,1)+Weights!$C$26*IF(BY132="",0,1)+Weights!$C$27*IF(BX132="",0,1)+Weights!$C$28*IF(BT132="",0,1)+Weights!$C$29*IF(CA132="",0,1)+Weights!$C$30+Weights!$C$31*IF(BU132="",0,1)))</x:f>
      </x:c>
      <x:c r="CD132" s="10">
        <x:f>IF(AND(CB132="",CC132=""),"",IF(CB132="",CC132,IF(CC132="",CB132,AVERAGE(CB132,CC132))))</x:f>
      </x:c>
      <x:c r="CE132" s="7">
        <x:f>ROUND(100*((IF(BP132&lt;&gt;"",1,0)+IF(BQ132&lt;&gt;"",1,0)+IF(BR132&lt;&gt;"",1,0)+IF(BS132&lt;&gt;"",1,0)+IF(BU132&lt;&gt;"",1,0)+IF(BT132&lt;&gt;"",1,0)+IF(BN132&lt;&gt;"",1,0)+IF(AW132&lt;&gt;"",1,0))/8),0)</x:f>
      </x:c>
      <x:c r="CF132">
        <x:f>IF(V132="","",LOG10(V132+1))</x:f>
      </x:c>
      <x:c r="CG132">
        <x:f>IF(CF132="","",IF(MAX($CF$2:$CF$252)-MIN($CF$2:$CF$252)=0,"",(CF132-MIN($CF$2:$CF$252))/(MAX($CF$2:$CF$252)-MIN($CF$2:$CF$252))*100))</x:f>
      </x:c>
    </x:row>
    <x:row r="133">
      <x:c r="A133" t="inlineStr">
        <x:is>
          <x:t xml:space="preserve">CHL</x:t>
        </x:is>
      </x:c>
      <x:c r="B133" t="inlineStr">
        <x:is>
          <x:t xml:space="preserve">Chile</x:t>
        </x:is>
      </x:c>
      <x:c r="C133" t="inlineStr">
        <x:is>
          <x:t xml:space="preserve">Latin America &amp; Caribbean</x:t>
        </x:is>
      </x:c>
      <x:c r="D133" t="inlineStr">
        <x:is>
          <x:t xml:space="preserve">High income</x:t>
        </x:is>
      </x:c>
      <x:c r="E133" t="inlineStr">
        <x:is>
          <x:t xml:space="preserve">South America</x:t>
        </x:is>
      </x:c>
      <x:c r="F133" t="n">
        <x:v>2024</x:v>
      </x:c>
      <x:c r="G133" t="n">
        <x:v>19764771</x:v>
      </x:c>
      <x:c r="H133" t="n">
        <x:v>2020</x:v>
      </x:c>
      <x:c r="I133" t="n">
        <x:v>114000</x:v>
      </x:c>
      <x:c r="J133" t="n">
        <x:v>74100</x:v>
      </x:c>
      <x:c r="K133" t="n">
        <x:v>22800</x:v>
      </x:c>
      <x:c r="L133" t="n">
        <x:v>13680</x:v>
      </x:c>
      <x:c r="M133" t="n">
        <x:v>2024</x:v>
      </x:c>
      <x:c r="N133" s="8" t="n">
        <x:v>5105441707.26122</x:v>
      </x:c>
      <x:c r="O133" s="9" t="n">
        <x:v>1.57780388625485</x:v>
      </x:c>
      <x:c r="P133" s="8" t="n">
        <x:v>44784.57637948439</x:v>
      </x:c>
      <x:c r="Q133" t="n">
        <x:v>2024</x:v>
      </x:c>
      <x:c r="R133" s="8" t="n">
        <x:v>330267137371.592</x:v>
      </x:c>
      <x:c r="S133" t="n">
        <x:v>4</x:v>
      </x:c>
      <x:c r="T133" t="n">
        <x:v>1</x:v>
      </x:c>
      <x:c r="U133" t="inlineStr">
        <x:is>
          <x:t xml:space="preserve">No</x:t>
        </x:is>
      </x:c>
      <x:c r="W133" t="inlineStr">
        <x:is>
          <x:t xml:space="preserve">No</x:t>
        </x:is>
      </x:c>
      <x:c r="X133" t="n">
        <x:v>65.83431921388242</x:v>
      </x:c>
      <x:c r="Y133" t="n">
        <x:v>60.23454833375702</x:v>
      </x:c>
      <x:c r="Z133" t="n">
        <x:v>814844.2204878022</x:v>
      </x:c>
      <x:c r="AA133" t="n">
        <x:v>21.83149435526529</x:v>
      </x:c>
      <x:c r="AB133" s="8" t="n">
        <x:v>24514.78186256915</x:v>
      </x:c>
      <x:c r="AC133" t="n">
        <x:v>130</x:v>
      </x:c>
      <x:c r="AD133" t="n">
        <x:v>0</x:v>
      </x:c>
      <x:c r="AE133" t="n">
        <x:v>0</x:v>
      </x:c>
      <x:c r="AR133">
        <x:f>IF(G133="","",LOG10(G133+1))</x:f>
      </x:c>
      <x:c r="AS133" s="10">
        <x:f>IF(AR133="","",IF(MAX($AR$2:$AR$252)-MIN($AR$2:$AR$252)=0,"",(AR133-MIN($AR$2:$AR$252))/(MAX($AR$2:$AR$252)-MIN($AR$2:$AR$252))*100))</x:f>
      </x:c>
      <x:c r="AT133">
        <x:f>IF(R133="","",LOG10(R133+1))</x:f>
      </x:c>
      <x:c r="AU133" s="10">
        <x:f>IF(AT133="","",IF(MAX($AT$2:$AT$252)-MIN($AT$2:$AT$252)=0,"",(AT133-MIN($AT$2:$AT$252))/(MAX($AT$2:$AT$252)-MIN($AT$2:$AT$252))*100))</x:f>
      </x:c>
      <x:c r="AV133">
        <x:f>IF(N133="","",LOG10(N133+1))</x:f>
      </x:c>
      <x:c r="AW133" s="10">
        <x:f>IF(AV133="","",IF(MAX($AV$2:$AV$252)-MIN($AV$2:$AV$252)=0,"",(AV133-MIN($AV$2:$AV$252))/(MAX($AV$2:$AV$252)-MIN($AV$2:$AV$252))*100))</x:f>
      </x:c>
      <x:c r="AX133">
        <x:f>IF(I133="","",LOG10(I133+1))</x:f>
      </x:c>
      <x:c r="AY133" s="10">
        <x:f>IF(AX133="","",IF(MAX($AX$2:$AX$252)-MIN($AX$2:$AX$252)=0,"",(AX133-MIN($AX$2:$AX$252))/(MAX($AX$2:$AX$252)-MIN($AX$2:$AX$252))*100))</x:f>
      </x:c>
      <x:c r="AZ133">
        <x:f>IF(J133="","",LOG10(J133+1))</x:f>
      </x:c>
      <x:c r="BA133" s="10">
        <x:f>IF(AZ133="","",IF(MAX($AZ$2:$AZ$252)-MIN($AZ$2:$AZ$252)=0,"",(AZ133-MIN($AZ$2:$AZ$252))/(MAX($AZ$2:$AZ$252)-MIN($AZ$2:$AZ$252))*100))</x:f>
      </x:c>
      <x:c r="BB133">
        <x:f>IF(K133="","",LOG10(K133+1))</x:f>
      </x:c>
      <x:c r="BC133" s="10">
        <x:f>IF(BB133="","",IF(MAX($BB$2:$BB$252)-MIN($BB$2:$BB$252)=0,"",(BB133-MIN($BB$2:$BB$252))/(MAX($BB$2:$BB$252)-MIN($BB$2:$BB$252))*100))</x:f>
      </x:c>
      <x:c r="BD133">
        <x:f>IF(L133="","",LOG10(L133+1))</x:f>
      </x:c>
      <x:c r="BE133" s="10">
        <x:f>IF(BD133="","",IF(MAX($BD$2:$BD$252)-MIN($BD$2:$BD$252)=0,"",(BD133-MIN($BD$2:$BD$252))/(MAX($BD$2:$BD$252)-MIN($BD$2:$BD$252))*100))</x:f>
      </x:c>
      <x:c r="BF133" s="10">
        <x:f>IF(P133="","",IF(MAX($P$2:$P$252)-MIN($P$2:$P$252)=0,"",(P133-MIN($P$2:$P$252))/(MAX($P$2:$P$252)-MIN($P$2:$P$252))*100))</x:f>
      </x:c>
      <x:c r="BG133">
        <x:f>IF(AF133="","",LOG10(AF133+1))</x:f>
      </x:c>
      <x:c r="BH133" s="10">
        <x:f>IF(BG133="","",IF(MAX($BG$2:$BG$252)-MIN($BG$2:$BG$252)=0,"",(BG133-MIN($BG$2:$BG$252))/(MAX($BG$2:$BG$252)-MIN($BG$2:$BG$252))*100))</x:f>
      </x:c>
      <x:c r="BI133">
        <x:f>IF(AC133="","",LOG10(AC133+1))</x:f>
      </x:c>
      <x:c r="BJ133" s="10">
        <x:f>IF(BI133="","",IF(MAX($BI$2:$BI$252)-MIN($BI$2:$BI$252)=0,"",(BI133-MIN($BI$2:$BI$252))/(MAX($BI$2:$BI$252)-MIN($BI$2:$BI$252))*100))</x:f>
      </x:c>
      <x:c r="BK133">
        <x:f>IF(AD133="","",(AD133*2)+(AE133*1))</x:f>
      </x:c>
      <x:c r="BL133" s="10">
        <x:f>IF(BK133="","",IF(MAX($BK$2:$BK$252)-MIN($BK$2:$BK$252)=0,"",(BK133-MIN($BK$2:$BK$252))/(MAX($BK$2:$BK$252)-MIN($BK$2:$BK$252))*100))</x:f>
      </x:c>
      <x:c r="BM133" s="10">
        <x:f>IF(AB133="","",IF(MAX($AB$2:$AB$252)-MIN($AB$2:$AB$252)=0,"",(AB133-MIN($AB$2:$AB$252))/(MAX($AB$2:$AB$252)-MIN($AB$2:$AB$252))*100))</x:f>
      </x:c>
      <x:c r="BN133" s="10">
        <x:f>IF(X133="","",X133)</x:f>
      </x:c>
      <x:c r="BO133" s="10">
        <x:f>IF(X133="","",100-X133)</x:f>
      </x:c>
      <x:c r="BP133" s="10">
        <x:f>IF((Weights!$C$2*IF(BH133="",0,1)+Weights!$C$3*IF(BJ133="",0,1)+Weights!$C$4*IF(BL133="",0,1))=0,"",(Weights!$C$2*IF(BH133="",0,BH133)+Weights!$C$3*IF(BJ133="",0,BJ133)+Weights!$C$4*IF(BL133="",0,BL133))/(Weights!$C$2*IF(BH133="",0,1)+Weights!$C$3*IF(BJ133="",0,1)+Weights!$C$4*IF(BL133="",0,1)))</x:f>
      </x:c>
      <x:c r="BQ133" s="10">
        <x:f>IF((Weights!$C$5*IF(BA133="",0,1)+Weights!$C$6*IF(AW133="",0,1)+Weights!$C$7*IF(AU133="",0,1))=0,"",(Weights!$C$5*IF(BA133="",0,BA133)+Weights!$C$6*IF(AW133="",0,AW133)+Weights!$C$7*IF(AU133="",0,AU133))/(Weights!$C$5*IF(BA133="",0,1)+Weights!$C$6*IF(AW133="",0,1)+Weights!$C$7*IF(AU133="",0,1)))</x:f>
      </x:c>
      <x:c r="BR133" s="10">
        <x:f>IF((Weights!$C$8*IF(AW133="",0,1)+Weights!$C$9*IF(BC133="",0,1)+Weights!$C$10*IF(BF133="",0,1))=0,"",(Weights!$C$8*IF(AW133="",0,AW133)+Weights!$C$9*IF(BC133="",0,BC133)+Weights!$C$10*IF(BF133="",0,BF133))/(Weights!$C$8*IF(AW133="",0,1)+Weights!$C$9*IF(BC133="",0,1)+Weights!$C$10*IF(BF133="",0,1)))</x:f>
      </x:c>
      <x:c r="BS133" s="10">
        <x:f>IF(Y133="","",Y133)</x:f>
      </x:c>
      <x:c r="BT133" s="10">
        <x:f>IF(AS133="","",AS133)</x:f>
      </x:c>
      <x:c r="BU133" s="10">
        <x:f>IF(AJ133&lt;&gt;"",(0.6*AJ133+0.4*AU133),IF((Weights!$C$11*IF(AU133="",0,1)+Weights!$C$12*IF(BM133="",0,1))=0,"",(Weights!$C$11*IF(AU133="",0,AU133)+Weights!$C$12*IF(BM133="",0,BM133))/(Weights!$C$11*IF(AU133="",0,1)+Weights!$C$12*IF(BM133="",0,1))))</x:f>
      </x:c>
      <x:c r="BV133" s="10">
        <x:f>IF(CG133="",0,CG133)</x:f>
      </x:c>
      <x:c r="BW133" s="10">
        <x:f>IF(AP133="","",AP133)</x:f>
      </x:c>
      <x:c r="BX133" s="10">
        <x:f>IF(AO133="","",AO133)</x:f>
      </x:c>
      <x:c r="BY133" s="10">
        <x:f>IF(AL133="","",AL133)</x:f>
      </x:c>
      <x:c r="BZ133" s="10">
        <x:f>IF(AM133="","",AM133)</x:f>
      </x:c>
      <x:c r="CA133" s="10">
        <x:f>IF(AK133&lt;&gt;"",AK133,AW133)</x:f>
      </x:c>
      <x:c r="CB133" s="10">
        <x:f>IF((Weights!$C$13*IF(BP133="",0,1)+Weights!$C$14*IF(BR133="",0,1)+Weights!$C$15*IF(BQ133="",0,1)+Weights!$C$16*IF(BS133="",0,1)+Weights!$C$17*IF(BU133="",0,1)+Weights!$C$18*IF(BT133="",0,1)+Weights!$C$19*IF(BW133="",0,1)+Weights!$C$20*IF(BZ133="",0,1)+Weights!$C$21*IF(BO133="",0,1)+Weights!$C$22)=0,"",(Weights!$C$13*IF(BP133="",0,BP133)+Weights!$C$14*IF(BR133="",0,BR133)+Weights!$C$15*IF(BQ133="",0,BQ133)+Weights!$C$16*IF(BS133="",0,BS133)+Weights!$C$17*IF(BU133="",0,BU133)+Weights!$C$18*IF(BT133="",0,BT133)+Weights!$C$19*IF(BW133="",0,BW133)+Weights!$C$20*IF(BZ133="",0,BZ133)+Weights!$C$21*IF(BO133="",0,BO133)+Weights!$C$22*BV133)/(Weights!$C$13*IF(BP133="",0,1)+Weights!$C$14*IF(BR133="",0,1)+Weights!$C$15*IF(BQ133="",0,1)+Weights!$C$16*IF(BS133="",0,1)+Weights!$C$17*IF(BU133="",0,1)+Weights!$C$18*IF(BT133="",0,1)+Weights!$C$19*IF(BW133="",0,1)+Weights!$C$20*IF(BZ133="",0,1)+Weights!$C$21*IF(BO133="",0,1)+Weights!$C$22))</x:f>
      </x:c>
      <x:c r="CC133" s="10">
        <x:f>IF((Weights!$C$23*IF(BQ133="",0,1)+Weights!$C$24*IF(BN133="",0,1)+Weights!$C$25*IF(BS133="",0,1)+Weights!$C$26*IF(BY133="",0,1)+Weights!$C$27*IF(BX133="",0,1)+Weights!$C$28*IF(BT133="",0,1)+Weights!$C$29*IF(CA133="",0,1)+Weights!$C$30+Weights!$C$31*IF(BU133="",0,1))=0,"",(Weights!$C$23*IF(BQ133="",0,BQ133)+Weights!$C$24*IF(BN133="",0,BN133)+Weights!$C$25*IF(BS133="",0,BS133)+Weights!$C$26*IF(BY133="",0,BY133)+Weights!$C$27*IF(BX133="",0,BX133)+Weights!$C$28*IF(BT133="",0,BT133)+Weights!$C$29*IF(CA133="",0,CA133)+Weights!$C$30*BV133+Weights!$C$31*IF(BU133="",0,BU133))/(Weights!$C$23*IF(BQ133="",0,1)+Weights!$C$24*IF(BN133="",0,1)+Weights!$C$25*IF(BS133="",0,1)+Weights!$C$26*IF(BY133="",0,1)+Weights!$C$27*IF(BX133="",0,1)+Weights!$C$28*IF(BT133="",0,1)+Weights!$C$29*IF(CA133="",0,1)+Weights!$C$30+Weights!$C$31*IF(BU133="",0,1)))</x:f>
      </x:c>
      <x:c r="CD133" s="10">
        <x:f>IF(AND(CB133="",CC133=""),"",IF(CB133="",CC133,IF(CC133="",CB133,AVERAGE(CB133,CC133))))</x:f>
      </x:c>
      <x:c r="CE133" s="7">
        <x:f>ROUND(100*((IF(BP133&lt;&gt;"",1,0)+IF(BQ133&lt;&gt;"",1,0)+IF(BR133&lt;&gt;"",1,0)+IF(BS133&lt;&gt;"",1,0)+IF(BU133&lt;&gt;"",1,0)+IF(BT133&lt;&gt;"",1,0)+IF(BN133&lt;&gt;"",1,0)+IF(AW133&lt;&gt;"",1,0))/8),0)</x:f>
      </x:c>
      <x:c r="CF133">
        <x:f>IF(V133="","",LOG10(V133+1))</x:f>
      </x:c>
      <x:c r="CG133">
        <x:f>IF(CF133="","",IF(MAX($CF$2:$CF$252)-MIN($CF$2:$CF$252)=0,"",(CF133-MIN($CF$2:$CF$252))/(MAX($CF$2:$CF$252)-MIN($CF$2:$CF$252))*100))</x:f>
      </x:c>
    </x:row>
    <x:row r="134">
      <x:c r="A134" t="inlineStr">
        <x:is>
          <x:t xml:space="preserve">COL</x:t>
        </x:is>
      </x:c>
      <x:c r="B134" t="inlineStr">
        <x:is>
          <x:t xml:space="preserve">Colombia</x:t>
        </x:is>
      </x:c>
      <x:c r="C134" t="inlineStr">
        <x:is>
          <x:t xml:space="preserve">Latin America &amp; Caribbean</x:t>
        </x:is>
      </x:c>
      <x:c r="D134" t="inlineStr">
        <x:is>
          <x:t xml:space="preserve">Upper middle income</x:t>
        </x:is>
      </x:c>
      <x:c r="E134" t="inlineStr">
        <x:is>
          <x:t xml:space="preserve">South America</x:t>
        </x:is>
      </x:c>
      <x:c r="F134" t="n">
        <x:v>2024</x:v>
      </x:c>
      <x:c r="G134" t="n">
        <x:v>52886363</x:v>
      </x:c>
      <x:c r="H134" t="n">
        <x:v>2020</x:v>
      </x:c>
      <x:c r="I134" t="n">
        <x:v>428000</x:v>
      </x:c>
      <x:c r="J134" t="n">
        <x:v>278200</x:v>
      </x:c>
      <x:c r="K134" t="n">
        <x:v>85600</x:v>
      </x:c>
      <x:c r="L134" t="n">
        <x:v>51360</x:v>
      </x:c>
      <x:c r="M134" t="n">
        <x:v>2024</x:v>
      </x:c>
      <x:c r="N134" s="8" t="n">
        <x:v>15096259111.9062</x:v>
      </x:c>
      <x:c r="O134" s="9" t="n">
        <x:v>3.35903368303836</x:v>
      </x:c>
      <x:c r="P134" s="8" t="n">
        <x:v>35271.63343903318</x:v>
      </x:c>
      <x:c r="Q134" t="n">
        <x:v>2024</x:v>
      </x:c>
      <x:c r="R134" s="8" t="n">
        <x:v>418818154879.271</x:v>
      </x:c>
      <x:c r="S134" t="n">
        <x:v>2</x:v>
      </x:c>
      <x:c r="T134" t="n">
        <x:v>2</x:v>
      </x:c>
      <x:c r="U134" t="inlineStr">
        <x:is>
          <x:t xml:space="preserve">No</x:t>
        </x:is>
      </x:c>
      <x:c r="W134" t="inlineStr">
        <x:is>
          <x:t xml:space="preserve">No</x:t>
        </x:is>
      </x:c>
      <x:c r="X134" t="n">
        <x:v>24.64291737173972</x:v>
      </x:c>
      <x:c r="Y134" t="n">
        <x:v>56.35388646674183</x:v>
      </x:c>
      <x:c r="Z134" t="n">
        <x:v>1151882.925963491</x:v>
      </x:c>
      <x:c r="AA134" t="n">
        <x:v>41.40917703081904</x:v>
      </x:c>
      <x:c r="AB134" s="8" t="n">
        <x:v>14423.92640912746</x:v>
      </x:c>
      <x:c r="AC134" t="n">
        <x:v>237</x:v>
      </x:c>
      <x:c r="AD134" t="n">
        <x:v>0</x:v>
      </x:c>
      <x:c r="AE134" t="n">
        <x:v>0</x:v>
      </x:c>
      <x:c r="AR134">
        <x:f>IF(G134="","",LOG10(G134+1))</x:f>
      </x:c>
      <x:c r="AS134" s="10">
        <x:f>IF(AR134="","",IF(MAX($AR$2:$AR$252)-MIN($AR$2:$AR$252)=0,"",(AR134-MIN($AR$2:$AR$252))/(MAX($AR$2:$AR$252)-MIN($AR$2:$AR$252))*100))</x:f>
      </x:c>
      <x:c r="AT134">
        <x:f>IF(R134="","",LOG10(R134+1))</x:f>
      </x:c>
      <x:c r="AU134" s="10">
        <x:f>IF(AT134="","",IF(MAX($AT$2:$AT$252)-MIN($AT$2:$AT$252)=0,"",(AT134-MIN($AT$2:$AT$252))/(MAX($AT$2:$AT$252)-MIN($AT$2:$AT$252))*100))</x:f>
      </x:c>
      <x:c r="AV134">
        <x:f>IF(N134="","",LOG10(N134+1))</x:f>
      </x:c>
      <x:c r="AW134" s="10">
        <x:f>IF(AV134="","",IF(MAX($AV$2:$AV$252)-MIN($AV$2:$AV$252)=0,"",(AV134-MIN($AV$2:$AV$252))/(MAX($AV$2:$AV$252)-MIN($AV$2:$AV$252))*100))</x:f>
      </x:c>
      <x:c r="AX134">
        <x:f>IF(I134="","",LOG10(I134+1))</x:f>
      </x:c>
      <x:c r="AY134" s="10">
        <x:f>IF(AX134="","",IF(MAX($AX$2:$AX$252)-MIN($AX$2:$AX$252)=0,"",(AX134-MIN($AX$2:$AX$252))/(MAX($AX$2:$AX$252)-MIN($AX$2:$AX$252))*100))</x:f>
      </x:c>
      <x:c r="AZ134">
        <x:f>IF(J134="","",LOG10(J134+1))</x:f>
      </x:c>
      <x:c r="BA134" s="10">
        <x:f>IF(AZ134="","",IF(MAX($AZ$2:$AZ$252)-MIN($AZ$2:$AZ$252)=0,"",(AZ134-MIN($AZ$2:$AZ$252))/(MAX($AZ$2:$AZ$252)-MIN($AZ$2:$AZ$252))*100))</x:f>
      </x:c>
      <x:c r="BB134">
        <x:f>IF(K134="","",LOG10(K134+1))</x:f>
      </x:c>
      <x:c r="BC134" s="10">
        <x:f>IF(BB134="","",IF(MAX($BB$2:$BB$252)-MIN($BB$2:$BB$252)=0,"",(BB134-MIN($BB$2:$BB$252))/(MAX($BB$2:$BB$252)-MIN($BB$2:$BB$252))*100))</x:f>
      </x:c>
      <x:c r="BD134">
        <x:f>IF(L134="","",LOG10(L134+1))</x:f>
      </x:c>
      <x:c r="BE134" s="10">
        <x:f>IF(BD134="","",IF(MAX($BD$2:$BD$252)-MIN($BD$2:$BD$252)=0,"",(BD134-MIN($BD$2:$BD$252))/(MAX($BD$2:$BD$252)-MIN($BD$2:$BD$252))*100))</x:f>
      </x:c>
      <x:c r="BF134" s="10">
        <x:f>IF(P134="","",IF(MAX($P$2:$P$252)-MIN($P$2:$P$252)=0,"",(P134-MIN($P$2:$P$252))/(MAX($P$2:$P$252)-MIN($P$2:$P$252))*100))</x:f>
      </x:c>
      <x:c r="BG134">
        <x:f>IF(AF134="","",LOG10(AF134+1))</x:f>
      </x:c>
      <x:c r="BH134" s="10">
        <x:f>IF(BG134="","",IF(MAX($BG$2:$BG$252)-MIN($BG$2:$BG$252)=0,"",(BG134-MIN($BG$2:$BG$252))/(MAX($BG$2:$BG$252)-MIN($BG$2:$BG$252))*100))</x:f>
      </x:c>
      <x:c r="BI134">
        <x:f>IF(AC134="","",LOG10(AC134+1))</x:f>
      </x:c>
      <x:c r="BJ134" s="10">
        <x:f>IF(BI134="","",IF(MAX($BI$2:$BI$252)-MIN($BI$2:$BI$252)=0,"",(BI134-MIN($BI$2:$BI$252))/(MAX($BI$2:$BI$252)-MIN($BI$2:$BI$252))*100))</x:f>
      </x:c>
      <x:c r="BK134">
        <x:f>IF(AD134="","",(AD134*2)+(AE134*1))</x:f>
      </x:c>
      <x:c r="BL134" s="10">
        <x:f>IF(BK134="","",IF(MAX($BK$2:$BK$252)-MIN($BK$2:$BK$252)=0,"",(BK134-MIN($BK$2:$BK$252))/(MAX($BK$2:$BK$252)-MIN($BK$2:$BK$252))*100))</x:f>
      </x:c>
      <x:c r="BM134" s="10">
        <x:f>IF(AB134="","",IF(MAX($AB$2:$AB$252)-MIN($AB$2:$AB$252)=0,"",(AB134-MIN($AB$2:$AB$252))/(MAX($AB$2:$AB$252)-MIN($AB$2:$AB$252))*100))</x:f>
      </x:c>
      <x:c r="BN134" s="10">
        <x:f>IF(X134="","",X134)</x:f>
      </x:c>
      <x:c r="BO134" s="10">
        <x:f>IF(X134="","",100-X134)</x:f>
      </x:c>
      <x:c r="BP134" s="10">
        <x:f>IF((Weights!$C$2*IF(BH134="",0,1)+Weights!$C$3*IF(BJ134="",0,1)+Weights!$C$4*IF(BL134="",0,1))=0,"",(Weights!$C$2*IF(BH134="",0,BH134)+Weights!$C$3*IF(BJ134="",0,BJ134)+Weights!$C$4*IF(BL134="",0,BL134))/(Weights!$C$2*IF(BH134="",0,1)+Weights!$C$3*IF(BJ134="",0,1)+Weights!$C$4*IF(BL134="",0,1)))</x:f>
      </x:c>
      <x:c r="BQ134" s="10">
        <x:f>IF((Weights!$C$5*IF(BA134="",0,1)+Weights!$C$6*IF(AW134="",0,1)+Weights!$C$7*IF(AU134="",0,1))=0,"",(Weights!$C$5*IF(BA134="",0,BA134)+Weights!$C$6*IF(AW134="",0,AW134)+Weights!$C$7*IF(AU134="",0,AU134))/(Weights!$C$5*IF(BA134="",0,1)+Weights!$C$6*IF(AW134="",0,1)+Weights!$C$7*IF(AU134="",0,1)))</x:f>
      </x:c>
      <x:c r="BR134" s="10">
        <x:f>IF((Weights!$C$8*IF(AW134="",0,1)+Weights!$C$9*IF(BC134="",0,1)+Weights!$C$10*IF(BF134="",0,1))=0,"",(Weights!$C$8*IF(AW134="",0,AW134)+Weights!$C$9*IF(BC134="",0,BC134)+Weights!$C$10*IF(BF134="",0,BF134))/(Weights!$C$8*IF(AW134="",0,1)+Weights!$C$9*IF(BC134="",0,1)+Weights!$C$10*IF(BF134="",0,1)))</x:f>
      </x:c>
      <x:c r="BS134" s="10">
        <x:f>IF(Y134="","",Y134)</x:f>
      </x:c>
      <x:c r="BT134" s="10">
        <x:f>IF(AS134="","",AS134)</x:f>
      </x:c>
      <x:c r="BU134" s="10">
        <x:f>IF(AJ134&lt;&gt;"",(0.6*AJ134+0.4*AU134),IF((Weights!$C$11*IF(AU134="",0,1)+Weights!$C$12*IF(BM134="",0,1))=0,"",(Weights!$C$11*IF(AU134="",0,AU134)+Weights!$C$12*IF(BM134="",0,BM134))/(Weights!$C$11*IF(AU134="",0,1)+Weights!$C$12*IF(BM134="",0,1))))</x:f>
      </x:c>
      <x:c r="BV134" s="10">
        <x:f>IF(CG134="",0,CG134)</x:f>
      </x:c>
      <x:c r="BW134" s="10">
        <x:f>IF(AP134="","",AP134)</x:f>
      </x:c>
      <x:c r="BX134" s="10">
        <x:f>IF(AO134="","",AO134)</x:f>
      </x:c>
      <x:c r="BY134" s="10">
        <x:f>IF(AL134="","",AL134)</x:f>
      </x:c>
      <x:c r="BZ134" s="10">
        <x:f>IF(AM134="","",AM134)</x:f>
      </x:c>
      <x:c r="CA134" s="10">
        <x:f>IF(AK134&lt;&gt;"",AK134,AW134)</x:f>
      </x:c>
      <x:c r="CB134" s="10">
        <x:f>IF((Weights!$C$13*IF(BP134="",0,1)+Weights!$C$14*IF(BR134="",0,1)+Weights!$C$15*IF(BQ134="",0,1)+Weights!$C$16*IF(BS134="",0,1)+Weights!$C$17*IF(BU134="",0,1)+Weights!$C$18*IF(BT134="",0,1)+Weights!$C$19*IF(BW134="",0,1)+Weights!$C$20*IF(BZ134="",0,1)+Weights!$C$21*IF(BO134="",0,1)+Weights!$C$22)=0,"",(Weights!$C$13*IF(BP134="",0,BP134)+Weights!$C$14*IF(BR134="",0,BR134)+Weights!$C$15*IF(BQ134="",0,BQ134)+Weights!$C$16*IF(BS134="",0,BS134)+Weights!$C$17*IF(BU134="",0,BU134)+Weights!$C$18*IF(BT134="",0,BT134)+Weights!$C$19*IF(BW134="",0,BW134)+Weights!$C$20*IF(BZ134="",0,BZ134)+Weights!$C$21*IF(BO134="",0,BO134)+Weights!$C$22*BV134)/(Weights!$C$13*IF(BP134="",0,1)+Weights!$C$14*IF(BR134="",0,1)+Weights!$C$15*IF(BQ134="",0,1)+Weights!$C$16*IF(BS134="",0,1)+Weights!$C$17*IF(BU134="",0,1)+Weights!$C$18*IF(BT134="",0,1)+Weights!$C$19*IF(BW134="",0,1)+Weights!$C$20*IF(BZ134="",0,1)+Weights!$C$21*IF(BO134="",0,1)+Weights!$C$22))</x:f>
      </x:c>
      <x:c r="CC134" s="10">
        <x:f>IF((Weights!$C$23*IF(BQ134="",0,1)+Weights!$C$24*IF(BN134="",0,1)+Weights!$C$25*IF(BS134="",0,1)+Weights!$C$26*IF(BY134="",0,1)+Weights!$C$27*IF(BX134="",0,1)+Weights!$C$28*IF(BT134="",0,1)+Weights!$C$29*IF(CA134="",0,1)+Weights!$C$30+Weights!$C$31*IF(BU134="",0,1))=0,"",(Weights!$C$23*IF(BQ134="",0,BQ134)+Weights!$C$24*IF(BN134="",0,BN134)+Weights!$C$25*IF(BS134="",0,BS134)+Weights!$C$26*IF(BY134="",0,BY134)+Weights!$C$27*IF(BX134="",0,BX134)+Weights!$C$28*IF(BT134="",0,BT134)+Weights!$C$29*IF(CA134="",0,CA134)+Weights!$C$30*BV134+Weights!$C$31*IF(BU134="",0,BU134))/(Weights!$C$23*IF(BQ134="",0,1)+Weights!$C$24*IF(BN134="",0,1)+Weights!$C$25*IF(BS134="",0,1)+Weights!$C$26*IF(BY134="",0,1)+Weights!$C$27*IF(BX134="",0,1)+Weights!$C$28*IF(BT134="",0,1)+Weights!$C$29*IF(CA134="",0,1)+Weights!$C$30+Weights!$C$31*IF(BU134="",0,1)))</x:f>
      </x:c>
      <x:c r="CD134" s="10">
        <x:f>IF(AND(CB134="",CC134=""),"",IF(CB134="",CC134,IF(CC134="",CB134,AVERAGE(CB134,CC134))))</x:f>
      </x:c>
      <x:c r="CE134" s="7">
        <x:f>ROUND(100*((IF(BP134&lt;&gt;"",1,0)+IF(BQ134&lt;&gt;"",1,0)+IF(BR134&lt;&gt;"",1,0)+IF(BS134&lt;&gt;"",1,0)+IF(BU134&lt;&gt;"",1,0)+IF(BT134&lt;&gt;"",1,0)+IF(BN134&lt;&gt;"",1,0)+IF(AW134&lt;&gt;"",1,0))/8),0)</x:f>
      </x:c>
      <x:c r="CF134">
        <x:f>IF(V134="","",LOG10(V134+1))</x:f>
      </x:c>
      <x:c r="CG134">
        <x:f>IF(CF134="","",IF(MAX($CF$2:$CF$252)-MIN($CF$2:$CF$252)=0,"",(CF134-MIN($CF$2:$CF$252))/(MAX($CF$2:$CF$252)-MIN($CF$2:$CF$252))*100))</x:f>
      </x:c>
    </x:row>
    <x:row r="135">
      <x:c r="A135" t="inlineStr">
        <x:is>
          <x:t xml:space="preserve">CRI</x:t>
        </x:is>
      </x:c>
      <x:c r="B135" t="inlineStr">
        <x:is>
          <x:t xml:space="preserve">Costa Rica</x:t>
        </x:is>
      </x:c>
      <x:c r="C135" t="inlineStr">
        <x:is>
          <x:t xml:space="preserve">Latin America &amp; Caribbean</x:t>
        </x:is>
      </x:c>
      <x:c r="D135" t="inlineStr">
        <x:is>
          <x:t xml:space="preserve">High income</x:t>
        </x:is>
      </x:c>
      <x:c r="E135" t="inlineStr">
        <x:is>
          <x:t xml:space="preserve">North America</x:t>
        </x:is>
      </x:c>
      <x:c r="F135" t="n">
        <x:v>2024</x:v>
      </x:c>
      <x:c r="G135" t="n">
        <x:v>5129910</x:v>
      </x:c>
      <x:c r="H135" t="n">
        <x:v>2020</x:v>
      </x:c>
      <x:c r="I135" t="n">
        <x:v>10000</x:v>
      </x:c>
      <x:c r="J135" t="n">
        <x:v>6500</x:v>
      </x:c>
      <x:c r="K135" t="n">
        <x:v>2000</x:v>
      </x:c>
      <x:c r="L135" t="n">
        <x:v>1200</x:v>
      </x:c>
      <x:c r="M135" t="n">
        <x:v>2024</x:v>
      </x:c>
      <x:c r="N135" s="8" t="n">
        <x:v>0</x:v>
      </x:c>
      <x:c r="O135" s="9" t="n"/>
      <x:c r="P135" s="8" t="n">
        <x:v>0</x:v>
      </x:c>
      <x:c r="Q135" t="n">
        <x:v>2024</x:v>
      </x:c>
      <x:c r="R135" s="8" t="n">
        <x:v>95350423176.59621</x:v>
      </x:c>
      <x:c r="S135" t="n">
        <x:v>0</x:v>
      </x:c>
      <x:c r="T135" t="n">
        <x:v>0</x:v>
      </x:c>
      <x:c r="U135" t="inlineStr">
        <x:is>
          <x:t xml:space="preserve">No</x:t>
        </x:is>
      </x:c>
      <x:c r="W135" t="inlineStr">
        <x:is>
          <x:t xml:space="preserve">No</x:t>
        </x:is>
      </x:c>
      <x:c r="X135" t="n">
        <x:v>20.57688828685304</x:v>
      </x:c>
      <x:c r="Y135" t="n">
        <x:v>62.84205286041751</x:v>
      </x:c>
      <x:c r="Z135" t="n">
        <x:v>53832.13570211233</x:v>
      </x:c>
      <x:c r="AA135" t="n">
        <x:v>91.58577744866511</x:v>
      </x:c>
      <x:c r="AB135" s="8" t="n">
        <x:v>16076.23779526345</x:v>
      </x:c>
      <x:c r="AR135">
        <x:f>IF(G135="","",LOG10(G135+1))</x:f>
      </x:c>
      <x:c r="AS135" s="10">
        <x:f>IF(AR135="","",IF(MAX($AR$2:$AR$252)-MIN($AR$2:$AR$252)=0,"",(AR135-MIN($AR$2:$AR$252))/(MAX($AR$2:$AR$252)-MIN($AR$2:$AR$252))*100))</x:f>
      </x:c>
      <x:c r="AT135">
        <x:f>IF(R135="","",LOG10(R135+1))</x:f>
      </x:c>
      <x:c r="AU135" s="10">
        <x:f>IF(AT135="","",IF(MAX($AT$2:$AT$252)-MIN($AT$2:$AT$252)=0,"",(AT135-MIN($AT$2:$AT$252))/(MAX($AT$2:$AT$252)-MIN($AT$2:$AT$252))*100))</x:f>
      </x:c>
      <x:c r="AV135">
        <x:f>IF(N135="","",LOG10(N135+1))</x:f>
      </x:c>
      <x:c r="AW135" s="10">
        <x:f>IF(AV135="","",IF(MAX($AV$2:$AV$252)-MIN($AV$2:$AV$252)=0,"",(AV135-MIN($AV$2:$AV$252))/(MAX($AV$2:$AV$252)-MIN($AV$2:$AV$252))*100))</x:f>
      </x:c>
      <x:c r="AX135">
        <x:f>IF(I135="","",LOG10(I135+1))</x:f>
      </x:c>
      <x:c r="AY135" s="10">
        <x:f>IF(AX135="","",IF(MAX($AX$2:$AX$252)-MIN($AX$2:$AX$252)=0,"",(AX135-MIN($AX$2:$AX$252))/(MAX($AX$2:$AX$252)-MIN($AX$2:$AX$252))*100))</x:f>
      </x:c>
      <x:c r="AZ135">
        <x:f>IF(J135="","",LOG10(J135+1))</x:f>
      </x:c>
      <x:c r="BA135" s="10">
        <x:f>IF(AZ135="","",IF(MAX($AZ$2:$AZ$252)-MIN($AZ$2:$AZ$252)=0,"",(AZ135-MIN($AZ$2:$AZ$252))/(MAX($AZ$2:$AZ$252)-MIN($AZ$2:$AZ$252))*100))</x:f>
      </x:c>
      <x:c r="BB135">
        <x:f>IF(K135="","",LOG10(K135+1))</x:f>
      </x:c>
      <x:c r="BC135" s="10">
        <x:f>IF(BB135="","",IF(MAX($BB$2:$BB$252)-MIN($BB$2:$BB$252)=0,"",(BB135-MIN($BB$2:$BB$252))/(MAX($BB$2:$BB$252)-MIN($BB$2:$BB$252))*100))</x:f>
      </x:c>
      <x:c r="BD135">
        <x:f>IF(L135="","",LOG10(L135+1))</x:f>
      </x:c>
      <x:c r="BE135" s="10">
        <x:f>IF(BD135="","",IF(MAX($BD$2:$BD$252)-MIN($BD$2:$BD$252)=0,"",(BD135-MIN($BD$2:$BD$252))/(MAX($BD$2:$BD$252)-MIN($BD$2:$BD$252))*100))</x:f>
      </x:c>
      <x:c r="BF135" s="10">
        <x:f>IF(P135="","",IF(MAX($P$2:$P$252)-MIN($P$2:$P$252)=0,"",(P135-MIN($P$2:$P$252))/(MAX($P$2:$P$252)-MIN($P$2:$P$252))*100))</x:f>
      </x:c>
      <x:c r="BG135">
        <x:f>IF(AF135="","",LOG10(AF135+1))</x:f>
      </x:c>
      <x:c r="BH135" s="10">
        <x:f>IF(BG135="","",IF(MAX($BG$2:$BG$252)-MIN($BG$2:$BG$252)=0,"",(BG135-MIN($BG$2:$BG$252))/(MAX($BG$2:$BG$252)-MIN($BG$2:$BG$252))*100))</x:f>
      </x:c>
      <x:c r="BI135">
        <x:f>IF(AC135="","",LOG10(AC135+1))</x:f>
      </x:c>
      <x:c r="BJ135" s="10">
        <x:f>IF(BI135="","",IF(MAX($BI$2:$BI$252)-MIN($BI$2:$BI$252)=0,"",(BI135-MIN($BI$2:$BI$252))/(MAX($BI$2:$BI$252)-MIN($BI$2:$BI$252))*100))</x:f>
      </x:c>
      <x:c r="BK135">
        <x:f>IF(AD135="","",(AD135*2)+(AE135*1))</x:f>
      </x:c>
      <x:c r="BL135" s="10">
        <x:f>IF(BK135="","",IF(MAX($BK$2:$BK$252)-MIN($BK$2:$BK$252)=0,"",(BK135-MIN($BK$2:$BK$252))/(MAX($BK$2:$BK$252)-MIN($BK$2:$BK$252))*100))</x:f>
      </x:c>
      <x:c r="BM135" s="10">
        <x:f>IF(AB135="","",IF(MAX($AB$2:$AB$252)-MIN($AB$2:$AB$252)=0,"",(AB135-MIN($AB$2:$AB$252))/(MAX($AB$2:$AB$252)-MIN($AB$2:$AB$252))*100))</x:f>
      </x:c>
      <x:c r="BN135" s="10">
        <x:f>IF(X135="","",X135)</x:f>
      </x:c>
      <x:c r="BO135" s="10">
        <x:f>IF(X135="","",100-X135)</x:f>
      </x:c>
      <x:c r="BP135" s="10">
        <x:f>IF((Weights!$C$2*IF(BH135="",0,1)+Weights!$C$3*IF(BJ135="",0,1)+Weights!$C$4*IF(BL135="",0,1))=0,"",(Weights!$C$2*IF(BH135="",0,BH135)+Weights!$C$3*IF(BJ135="",0,BJ135)+Weights!$C$4*IF(BL135="",0,BL135))/(Weights!$C$2*IF(BH135="",0,1)+Weights!$C$3*IF(BJ135="",0,1)+Weights!$C$4*IF(BL135="",0,1)))</x:f>
      </x:c>
      <x:c r="BQ135" s="10">
        <x:f>IF((Weights!$C$5*IF(BA135="",0,1)+Weights!$C$6*IF(AW135="",0,1)+Weights!$C$7*IF(AU135="",0,1))=0,"",(Weights!$C$5*IF(BA135="",0,BA135)+Weights!$C$6*IF(AW135="",0,AW135)+Weights!$C$7*IF(AU135="",0,AU135))/(Weights!$C$5*IF(BA135="",0,1)+Weights!$C$6*IF(AW135="",0,1)+Weights!$C$7*IF(AU135="",0,1)))</x:f>
      </x:c>
      <x:c r="BR135" s="10">
        <x:f>IF((Weights!$C$8*IF(AW135="",0,1)+Weights!$C$9*IF(BC135="",0,1)+Weights!$C$10*IF(BF135="",0,1))=0,"",(Weights!$C$8*IF(AW135="",0,AW135)+Weights!$C$9*IF(BC135="",0,BC135)+Weights!$C$10*IF(BF135="",0,BF135))/(Weights!$C$8*IF(AW135="",0,1)+Weights!$C$9*IF(BC135="",0,1)+Weights!$C$10*IF(BF135="",0,1)))</x:f>
      </x:c>
      <x:c r="BS135" s="10">
        <x:f>IF(Y135="","",Y135)</x:f>
      </x:c>
      <x:c r="BT135" s="10">
        <x:f>IF(AS135="","",AS135)</x:f>
      </x:c>
      <x:c r="BU135" s="10">
        <x:f>IF(AJ135&lt;&gt;"",(0.6*AJ135+0.4*AU135),IF((Weights!$C$11*IF(AU135="",0,1)+Weights!$C$12*IF(BM135="",0,1))=0,"",(Weights!$C$11*IF(AU135="",0,AU135)+Weights!$C$12*IF(BM135="",0,BM135))/(Weights!$C$11*IF(AU135="",0,1)+Weights!$C$12*IF(BM135="",0,1))))</x:f>
      </x:c>
      <x:c r="BV135" s="10">
        <x:f>IF(CG135="",0,CG135)</x:f>
      </x:c>
      <x:c r="BW135" s="10">
        <x:f>IF(AP135="","",AP135)</x:f>
      </x:c>
      <x:c r="BX135" s="10">
        <x:f>IF(AO135="","",AO135)</x:f>
      </x:c>
      <x:c r="BY135" s="10">
        <x:f>IF(AL135="","",AL135)</x:f>
      </x:c>
      <x:c r="BZ135" s="10">
        <x:f>IF(AM135="","",AM135)</x:f>
      </x:c>
      <x:c r="CA135" s="10">
        <x:f>IF(AK135&lt;&gt;"",AK135,AW135)</x:f>
      </x:c>
      <x:c r="CB135" s="10">
        <x:f>IF((Weights!$C$13*IF(BP135="",0,1)+Weights!$C$14*IF(BR135="",0,1)+Weights!$C$15*IF(BQ135="",0,1)+Weights!$C$16*IF(BS135="",0,1)+Weights!$C$17*IF(BU135="",0,1)+Weights!$C$18*IF(BT135="",0,1)+Weights!$C$19*IF(BW135="",0,1)+Weights!$C$20*IF(BZ135="",0,1)+Weights!$C$21*IF(BO135="",0,1)+Weights!$C$22)=0,"",(Weights!$C$13*IF(BP135="",0,BP135)+Weights!$C$14*IF(BR135="",0,BR135)+Weights!$C$15*IF(BQ135="",0,BQ135)+Weights!$C$16*IF(BS135="",0,BS135)+Weights!$C$17*IF(BU135="",0,BU135)+Weights!$C$18*IF(BT135="",0,BT135)+Weights!$C$19*IF(BW135="",0,BW135)+Weights!$C$20*IF(BZ135="",0,BZ135)+Weights!$C$21*IF(BO135="",0,BO135)+Weights!$C$22*BV135)/(Weights!$C$13*IF(BP135="",0,1)+Weights!$C$14*IF(BR135="",0,1)+Weights!$C$15*IF(BQ135="",0,1)+Weights!$C$16*IF(BS135="",0,1)+Weights!$C$17*IF(BU135="",0,1)+Weights!$C$18*IF(BT135="",0,1)+Weights!$C$19*IF(BW135="",0,1)+Weights!$C$20*IF(BZ135="",0,1)+Weights!$C$21*IF(BO135="",0,1)+Weights!$C$22))</x:f>
      </x:c>
      <x:c r="CC135" s="10">
        <x:f>IF((Weights!$C$23*IF(BQ135="",0,1)+Weights!$C$24*IF(BN135="",0,1)+Weights!$C$25*IF(BS135="",0,1)+Weights!$C$26*IF(BY135="",0,1)+Weights!$C$27*IF(BX135="",0,1)+Weights!$C$28*IF(BT135="",0,1)+Weights!$C$29*IF(CA135="",0,1)+Weights!$C$30+Weights!$C$31*IF(BU135="",0,1))=0,"",(Weights!$C$23*IF(BQ135="",0,BQ135)+Weights!$C$24*IF(BN135="",0,BN135)+Weights!$C$25*IF(BS135="",0,BS135)+Weights!$C$26*IF(BY135="",0,BY135)+Weights!$C$27*IF(BX135="",0,BX135)+Weights!$C$28*IF(BT135="",0,BT135)+Weights!$C$29*IF(CA135="",0,CA135)+Weights!$C$30*BV135+Weights!$C$31*IF(BU135="",0,BU135))/(Weights!$C$23*IF(BQ135="",0,1)+Weights!$C$24*IF(BN135="",0,1)+Weights!$C$25*IF(BS135="",0,1)+Weights!$C$26*IF(BY135="",0,1)+Weights!$C$27*IF(BX135="",0,1)+Weights!$C$28*IF(BT135="",0,1)+Weights!$C$29*IF(CA135="",0,1)+Weights!$C$30+Weights!$C$31*IF(BU135="",0,1)))</x:f>
      </x:c>
      <x:c r="CD135" s="10">
        <x:f>IF(AND(CB135="",CC135=""),"",IF(CB135="",CC135,IF(CC135="",CB135,AVERAGE(CB135,CC135))))</x:f>
      </x:c>
      <x:c r="CE135" s="7">
        <x:f>ROUND(100*((IF(BP135&lt;&gt;"",1,0)+IF(BQ135&lt;&gt;"",1,0)+IF(BR135&lt;&gt;"",1,0)+IF(BS135&lt;&gt;"",1,0)+IF(BU135&lt;&gt;"",1,0)+IF(BT135&lt;&gt;"",1,0)+IF(BN135&lt;&gt;"",1,0)+IF(AW135&lt;&gt;"",1,0))/8),0)</x:f>
      </x:c>
      <x:c r="CF135">
        <x:f>IF(V135="","",LOG10(V135+1))</x:f>
      </x:c>
      <x:c r="CG135">
        <x:f>IF(CF135="","",IF(MAX($CF$2:$CF$252)-MIN($CF$2:$CF$252)=0,"",(CF135-MIN($CF$2:$CF$252))/(MAX($CF$2:$CF$252)-MIN($CF$2:$CF$252))*100))</x:f>
      </x:c>
    </x:row>
    <x:row r="136">
      <x:c r="A136" t="inlineStr">
        <x:is>
          <x:t xml:space="preserve">HRV</x:t>
        </x:is>
      </x:c>
      <x:c r="B136" t="inlineStr">
        <x:is>
          <x:t xml:space="preserve">Croatia</x:t>
        </x:is>
      </x:c>
      <x:c r="C136" t="inlineStr">
        <x:is>
          <x:t xml:space="preserve">Europe &amp; Central Asia</x:t>
        </x:is>
      </x:c>
      <x:c r="D136" t="inlineStr">
        <x:is>
          <x:t xml:space="preserve">High income</x:t>
        </x:is>
      </x:c>
      <x:c r="E136" t="inlineStr">
        <x:is>
          <x:t xml:space="preserve">Europe</x:t>
        </x:is>
      </x:c>
      <x:c r="F136" t="n">
        <x:v>2024</x:v>
      </x:c>
      <x:c r="G136" t="n">
        <x:v>3866200</x:v>
      </x:c>
      <x:c r="H136" t="n">
        <x:v>2020</x:v>
      </x:c>
      <x:c r="I136" t="n">
        <x:v>20000</x:v>
      </x:c>
      <x:c r="J136" t="n">
        <x:v>13000</x:v>
      </x:c>
      <x:c r="K136" t="n">
        <x:v>4000</x:v>
      </x:c>
      <x:c r="L136" t="n">
        <x:v>2400</x:v>
      </x:c>
      <x:c r="M136" t="n">
        <x:v>2024</x:v>
      </x:c>
      <x:c r="N136" s="8" t="n">
        <x:v>1629055602.0691</x:v>
      </x:c>
      <x:c r="O136" s="9" t="n">
        <x:v>1.79323424509814</x:v>
      </x:c>
      <x:c r="P136" s="8" t="n">
        <x:v>81452.78010345499</x:v>
      </x:c>
      <x:c r="Q136" t="n">
        <x:v>2024</x:v>
      </x:c>
      <x:c r="R136" s="8" t="n">
        <x:v>92983810328.9088</x:v>
      </x:c>
      <x:c r="S136" t="n">
        <x:v>0</x:v>
      </x:c>
      <x:c r="T136" t="n">
        <x:v>0</x:v>
      </x:c>
      <x:c r="U136" t="inlineStr">
        <x:is>
          <x:t xml:space="preserve">No</x:t>
        </x:is>
      </x:c>
      <x:c r="W136" t="inlineStr">
        <x:is>
          <x:t xml:space="preserve">No</x:t>
        </x:is>
      </x:c>
      <x:c r="X136" t="n">
        <x:v>39.31689234592902</x:v>
      </x:c>
      <x:c r="Y136" t="n">
        <x:v>66.13532277344333</x:v>
      </x:c>
      <x:c r="Z136" t="n">
        <x:v>57530.85175302706</x:v>
      </x:c>
      <x:c r="AA136" t="n">
        <x:v>74.6051009017812</x:v>
      </x:c>
      <x:c r="AB136" s="8" t="n">
        <x:v>21956.64355052719</x:v>
      </x:c>
      <x:c r="AC136" t="n">
        <x:v>32</x:v>
      </x:c>
      <x:c r="AD136" t="n">
        <x:v>0</x:v>
      </x:c>
      <x:c r="AE136" t="n">
        <x:v>0</x:v>
      </x:c>
      <x:c r="AR136">
        <x:f>IF(G136="","",LOG10(G136+1))</x:f>
      </x:c>
      <x:c r="AS136" s="10">
        <x:f>IF(AR136="","",IF(MAX($AR$2:$AR$252)-MIN($AR$2:$AR$252)=0,"",(AR136-MIN($AR$2:$AR$252))/(MAX($AR$2:$AR$252)-MIN($AR$2:$AR$252))*100))</x:f>
      </x:c>
      <x:c r="AT136">
        <x:f>IF(R136="","",LOG10(R136+1))</x:f>
      </x:c>
      <x:c r="AU136" s="10">
        <x:f>IF(AT136="","",IF(MAX($AT$2:$AT$252)-MIN($AT$2:$AT$252)=0,"",(AT136-MIN($AT$2:$AT$252))/(MAX($AT$2:$AT$252)-MIN($AT$2:$AT$252))*100))</x:f>
      </x:c>
      <x:c r="AV136">
        <x:f>IF(N136="","",LOG10(N136+1))</x:f>
      </x:c>
      <x:c r="AW136" s="10">
        <x:f>IF(AV136="","",IF(MAX($AV$2:$AV$252)-MIN($AV$2:$AV$252)=0,"",(AV136-MIN($AV$2:$AV$252))/(MAX($AV$2:$AV$252)-MIN($AV$2:$AV$252))*100))</x:f>
      </x:c>
      <x:c r="AX136">
        <x:f>IF(I136="","",LOG10(I136+1))</x:f>
      </x:c>
      <x:c r="AY136" s="10">
        <x:f>IF(AX136="","",IF(MAX($AX$2:$AX$252)-MIN($AX$2:$AX$252)=0,"",(AX136-MIN($AX$2:$AX$252))/(MAX($AX$2:$AX$252)-MIN($AX$2:$AX$252))*100))</x:f>
      </x:c>
      <x:c r="AZ136">
        <x:f>IF(J136="","",LOG10(J136+1))</x:f>
      </x:c>
      <x:c r="BA136" s="10">
        <x:f>IF(AZ136="","",IF(MAX($AZ$2:$AZ$252)-MIN($AZ$2:$AZ$252)=0,"",(AZ136-MIN($AZ$2:$AZ$252))/(MAX($AZ$2:$AZ$252)-MIN($AZ$2:$AZ$252))*100))</x:f>
      </x:c>
      <x:c r="BB136">
        <x:f>IF(K136="","",LOG10(K136+1))</x:f>
      </x:c>
      <x:c r="BC136" s="10">
        <x:f>IF(BB136="","",IF(MAX($BB$2:$BB$252)-MIN($BB$2:$BB$252)=0,"",(BB136-MIN($BB$2:$BB$252))/(MAX($BB$2:$BB$252)-MIN($BB$2:$BB$252))*100))</x:f>
      </x:c>
      <x:c r="BD136">
        <x:f>IF(L136="","",LOG10(L136+1))</x:f>
      </x:c>
      <x:c r="BE136" s="10">
        <x:f>IF(BD136="","",IF(MAX($BD$2:$BD$252)-MIN($BD$2:$BD$252)=0,"",(BD136-MIN($BD$2:$BD$252))/(MAX($BD$2:$BD$252)-MIN($BD$2:$BD$252))*100))</x:f>
      </x:c>
      <x:c r="BF136" s="10">
        <x:f>IF(P136="","",IF(MAX($P$2:$P$252)-MIN($P$2:$P$252)=0,"",(P136-MIN($P$2:$P$252))/(MAX($P$2:$P$252)-MIN($P$2:$P$252))*100))</x:f>
      </x:c>
      <x:c r="BG136">
        <x:f>IF(AF136="","",LOG10(AF136+1))</x:f>
      </x:c>
      <x:c r="BH136" s="10">
        <x:f>IF(BG136="","",IF(MAX($BG$2:$BG$252)-MIN($BG$2:$BG$252)=0,"",(BG136-MIN($BG$2:$BG$252))/(MAX($BG$2:$BG$252)-MIN($BG$2:$BG$252))*100))</x:f>
      </x:c>
      <x:c r="BI136">
        <x:f>IF(AC136="","",LOG10(AC136+1))</x:f>
      </x:c>
      <x:c r="BJ136" s="10">
        <x:f>IF(BI136="","",IF(MAX($BI$2:$BI$252)-MIN($BI$2:$BI$252)=0,"",(BI136-MIN($BI$2:$BI$252))/(MAX($BI$2:$BI$252)-MIN($BI$2:$BI$252))*100))</x:f>
      </x:c>
      <x:c r="BK136">
        <x:f>IF(AD136="","",(AD136*2)+(AE136*1))</x:f>
      </x:c>
      <x:c r="BL136" s="10">
        <x:f>IF(BK136="","",IF(MAX($BK$2:$BK$252)-MIN($BK$2:$BK$252)=0,"",(BK136-MIN($BK$2:$BK$252))/(MAX($BK$2:$BK$252)-MIN($BK$2:$BK$252))*100))</x:f>
      </x:c>
      <x:c r="BM136" s="10">
        <x:f>IF(AB136="","",IF(MAX($AB$2:$AB$252)-MIN($AB$2:$AB$252)=0,"",(AB136-MIN($AB$2:$AB$252))/(MAX($AB$2:$AB$252)-MIN($AB$2:$AB$252))*100))</x:f>
      </x:c>
      <x:c r="BN136" s="10">
        <x:f>IF(X136="","",X136)</x:f>
      </x:c>
      <x:c r="BO136" s="10">
        <x:f>IF(X136="","",100-X136)</x:f>
      </x:c>
      <x:c r="BP136" s="10">
        <x:f>IF((Weights!$C$2*IF(BH136="",0,1)+Weights!$C$3*IF(BJ136="",0,1)+Weights!$C$4*IF(BL136="",0,1))=0,"",(Weights!$C$2*IF(BH136="",0,BH136)+Weights!$C$3*IF(BJ136="",0,BJ136)+Weights!$C$4*IF(BL136="",0,BL136))/(Weights!$C$2*IF(BH136="",0,1)+Weights!$C$3*IF(BJ136="",0,1)+Weights!$C$4*IF(BL136="",0,1)))</x:f>
      </x:c>
      <x:c r="BQ136" s="10">
        <x:f>IF((Weights!$C$5*IF(BA136="",0,1)+Weights!$C$6*IF(AW136="",0,1)+Weights!$C$7*IF(AU136="",0,1))=0,"",(Weights!$C$5*IF(BA136="",0,BA136)+Weights!$C$6*IF(AW136="",0,AW136)+Weights!$C$7*IF(AU136="",0,AU136))/(Weights!$C$5*IF(BA136="",0,1)+Weights!$C$6*IF(AW136="",0,1)+Weights!$C$7*IF(AU136="",0,1)))</x:f>
      </x:c>
      <x:c r="BR136" s="10">
        <x:f>IF((Weights!$C$8*IF(AW136="",0,1)+Weights!$C$9*IF(BC136="",0,1)+Weights!$C$10*IF(BF136="",0,1))=0,"",(Weights!$C$8*IF(AW136="",0,AW136)+Weights!$C$9*IF(BC136="",0,BC136)+Weights!$C$10*IF(BF136="",0,BF136))/(Weights!$C$8*IF(AW136="",0,1)+Weights!$C$9*IF(BC136="",0,1)+Weights!$C$10*IF(BF136="",0,1)))</x:f>
      </x:c>
      <x:c r="BS136" s="10">
        <x:f>IF(Y136="","",Y136)</x:f>
      </x:c>
      <x:c r="BT136" s="10">
        <x:f>IF(AS136="","",AS136)</x:f>
      </x:c>
      <x:c r="BU136" s="10">
        <x:f>IF(AJ136&lt;&gt;"",(0.6*AJ136+0.4*AU136),IF((Weights!$C$11*IF(AU136="",0,1)+Weights!$C$12*IF(BM136="",0,1))=0,"",(Weights!$C$11*IF(AU136="",0,AU136)+Weights!$C$12*IF(BM136="",0,BM136))/(Weights!$C$11*IF(AU136="",0,1)+Weights!$C$12*IF(BM136="",0,1))))</x:f>
      </x:c>
      <x:c r="BV136" s="10">
        <x:f>IF(CG136="",0,CG136)</x:f>
      </x:c>
      <x:c r="BW136" s="10">
        <x:f>IF(AP136="","",AP136)</x:f>
      </x:c>
      <x:c r="BX136" s="10">
        <x:f>IF(AO136="","",AO136)</x:f>
      </x:c>
      <x:c r="BY136" s="10">
        <x:f>IF(AL136="","",AL136)</x:f>
      </x:c>
      <x:c r="BZ136" s="10">
        <x:f>IF(AM136="","",AM136)</x:f>
      </x:c>
      <x:c r="CA136" s="10">
        <x:f>IF(AK136&lt;&gt;"",AK136,AW136)</x:f>
      </x:c>
      <x:c r="CB136" s="10">
        <x:f>IF((Weights!$C$13*IF(BP136="",0,1)+Weights!$C$14*IF(BR136="",0,1)+Weights!$C$15*IF(BQ136="",0,1)+Weights!$C$16*IF(BS136="",0,1)+Weights!$C$17*IF(BU136="",0,1)+Weights!$C$18*IF(BT136="",0,1)+Weights!$C$19*IF(BW136="",0,1)+Weights!$C$20*IF(BZ136="",0,1)+Weights!$C$21*IF(BO136="",0,1)+Weights!$C$22)=0,"",(Weights!$C$13*IF(BP136="",0,BP136)+Weights!$C$14*IF(BR136="",0,BR136)+Weights!$C$15*IF(BQ136="",0,BQ136)+Weights!$C$16*IF(BS136="",0,BS136)+Weights!$C$17*IF(BU136="",0,BU136)+Weights!$C$18*IF(BT136="",0,BT136)+Weights!$C$19*IF(BW136="",0,BW136)+Weights!$C$20*IF(BZ136="",0,BZ136)+Weights!$C$21*IF(BO136="",0,BO136)+Weights!$C$22*BV136)/(Weights!$C$13*IF(BP136="",0,1)+Weights!$C$14*IF(BR136="",0,1)+Weights!$C$15*IF(BQ136="",0,1)+Weights!$C$16*IF(BS136="",0,1)+Weights!$C$17*IF(BU136="",0,1)+Weights!$C$18*IF(BT136="",0,1)+Weights!$C$19*IF(BW136="",0,1)+Weights!$C$20*IF(BZ136="",0,1)+Weights!$C$21*IF(BO136="",0,1)+Weights!$C$22))</x:f>
      </x:c>
      <x:c r="CC136" s="10">
        <x:f>IF((Weights!$C$23*IF(BQ136="",0,1)+Weights!$C$24*IF(BN136="",0,1)+Weights!$C$25*IF(BS136="",0,1)+Weights!$C$26*IF(BY136="",0,1)+Weights!$C$27*IF(BX136="",0,1)+Weights!$C$28*IF(BT136="",0,1)+Weights!$C$29*IF(CA136="",0,1)+Weights!$C$30+Weights!$C$31*IF(BU136="",0,1))=0,"",(Weights!$C$23*IF(BQ136="",0,BQ136)+Weights!$C$24*IF(BN136="",0,BN136)+Weights!$C$25*IF(BS136="",0,BS136)+Weights!$C$26*IF(BY136="",0,BY136)+Weights!$C$27*IF(BX136="",0,BX136)+Weights!$C$28*IF(BT136="",0,BT136)+Weights!$C$29*IF(CA136="",0,CA136)+Weights!$C$30*BV136+Weights!$C$31*IF(BU136="",0,BU136))/(Weights!$C$23*IF(BQ136="",0,1)+Weights!$C$24*IF(BN136="",0,1)+Weights!$C$25*IF(BS136="",0,1)+Weights!$C$26*IF(BY136="",0,1)+Weights!$C$27*IF(BX136="",0,1)+Weights!$C$28*IF(BT136="",0,1)+Weights!$C$29*IF(CA136="",0,1)+Weights!$C$30+Weights!$C$31*IF(BU136="",0,1)))</x:f>
      </x:c>
      <x:c r="CD136" s="10">
        <x:f>IF(AND(CB136="",CC136=""),"",IF(CB136="",CC136,IF(CC136="",CB136,AVERAGE(CB136,CC136))))</x:f>
      </x:c>
      <x:c r="CE136" s="7">
        <x:f>ROUND(100*((IF(BP136&lt;&gt;"",1,0)+IF(BQ136&lt;&gt;"",1,0)+IF(BR136&lt;&gt;"",1,0)+IF(BS136&lt;&gt;"",1,0)+IF(BU136&lt;&gt;"",1,0)+IF(BT136&lt;&gt;"",1,0)+IF(BN136&lt;&gt;"",1,0)+IF(AW136&lt;&gt;"",1,0))/8),0)</x:f>
      </x:c>
      <x:c r="CF136">
        <x:f>IF(V136="","",LOG10(V136+1))</x:f>
      </x:c>
      <x:c r="CG136">
        <x:f>IF(CF136="","",IF(MAX($CF$2:$CF$252)-MIN($CF$2:$CF$252)=0,"",(CF136-MIN($CF$2:$CF$252))/(MAX($CF$2:$CF$252)-MIN($CF$2:$CF$252))*100))</x:f>
      </x:c>
    </x:row>
    <x:row r="137">
      <x:c r="A137" t="inlineStr">
        <x:is>
          <x:t xml:space="preserve">CUB</x:t>
        </x:is>
      </x:c>
      <x:c r="B137" t="inlineStr">
        <x:is>
          <x:t xml:space="preserve">Cuba</x:t>
        </x:is>
      </x:c>
      <x:c r="C137" t="inlineStr">
        <x:is>
          <x:t xml:space="preserve">Latin America &amp; Caribbean</x:t>
        </x:is>
      </x:c>
      <x:c r="D137" t="inlineStr">
        <x:is>
          <x:t xml:space="preserve">Upper middle income</x:t>
        </x:is>
      </x:c>
      <x:c r="E137" t="inlineStr">
        <x:is>
          <x:t xml:space="preserve">North America</x:t>
        </x:is>
      </x:c>
      <x:c r="F137" t="n">
        <x:v>2024</x:v>
      </x:c>
      <x:c r="G137" t="n">
        <x:v>10979783</x:v>
      </x:c>
      <x:c r="H137" t="n">
        <x:v>2020</x:v>
      </x:c>
      <x:c r="I137" t="n">
        <x:v>76000</x:v>
      </x:c>
      <x:c r="J137" t="n">
        <x:v>49400</x:v>
      </x:c>
      <x:c r="K137" t="n">
        <x:v>15200</x:v>
      </x:c>
      <x:c r="L137" t="n">
        <x:v>9120</x:v>
      </x:c>
      <x:c r="M137" t="n">
        <x:v>2018</x:v>
      </x:c>
      <x:c r="N137" s="8" t="n">
        <x:v>128609126.95598</x:v>
      </x:c>
      <x:c r="O137" s="9" t="n">
        <x:v>2.87620737245072</x:v>
      </x:c>
      <x:c r="P137" s="8" t="n">
        <x:v>1692.225354683947</x:v>
      </x:c>
      <x:c r="Q137" t="n">
        <x:v>2020</x:v>
      </x:c>
      <x:c r="R137" s="8" t="n">
        <x:v>107352000000</x:v>
      </x:c>
      <x:c r="S137" t="n">
        <x:v>0</x:v>
      </x:c>
      <x:c r="T137" t="n">
        <x:v>0</x:v>
      </x:c>
      <x:c r="U137" t="inlineStr">
        <x:is>
          <x:t xml:space="preserve">No</x:t>
        </x:is>
      </x:c>
      <x:c r="W137" t="inlineStr">
        <x:is>
          <x:t xml:space="preserve">No</x:t>
        </x:is>
      </x:c>
      <x:c r="X137" t="n">
        <x:v>39.347640859965</x:v>
      </x:c>
      <x:c r="Y137" t="n">
        <x:v>58.82396738799426</x:v>
      </x:c>
      <x:c r="Z137" t="n">
        <x:v>114866.2181500435</x:v>
      </x:c>
      <x:c r="AA137" t="n">
        <x:v>97.04687052061507</x:v>
      </x:c>
      <x:c r="AB137" s="8" t="n">
        <x:v>11922.05505728821</x:v>
      </x:c>
      <x:c r="AC137" t="n">
        <x:v>24</x:v>
      </x:c>
      <x:c r="AD137" t="n">
        <x:v>0</x:v>
      </x:c>
      <x:c r="AE137" t="n">
        <x:v>0</x:v>
      </x:c>
      <x:c r="AR137">
        <x:f>IF(G137="","",LOG10(G137+1))</x:f>
      </x:c>
      <x:c r="AS137" s="10">
        <x:f>IF(AR137="","",IF(MAX($AR$2:$AR$252)-MIN($AR$2:$AR$252)=0,"",(AR137-MIN($AR$2:$AR$252))/(MAX($AR$2:$AR$252)-MIN($AR$2:$AR$252))*100))</x:f>
      </x:c>
      <x:c r="AT137">
        <x:f>IF(R137="","",LOG10(R137+1))</x:f>
      </x:c>
      <x:c r="AU137" s="10">
        <x:f>IF(AT137="","",IF(MAX($AT$2:$AT$252)-MIN($AT$2:$AT$252)=0,"",(AT137-MIN($AT$2:$AT$252))/(MAX($AT$2:$AT$252)-MIN($AT$2:$AT$252))*100))</x:f>
      </x:c>
      <x:c r="AV137">
        <x:f>IF(N137="","",LOG10(N137+1))</x:f>
      </x:c>
      <x:c r="AW137" s="10">
        <x:f>IF(AV137="","",IF(MAX($AV$2:$AV$252)-MIN($AV$2:$AV$252)=0,"",(AV137-MIN($AV$2:$AV$252))/(MAX($AV$2:$AV$252)-MIN($AV$2:$AV$252))*100))</x:f>
      </x:c>
      <x:c r="AX137">
        <x:f>IF(I137="","",LOG10(I137+1))</x:f>
      </x:c>
      <x:c r="AY137" s="10">
        <x:f>IF(AX137="","",IF(MAX($AX$2:$AX$252)-MIN($AX$2:$AX$252)=0,"",(AX137-MIN($AX$2:$AX$252))/(MAX($AX$2:$AX$252)-MIN($AX$2:$AX$252))*100))</x:f>
      </x:c>
      <x:c r="AZ137">
        <x:f>IF(J137="","",LOG10(J137+1))</x:f>
      </x:c>
      <x:c r="BA137" s="10">
        <x:f>IF(AZ137="","",IF(MAX($AZ$2:$AZ$252)-MIN($AZ$2:$AZ$252)=0,"",(AZ137-MIN($AZ$2:$AZ$252))/(MAX($AZ$2:$AZ$252)-MIN($AZ$2:$AZ$252))*100))</x:f>
      </x:c>
      <x:c r="BB137">
        <x:f>IF(K137="","",LOG10(K137+1))</x:f>
      </x:c>
      <x:c r="BC137" s="10">
        <x:f>IF(BB137="","",IF(MAX($BB$2:$BB$252)-MIN($BB$2:$BB$252)=0,"",(BB137-MIN($BB$2:$BB$252))/(MAX($BB$2:$BB$252)-MIN($BB$2:$BB$252))*100))</x:f>
      </x:c>
      <x:c r="BD137">
        <x:f>IF(L137="","",LOG10(L137+1))</x:f>
      </x:c>
      <x:c r="BE137" s="10">
        <x:f>IF(BD137="","",IF(MAX($BD$2:$BD$252)-MIN($BD$2:$BD$252)=0,"",(BD137-MIN($BD$2:$BD$252))/(MAX($BD$2:$BD$252)-MIN($BD$2:$BD$252))*100))</x:f>
      </x:c>
      <x:c r="BF137" s="10">
        <x:f>IF(P137="","",IF(MAX($P$2:$P$252)-MIN($P$2:$P$252)=0,"",(P137-MIN($P$2:$P$252))/(MAX($P$2:$P$252)-MIN($P$2:$P$252))*100))</x:f>
      </x:c>
      <x:c r="BG137">
        <x:f>IF(AF137="","",LOG10(AF137+1))</x:f>
      </x:c>
      <x:c r="BH137" s="10">
        <x:f>IF(BG137="","",IF(MAX($BG$2:$BG$252)-MIN($BG$2:$BG$252)=0,"",(BG137-MIN($BG$2:$BG$252))/(MAX($BG$2:$BG$252)-MIN($BG$2:$BG$252))*100))</x:f>
      </x:c>
      <x:c r="BI137">
        <x:f>IF(AC137="","",LOG10(AC137+1))</x:f>
      </x:c>
      <x:c r="BJ137" s="10">
        <x:f>IF(BI137="","",IF(MAX($BI$2:$BI$252)-MIN($BI$2:$BI$252)=0,"",(BI137-MIN($BI$2:$BI$252))/(MAX($BI$2:$BI$252)-MIN($BI$2:$BI$252))*100))</x:f>
      </x:c>
      <x:c r="BK137">
        <x:f>IF(AD137="","",(AD137*2)+(AE137*1))</x:f>
      </x:c>
      <x:c r="BL137" s="10">
        <x:f>IF(BK137="","",IF(MAX($BK$2:$BK$252)-MIN($BK$2:$BK$252)=0,"",(BK137-MIN($BK$2:$BK$252))/(MAX($BK$2:$BK$252)-MIN($BK$2:$BK$252))*100))</x:f>
      </x:c>
      <x:c r="BM137" s="10">
        <x:f>IF(AB137="","",IF(MAX($AB$2:$AB$252)-MIN($AB$2:$AB$252)=0,"",(AB137-MIN($AB$2:$AB$252))/(MAX($AB$2:$AB$252)-MIN($AB$2:$AB$252))*100))</x:f>
      </x:c>
      <x:c r="BN137" s="10">
        <x:f>IF(X137="","",X137)</x:f>
      </x:c>
      <x:c r="BO137" s="10">
        <x:f>IF(X137="","",100-X137)</x:f>
      </x:c>
      <x:c r="BP137" s="10">
        <x:f>IF((Weights!$C$2*IF(BH137="",0,1)+Weights!$C$3*IF(BJ137="",0,1)+Weights!$C$4*IF(BL137="",0,1))=0,"",(Weights!$C$2*IF(BH137="",0,BH137)+Weights!$C$3*IF(BJ137="",0,BJ137)+Weights!$C$4*IF(BL137="",0,BL137))/(Weights!$C$2*IF(BH137="",0,1)+Weights!$C$3*IF(BJ137="",0,1)+Weights!$C$4*IF(BL137="",0,1)))</x:f>
      </x:c>
      <x:c r="BQ137" s="10">
        <x:f>IF((Weights!$C$5*IF(BA137="",0,1)+Weights!$C$6*IF(AW137="",0,1)+Weights!$C$7*IF(AU137="",0,1))=0,"",(Weights!$C$5*IF(BA137="",0,BA137)+Weights!$C$6*IF(AW137="",0,AW137)+Weights!$C$7*IF(AU137="",0,AU137))/(Weights!$C$5*IF(BA137="",0,1)+Weights!$C$6*IF(AW137="",0,1)+Weights!$C$7*IF(AU137="",0,1)))</x:f>
      </x:c>
      <x:c r="BR137" s="10">
        <x:f>IF((Weights!$C$8*IF(AW137="",0,1)+Weights!$C$9*IF(BC137="",0,1)+Weights!$C$10*IF(BF137="",0,1))=0,"",(Weights!$C$8*IF(AW137="",0,AW137)+Weights!$C$9*IF(BC137="",0,BC137)+Weights!$C$10*IF(BF137="",0,BF137))/(Weights!$C$8*IF(AW137="",0,1)+Weights!$C$9*IF(BC137="",0,1)+Weights!$C$10*IF(BF137="",0,1)))</x:f>
      </x:c>
      <x:c r="BS137" s="10">
        <x:f>IF(Y137="","",Y137)</x:f>
      </x:c>
      <x:c r="BT137" s="10">
        <x:f>IF(AS137="","",AS137)</x:f>
      </x:c>
      <x:c r="BU137" s="10">
        <x:f>IF(AJ137&lt;&gt;"",(0.6*AJ137+0.4*AU137),IF((Weights!$C$11*IF(AU137="",0,1)+Weights!$C$12*IF(BM137="",0,1))=0,"",(Weights!$C$11*IF(AU137="",0,AU137)+Weights!$C$12*IF(BM137="",0,BM137))/(Weights!$C$11*IF(AU137="",0,1)+Weights!$C$12*IF(BM137="",0,1))))</x:f>
      </x:c>
      <x:c r="BV137" s="10">
        <x:f>IF(CG137="",0,CG137)</x:f>
      </x:c>
      <x:c r="BW137" s="10">
        <x:f>IF(AP137="","",AP137)</x:f>
      </x:c>
      <x:c r="BX137" s="10">
        <x:f>IF(AO137="","",AO137)</x:f>
      </x:c>
      <x:c r="BY137" s="10">
        <x:f>IF(AL137="","",AL137)</x:f>
      </x:c>
      <x:c r="BZ137" s="10">
        <x:f>IF(AM137="","",AM137)</x:f>
      </x:c>
      <x:c r="CA137" s="10">
        <x:f>IF(AK137&lt;&gt;"",AK137,AW137)</x:f>
      </x:c>
      <x:c r="CB137" s="10">
        <x:f>IF((Weights!$C$13*IF(BP137="",0,1)+Weights!$C$14*IF(BR137="",0,1)+Weights!$C$15*IF(BQ137="",0,1)+Weights!$C$16*IF(BS137="",0,1)+Weights!$C$17*IF(BU137="",0,1)+Weights!$C$18*IF(BT137="",0,1)+Weights!$C$19*IF(BW137="",0,1)+Weights!$C$20*IF(BZ137="",0,1)+Weights!$C$21*IF(BO137="",0,1)+Weights!$C$22)=0,"",(Weights!$C$13*IF(BP137="",0,BP137)+Weights!$C$14*IF(BR137="",0,BR137)+Weights!$C$15*IF(BQ137="",0,BQ137)+Weights!$C$16*IF(BS137="",0,BS137)+Weights!$C$17*IF(BU137="",0,BU137)+Weights!$C$18*IF(BT137="",0,BT137)+Weights!$C$19*IF(BW137="",0,BW137)+Weights!$C$20*IF(BZ137="",0,BZ137)+Weights!$C$21*IF(BO137="",0,BO137)+Weights!$C$22*BV137)/(Weights!$C$13*IF(BP137="",0,1)+Weights!$C$14*IF(BR137="",0,1)+Weights!$C$15*IF(BQ137="",0,1)+Weights!$C$16*IF(BS137="",0,1)+Weights!$C$17*IF(BU137="",0,1)+Weights!$C$18*IF(BT137="",0,1)+Weights!$C$19*IF(BW137="",0,1)+Weights!$C$20*IF(BZ137="",0,1)+Weights!$C$21*IF(BO137="",0,1)+Weights!$C$22))</x:f>
      </x:c>
      <x:c r="CC137" s="10">
        <x:f>IF((Weights!$C$23*IF(BQ137="",0,1)+Weights!$C$24*IF(BN137="",0,1)+Weights!$C$25*IF(BS137="",0,1)+Weights!$C$26*IF(BY137="",0,1)+Weights!$C$27*IF(BX137="",0,1)+Weights!$C$28*IF(BT137="",0,1)+Weights!$C$29*IF(CA137="",0,1)+Weights!$C$30+Weights!$C$31*IF(BU137="",0,1))=0,"",(Weights!$C$23*IF(BQ137="",0,BQ137)+Weights!$C$24*IF(BN137="",0,BN137)+Weights!$C$25*IF(BS137="",0,BS137)+Weights!$C$26*IF(BY137="",0,BY137)+Weights!$C$27*IF(BX137="",0,BX137)+Weights!$C$28*IF(BT137="",0,BT137)+Weights!$C$29*IF(CA137="",0,CA137)+Weights!$C$30*BV137+Weights!$C$31*IF(BU137="",0,BU137))/(Weights!$C$23*IF(BQ137="",0,1)+Weights!$C$24*IF(BN137="",0,1)+Weights!$C$25*IF(BS137="",0,1)+Weights!$C$26*IF(BY137="",0,1)+Weights!$C$27*IF(BX137="",0,1)+Weights!$C$28*IF(BT137="",0,1)+Weights!$C$29*IF(CA137="",0,1)+Weights!$C$30+Weights!$C$31*IF(BU137="",0,1)))</x:f>
      </x:c>
      <x:c r="CD137" s="10">
        <x:f>IF(AND(CB137="",CC137=""),"",IF(CB137="",CC137,IF(CC137="",CB137,AVERAGE(CB137,CC137))))</x:f>
      </x:c>
      <x:c r="CE137" s="7">
        <x:f>ROUND(100*((IF(BP137&lt;&gt;"",1,0)+IF(BQ137&lt;&gt;"",1,0)+IF(BR137&lt;&gt;"",1,0)+IF(BS137&lt;&gt;"",1,0)+IF(BU137&lt;&gt;"",1,0)+IF(BT137&lt;&gt;"",1,0)+IF(BN137&lt;&gt;"",1,0)+IF(AW137&lt;&gt;"",1,0))/8),0)</x:f>
      </x:c>
      <x:c r="CF137">
        <x:f>IF(V137="","",LOG10(V137+1))</x:f>
      </x:c>
      <x:c r="CG137">
        <x:f>IF(CF137="","",IF(MAX($CF$2:$CF$252)-MIN($CF$2:$CF$252)=0,"",(CF137-MIN($CF$2:$CF$252))/(MAX($CF$2:$CF$252)-MIN($CF$2:$CF$252))*100))</x:f>
      </x:c>
    </x:row>
    <x:row r="138">
      <x:c r="A138" t="inlineStr">
        <x:is>
          <x:t xml:space="preserve">CYP</x:t>
        </x:is>
      </x:c>
      <x:c r="B138" t="inlineStr">
        <x:is>
          <x:t xml:space="preserve">Cyprus</x:t>
        </x:is>
      </x:c>
      <x:c r="C138" t="inlineStr">
        <x:is>
          <x:t xml:space="preserve">Europe &amp; Central Asia</x:t>
        </x:is>
      </x:c>
      <x:c r="D138" t="inlineStr">
        <x:is>
          <x:t xml:space="preserve">High income</x:t>
        </x:is>
      </x:c>
      <x:c r="E138" t="inlineStr">
        <x:is>
          <x:t xml:space="preserve">Asia</x:t>
        </x:is>
      </x:c>
      <x:c r="F138" t="n">
        <x:v>2024</x:v>
      </x:c>
      <x:c r="G138" t="n">
        <x:v>1358282</x:v>
      </x:c>
      <x:c r="H138" t="n">
        <x:v>2020</x:v>
      </x:c>
      <x:c r="I138" t="n">
        <x:v>13000</x:v>
      </x:c>
      <x:c r="J138" t="n">
        <x:v>8450</x:v>
      </x:c>
      <x:c r="K138" t="n">
        <x:v>2600</x:v>
      </x:c>
      <x:c r="L138" t="n">
        <x:v>1560</x:v>
      </x:c>
      <x:c r="M138" t="n">
        <x:v>2024</x:v>
      </x:c>
      <x:c r="N138" s="8" t="n">
        <x:v>598185755.6070451</x:v>
      </x:c>
      <x:c r="O138" s="9" t="n">
        <x:v>1.64735214954921</x:v>
      </x:c>
      <x:c r="P138" s="8" t="n">
        <x:v>46014.28889284962</x:v>
      </x:c>
      <x:c r="Q138" t="n">
        <x:v>2024</x:v>
      </x:c>
      <x:c r="R138" s="8" t="n">
        <x:v>37634533331.8902</x:v>
      </x:c>
      <x:c r="S138" t="n">
        <x:v>0</x:v>
      </x:c>
      <x:c r="T138" t="n">
        <x:v>0</x:v>
      </x:c>
      <x:c r="U138" t="inlineStr">
        <x:is>
          <x:t xml:space="preserve">No</x:t>
        </x:is>
      </x:c>
      <x:c r="W138" t="inlineStr">
        <x:is>
          <x:t xml:space="preserve">No</x:t>
        </x:is>
      </x:c>
      <x:c r="X138" t="n">
        <x:v>13.37657870494033</x:v>
      </x:c>
      <x:c r="Y138" t="n">
        <x:v>73.44553577072014</x:v>
      </x:c>
      <x:c r="Z138" t="n">
        <x:v>6207.006190616729</x:v>
      </x:c>
      <x:c r="AA138" t="n">
        <x:v>196.8016403538703</x:v>
      </x:c>
      <x:c r="AB138" s="8" t="n">
        <x:v>23953.19385468778</x:v>
      </x:c>
      <x:c r="AR138">
        <x:f>IF(G138="","",LOG10(G138+1))</x:f>
      </x:c>
      <x:c r="AS138" s="10">
        <x:f>IF(AR138="","",IF(MAX($AR$2:$AR$252)-MIN($AR$2:$AR$252)=0,"",(AR138-MIN($AR$2:$AR$252))/(MAX($AR$2:$AR$252)-MIN($AR$2:$AR$252))*100))</x:f>
      </x:c>
      <x:c r="AT138">
        <x:f>IF(R138="","",LOG10(R138+1))</x:f>
      </x:c>
      <x:c r="AU138" s="10">
        <x:f>IF(AT138="","",IF(MAX($AT$2:$AT$252)-MIN($AT$2:$AT$252)=0,"",(AT138-MIN($AT$2:$AT$252))/(MAX($AT$2:$AT$252)-MIN($AT$2:$AT$252))*100))</x:f>
      </x:c>
      <x:c r="AV138">
        <x:f>IF(N138="","",LOG10(N138+1))</x:f>
      </x:c>
      <x:c r="AW138" s="10">
        <x:f>IF(AV138="","",IF(MAX($AV$2:$AV$252)-MIN($AV$2:$AV$252)=0,"",(AV138-MIN($AV$2:$AV$252))/(MAX($AV$2:$AV$252)-MIN($AV$2:$AV$252))*100))</x:f>
      </x:c>
      <x:c r="AX138">
        <x:f>IF(I138="","",LOG10(I138+1))</x:f>
      </x:c>
      <x:c r="AY138" s="10">
        <x:f>IF(AX138="","",IF(MAX($AX$2:$AX$252)-MIN($AX$2:$AX$252)=0,"",(AX138-MIN($AX$2:$AX$252))/(MAX($AX$2:$AX$252)-MIN($AX$2:$AX$252))*100))</x:f>
      </x:c>
      <x:c r="AZ138">
        <x:f>IF(J138="","",LOG10(J138+1))</x:f>
      </x:c>
      <x:c r="BA138" s="10">
        <x:f>IF(AZ138="","",IF(MAX($AZ$2:$AZ$252)-MIN($AZ$2:$AZ$252)=0,"",(AZ138-MIN($AZ$2:$AZ$252))/(MAX($AZ$2:$AZ$252)-MIN($AZ$2:$AZ$252))*100))</x:f>
      </x:c>
      <x:c r="BB138">
        <x:f>IF(K138="","",LOG10(K138+1))</x:f>
      </x:c>
      <x:c r="BC138" s="10">
        <x:f>IF(BB138="","",IF(MAX($BB$2:$BB$252)-MIN($BB$2:$BB$252)=0,"",(BB138-MIN($BB$2:$BB$252))/(MAX($BB$2:$BB$252)-MIN($BB$2:$BB$252))*100))</x:f>
      </x:c>
      <x:c r="BD138">
        <x:f>IF(L138="","",LOG10(L138+1))</x:f>
      </x:c>
      <x:c r="BE138" s="10">
        <x:f>IF(BD138="","",IF(MAX($BD$2:$BD$252)-MIN($BD$2:$BD$252)=0,"",(BD138-MIN($BD$2:$BD$252))/(MAX($BD$2:$BD$252)-MIN($BD$2:$BD$252))*100))</x:f>
      </x:c>
      <x:c r="BF138" s="10">
        <x:f>IF(P138="","",IF(MAX($P$2:$P$252)-MIN($P$2:$P$252)=0,"",(P138-MIN($P$2:$P$252))/(MAX($P$2:$P$252)-MIN($P$2:$P$252))*100))</x:f>
      </x:c>
      <x:c r="BG138">
        <x:f>IF(AF138="","",LOG10(AF138+1))</x:f>
      </x:c>
      <x:c r="BH138" s="10">
        <x:f>IF(BG138="","",IF(MAX($BG$2:$BG$252)-MIN($BG$2:$BG$252)=0,"",(BG138-MIN($BG$2:$BG$252))/(MAX($BG$2:$BG$252)-MIN($BG$2:$BG$252))*100))</x:f>
      </x:c>
      <x:c r="BI138">
        <x:f>IF(AC138="","",LOG10(AC138+1))</x:f>
      </x:c>
      <x:c r="BJ138" s="10">
        <x:f>IF(BI138="","",IF(MAX($BI$2:$BI$252)-MIN($BI$2:$BI$252)=0,"",(BI138-MIN($BI$2:$BI$252))/(MAX($BI$2:$BI$252)-MIN($BI$2:$BI$252))*100))</x:f>
      </x:c>
      <x:c r="BK138">
        <x:f>IF(AD138="","",(AD138*2)+(AE138*1))</x:f>
      </x:c>
      <x:c r="BL138" s="10">
        <x:f>IF(BK138="","",IF(MAX($BK$2:$BK$252)-MIN($BK$2:$BK$252)=0,"",(BK138-MIN($BK$2:$BK$252))/(MAX($BK$2:$BK$252)-MIN($BK$2:$BK$252))*100))</x:f>
      </x:c>
      <x:c r="BM138" s="10">
        <x:f>IF(AB138="","",IF(MAX($AB$2:$AB$252)-MIN($AB$2:$AB$252)=0,"",(AB138-MIN($AB$2:$AB$252))/(MAX($AB$2:$AB$252)-MIN($AB$2:$AB$252))*100))</x:f>
      </x:c>
      <x:c r="BN138" s="10">
        <x:f>IF(X138="","",X138)</x:f>
      </x:c>
      <x:c r="BO138" s="10">
        <x:f>IF(X138="","",100-X138)</x:f>
      </x:c>
      <x:c r="BP138" s="10">
        <x:f>IF((Weights!$C$2*IF(BH138="",0,1)+Weights!$C$3*IF(BJ138="",0,1)+Weights!$C$4*IF(BL138="",0,1))=0,"",(Weights!$C$2*IF(BH138="",0,BH138)+Weights!$C$3*IF(BJ138="",0,BJ138)+Weights!$C$4*IF(BL138="",0,BL138))/(Weights!$C$2*IF(BH138="",0,1)+Weights!$C$3*IF(BJ138="",0,1)+Weights!$C$4*IF(BL138="",0,1)))</x:f>
      </x:c>
      <x:c r="BQ138" s="10">
        <x:f>IF((Weights!$C$5*IF(BA138="",0,1)+Weights!$C$6*IF(AW138="",0,1)+Weights!$C$7*IF(AU138="",0,1))=0,"",(Weights!$C$5*IF(BA138="",0,BA138)+Weights!$C$6*IF(AW138="",0,AW138)+Weights!$C$7*IF(AU138="",0,AU138))/(Weights!$C$5*IF(BA138="",0,1)+Weights!$C$6*IF(AW138="",0,1)+Weights!$C$7*IF(AU138="",0,1)))</x:f>
      </x:c>
      <x:c r="BR138" s="10">
        <x:f>IF((Weights!$C$8*IF(AW138="",0,1)+Weights!$C$9*IF(BC138="",0,1)+Weights!$C$10*IF(BF138="",0,1))=0,"",(Weights!$C$8*IF(AW138="",0,AW138)+Weights!$C$9*IF(BC138="",0,BC138)+Weights!$C$10*IF(BF138="",0,BF138))/(Weights!$C$8*IF(AW138="",0,1)+Weights!$C$9*IF(BC138="",0,1)+Weights!$C$10*IF(BF138="",0,1)))</x:f>
      </x:c>
      <x:c r="BS138" s="10">
        <x:f>IF(Y138="","",Y138)</x:f>
      </x:c>
      <x:c r="BT138" s="10">
        <x:f>IF(AS138="","",AS138)</x:f>
      </x:c>
      <x:c r="BU138" s="10">
        <x:f>IF(AJ138&lt;&gt;"",(0.6*AJ138+0.4*AU138),IF((Weights!$C$11*IF(AU138="",0,1)+Weights!$C$12*IF(BM138="",0,1))=0,"",(Weights!$C$11*IF(AU138="",0,AU138)+Weights!$C$12*IF(BM138="",0,BM138))/(Weights!$C$11*IF(AU138="",0,1)+Weights!$C$12*IF(BM138="",0,1))))</x:f>
      </x:c>
      <x:c r="BV138" s="10">
        <x:f>IF(CG138="",0,CG138)</x:f>
      </x:c>
      <x:c r="BW138" s="10">
        <x:f>IF(AP138="","",AP138)</x:f>
      </x:c>
      <x:c r="BX138" s="10">
        <x:f>IF(AO138="","",AO138)</x:f>
      </x:c>
      <x:c r="BY138" s="10">
        <x:f>IF(AL138="","",AL138)</x:f>
      </x:c>
      <x:c r="BZ138" s="10">
        <x:f>IF(AM138="","",AM138)</x:f>
      </x:c>
      <x:c r="CA138" s="10">
        <x:f>IF(AK138&lt;&gt;"",AK138,AW138)</x:f>
      </x:c>
      <x:c r="CB138" s="10">
        <x:f>IF((Weights!$C$13*IF(BP138="",0,1)+Weights!$C$14*IF(BR138="",0,1)+Weights!$C$15*IF(BQ138="",0,1)+Weights!$C$16*IF(BS138="",0,1)+Weights!$C$17*IF(BU138="",0,1)+Weights!$C$18*IF(BT138="",0,1)+Weights!$C$19*IF(BW138="",0,1)+Weights!$C$20*IF(BZ138="",0,1)+Weights!$C$21*IF(BO138="",0,1)+Weights!$C$22)=0,"",(Weights!$C$13*IF(BP138="",0,BP138)+Weights!$C$14*IF(BR138="",0,BR138)+Weights!$C$15*IF(BQ138="",0,BQ138)+Weights!$C$16*IF(BS138="",0,BS138)+Weights!$C$17*IF(BU138="",0,BU138)+Weights!$C$18*IF(BT138="",0,BT138)+Weights!$C$19*IF(BW138="",0,BW138)+Weights!$C$20*IF(BZ138="",0,BZ138)+Weights!$C$21*IF(BO138="",0,BO138)+Weights!$C$22*BV138)/(Weights!$C$13*IF(BP138="",0,1)+Weights!$C$14*IF(BR138="",0,1)+Weights!$C$15*IF(BQ138="",0,1)+Weights!$C$16*IF(BS138="",0,1)+Weights!$C$17*IF(BU138="",0,1)+Weights!$C$18*IF(BT138="",0,1)+Weights!$C$19*IF(BW138="",0,1)+Weights!$C$20*IF(BZ138="",0,1)+Weights!$C$21*IF(BO138="",0,1)+Weights!$C$22))</x:f>
      </x:c>
      <x:c r="CC138" s="10">
        <x:f>IF((Weights!$C$23*IF(BQ138="",0,1)+Weights!$C$24*IF(BN138="",0,1)+Weights!$C$25*IF(BS138="",0,1)+Weights!$C$26*IF(BY138="",0,1)+Weights!$C$27*IF(BX138="",0,1)+Weights!$C$28*IF(BT138="",0,1)+Weights!$C$29*IF(CA138="",0,1)+Weights!$C$30+Weights!$C$31*IF(BU138="",0,1))=0,"",(Weights!$C$23*IF(BQ138="",0,BQ138)+Weights!$C$24*IF(BN138="",0,BN138)+Weights!$C$25*IF(BS138="",0,BS138)+Weights!$C$26*IF(BY138="",0,BY138)+Weights!$C$27*IF(BX138="",0,BX138)+Weights!$C$28*IF(BT138="",0,BT138)+Weights!$C$29*IF(CA138="",0,CA138)+Weights!$C$30*BV138+Weights!$C$31*IF(BU138="",0,BU138))/(Weights!$C$23*IF(BQ138="",0,1)+Weights!$C$24*IF(BN138="",0,1)+Weights!$C$25*IF(BS138="",0,1)+Weights!$C$26*IF(BY138="",0,1)+Weights!$C$27*IF(BX138="",0,1)+Weights!$C$28*IF(BT138="",0,1)+Weights!$C$29*IF(CA138="",0,1)+Weights!$C$30+Weights!$C$31*IF(BU138="",0,1)))</x:f>
      </x:c>
      <x:c r="CD138" s="10">
        <x:f>IF(AND(CB138="",CC138=""),"",IF(CB138="",CC138,IF(CC138="",CB138,AVERAGE(CB138,CC138))))</x:f>
      </x:c>
      <x:c r="CE138" s="7">
        <x:f>ROUND(100*((IF(BP138&lt;&gt;"",1,0)+IF(BQ138&lt;&gt;"",1,0)+IF(BR138&lt;&gt;"",1,0)+IF(BS138&lt;&gt;"",1,0)+IF(BU138&lt;&gt;"",1,0)+IF(BT138&lt;&gt;"",1,0)+IF(BN138&lt;&gt;"",1,0)+IF(AW138&lt;&gt;"",1,0))/8),0)</x:f>
      </x:c>
      <x:c r="CF138">
        <x:f>IF(V138="","",LOG10(V138+1))</x:f>
      </x:c>
      <x:c r="CG138">
        <x:f>IF(CF138="","",IF(MAX($CF$2:$CF$252)-MIN($CF$2:$CF$252)=0,"",(CF138-MIN($CF$2:$CF$252))/(MAX($CF$2:$CF$252)-MIN($CF$2:$CF$252))*100))</x:f>
      </x:c>
    </x:row>
    <x:row r="139">
      <x:c r="A139" t="inlineStr">
        <x:is>
          <x:t xml:space="preserve">CIV</x:t>
        </x:is>
      </x:c>
      <x:c r="B139" t="inlineStr">
        <x:is>
          <x:t xml:space="preserve">Côte d'Ivoire</x:t>
        </x:is>
      </x:c>
      <x:c r="C139" t="inlineStr">
        <x:is>
          <x:t xml:space="preserve">Sub-Saharan Africa</x:t>
        </x:is>
      </x:c>
      <x:c r="D139" t="inlineStr">
        <x:is>
          <x:t xml:space="preserve">Lower middle income</x:t>
        </x:is>
      </x:c>
      <x:c r="E139" t="inlineStr">
        <x:is>
          <x:t xml:space="preserve">Africa</x:t>
        </x:is>
      </x:c>
      <x:c r="F139" t="n">
        <x:v>2024</x:v>
      </x:c>
      <x:c r="G139" t="n">
        <x:v>31934230</x:v>
      </x:c>
      <x:c r="H139" t="n">
        <x:v>2020</x:v>
      </x:c>
      <x:c r="I139" t="n">
        <x:v>27000</x:v>
      </x:c>
      <x:c r="J139" t="n">
        <x:v>17550</x:v>
      </x:c>
      <x:c r="K139" t="n">
        <x:v>5400</x:v>
      </x:c>
      <x:c r="L139" t="n">
        <x:v>3240</x:v>
      </x:c>
      <x:c r="M139" t="n">
        <x:v>2024</x:v>
      </x:c>
      <x:c r="N139" s="8" t="n">
        <x:v>658353218.218127</x:v>
      </x:c>
      <x:c r="O139" s="9" t="n">
        <x:v>0.762358993041457</x:v>
      </x:c>
      <x:c r="P139" s="8" t="n">
        <x:v>24383.4525265973</x:v>
      </x:c>
      <x:c r="Q139" t="n">
        <x:v>2024</x:v>
      </x:c>
      <x:c r="R139" s="8" t="n">
        <x:v>87113179149.284</x:v>
      </x:c>
      <x:c r="S139" t="n">
        <x:v>0</x:v>
      </x:c>
      <x:c r="T139" t="n">
        <x:v>0</x:v>
      </x:c>
      <x:c r="U139" t="inlineStr">
        <x:is>
          <x:t xml:space="preserve">No</x:t>
        </x:is>
      </x:c>
      <x:c r="W139" t="inlineStr">
        <x:is>
          <x:t xml:space="preserve">No</x:t>
        </x:is>
      </x:c>
      <x:c r="X139" t="n">
        <x:v>9.062568863942669</x:v>
      </x:c>
      <x:c r="Y139" t="n">
        <x:v>39.55969891372281</x:v>
      </x:c>
      <x:c r="Z139" t="n">
        <x:v>329825.9514404848</x:v>
      </x:c>
      <x:c r="AA139" t="n">
        <x:v>73.32597660788983</x:v>
      </x:c>
      <x:c r="AB139" s="8" t="n">
        <x:v>3602.261088675082</x:v>
      </x:c>
      <x:c r="AC139" t="n">
        <x:v>7</x:v>
      </x:c>
      <x:c r="AD139" t="n">
        <x:v>0</x:v>
      </x:c>
      <x:c r="AE139" t="n">
        <x:v>0</x:v>
      </x:c>
      <x:c r="AR139">
        <x:f>IF(G139="","",LOG10(G139+1))</x:f>
      </x:c>
      <x:c r="AS139" s="10">
        <x:f>IF(AR139="","",IF(MAX($AR$2:$AR$252)-MIN($AR$2:$AR$252)=0,"",(AR139-MIN($AR$2:$AR$252))/(MAX($AR$2:$AR$252)-MIN($AR$2:$AR$252))*100))</x:f>
      </x:c>
      <x:c r="AT139">
        <x:f>IF(R139="","",LOG10(R139+1))</x:f>
      </x:c>
      <x:c r="AU139" s="10">
        <x:f>IF(AT139="","",IF(MAX($AT$2:$AT$252)-MIN($AT$2:$AT$252)=0,"",(AT139-MIN($AT$2:$AT$252))/(MAX($AT$2:$AT$252)-MIN($AT$2:$AT$252))*100))</x:f>
      </x:c>
      <x:c r="AV139">
        <x:f>IF(N139="","",LOG10(N139+1))</x:f>
      </x:c>
      <x:c r="AW139" s="10">
        <x:f>IF(AV139="","",IF(MAX($AV$2:$AV$252)-MIN($AV$2:$AV$252)=0,"",(AV139-MIN($AV$2:$AV$252))/(MAX($AV$2:$AV$252)-MIN($AV$2:$AV$252))*100))</x:f>
      </x:c>
      <x:c r="AX139">
        <x:f>IF(I139="","",LOG10(I139+1))</x:f>
      </x:c>
      <x:c r="AY139" s="10">
        <x:f>IF(AX139="","",IF(MAX($AX$2:$AX$252)-MIN($AX$2:$AX$252)=0,"",(AX139-MIN($AX$2:$AX$252))/(MAX($AX$2:$AX$252)-MIN($AX$2:$AX$252))*100))</x:f>
      </x:c>
      <x:c r="AZ139">
        <x:f>IF(J139="","",LOG10(J139+1))</x:f>
      </x:c>
      <x:c r="BA139" s="10">
        <x:f>IF(AZ139="","",IF(MAX($AZ$2:$AZ$252)-MIN($AZ$2:$AZ$252)=0,"",(AZ139-MIN($AZ$2:$AZ$252))/(MAX($AZ$2:$AZ$252)-MIN($AZ$2:$AZ$252))*100))</x:f>
      </x:c>
      <x:c r="BB139">
        <x:f>IF(K139="","",LOG10(K139+1))</x:f>
      </x:c>
      <x:c r="BC139" s="10">
        <x:f>IF(BB139="","",IF(MAX($BB$2:$BB$252)-MIN($BB$2:$BB$252)=0,"",(BB139-MIN($BB$2:$BB$252))/(MAX($BB$2:$BB$252)-MIN($BB$2:$BB$252))*100))</x:f>
      </x:c>
      <x:c r="BD139">
        <x:f>IF(L139="","",LOG10(L139+1))</x:f>
      </x:c>
      <x:c r="BE139" s="10">
        <x:f>IF(BD139="","",IF(MAX($BD$2:$BD$252)-MIN($BD$2:$BD$252)=0,"",(BD139-MIN($BD$2:$BD$252))/(MAX($BD$2:$BD$252)-MIN($BD$2:$BD$252))*100))</x:f>
      </x:c>
      <x:c r="BF139" s="10">
        <x:f>IF(P139="","",IF(MAX($P$2:$P$252)-MIN($P$2:$P$252)=0,"",(P139-MIN($P$2:$P$252))/(MAX($P$2:$P$252)-MIN($P$2:$P$252))*100))</x:f>
      </x:c>
      <x:c r="BG139">
        <x:f>IF(AF139="","",LOG10(AF139+1))</x:f>
      </x:c>
      <x:c r="BH139" s="10">
        <x:f>IF(BG139="","",IF(MAX($BG$2:$BG$252)-MIN($BG$2:$BG$252)=0,"",(BG139-MIN($BG$2:$BG$252))/(MAX($BG$2:$BG$252)-MIN($BG$2:$BG$252))*100))</x:f>
      </x:c>
      <x:c r="BI139">
        <x:f>IF(AC139="","",LOG10(AC139+1))</x:f>
      </x:c>
      <x:c r="BJ139" s="10">
        <x:f>IF(BI139="","",IF(MAX($BI$2:$BI$252)-MIN($BI$2:$BI$252)=0,"",(BI139-MIN($BI$2:$BI$252))/(MAX($BI$2:$BI$252)-MIN($BI$2:$BI$252))*100))</x:f>
      </x:c>
      <x:c r="BK139">
        <x:f>IF(AD139="","",(AD139*2)+(AE139*1))</x:f>
      </x:c>
      <x:c r="BL139" s="10">
        <x:f>IF(BK139="","",IF(MAX($BK$2:$BK$252)-MIN($BK$2:$BK$252)=0,"",(BK139-MIN($BK$2:$BK$252))/(MAX($BK$2:$BK$252)-MIN($BK$2:$BK$252))*100))</x:f>
      </x:c>
      <x:c r="BM139" s="10">
        <x:f>IF(AB139="","",IF(MAX($AB$2:$AB$252)-MIN($AB$2:$AB$252)=0,"",(AB139-MIN($AB$2:$AB$252))/(MAX($AB$2:$AB$252)-MIN($AB$2:$AB$252))*100))</x:f>
      </x:c>
      <x:c r="BN139" s="10">
        <x:f>IF(X139="","",X139)</x:f>
      </x:c>
      <x:c r="BO139" s="10">
        <x:f>IF(X139="","",100-X139)</x:f>
      </x:c>
      <x:c r="BP139" s="10">
        <x:f>IF((Weights!$C$2*IF(BH139="",0,1)+Weights!$C$3*IF(BJ139="",0,1)+Weights!$C$4*IF(BL139="",0,1))=0,"",(Weights!$C$2*IF(BH139="",0,BH139)+Weights!$C$3*IF(BJ139="",0,BJ139)+Weights!$C$4*IF(BL139="",0,BL139))/(Weights!$C$2*IF(BH139="",0,1)+Weights!$C$3*IF(BJ139="",0,1)+Weights!$C$4*IF(BL139="",0,1)))</x:f>
      </x:c>
      <x:c r="BQ139" s="10">
        <x:f>IF((Weights!$C$5*IF(BA139="",0,1)+Weights!$C$6*IF(AW139="",0,1)+Weights!$C$7*IF(AU139="",0,1))=0,"",(Weights!$C$5*IF(BA139="",0,BA139)+Weights!$C$6*IF(AW139="",0,AW139)+Weights!$C$7*IF(AU139="",0,AU139))/(Weights!$C$5*IF(BA139="",0,1)+Weights!$C$6*IF(AW139="",0,1)+Weights!$C$7*IF(AU139="",0,1)))</x:f>
      </x:c>
      <x:c r="BR139" s="10">
        <x:f>IF((Weights!$C$8*IF(AW139="",0,1)+Weights!$C$9*IF(BC139="",0,1)+Weights!$C$10*IF(BF139="",0,1))=0,"",(Weights!$C$8*IF(AW139="",0,AW139)+Weights!$C$9*IF(BC139="",0,BC139)+Weights!$C$10*IF(BF139="",0,BF139))/(Weights!$C$8*IF(AW139="",0,1)+Weights!$C$9*IF(BC139="",0,1)+Weights!$C$10*IF(BF139="",0,1)))</x:f>
      </x:c>
      <x:c r="BS139" s="10">
        <x:f>IF(Y139="","",Y139)</x:f>
      </x:c>
      <x:c r="BT139" s="10">
        <x:f>IF(AS139="","",AS139)</x:f>
      </x:c>
      <x:c r="BU139" s="10">
        <x:f>IF(AJ139&lt;&gt;"",(0.6*AJ139+0.4*AU139),IF((Weights!$C$11*IF(AU139="",0,1)+Weights!$C$12*IF(BM139="",0,1))=0,"",(Weights!$C$11*IF(AU139="",0,AU139)+Weights!$C$12*IF(BM139="",0,BM139))/(Weights!$C$11*IF(AU139="",0,1)+Weights!$C$12*IF(BM139="",0,1))))</x:f>
      </x:c>
      <x:c r="BV139" s="10">
        <x:f>IF(CG139="",0,CG139)</x:f>
      </x:c>
      <x:c r="BW139" s="10">
        <x:f>IF(AP139="","",AP139)</x:f>
      </x:c>
      <x:c r="BX139" s="10">
        <x:f>IF(AO139="","",AO139)</x:f>
      </x:c>
      <x:c r="BY139" s="10">
        <x:f>IF(AL139="","",AL139)</x:f>
      </x:c>
      <x:c r="BZ139" s="10">
        <x:f>IF(AM139="","",AM139)</x:f>
      </x:c>
      <x:c r="CA139" s="10">
        <x:f>IF(AK139&lt;&gt;"",AK139,AW139)</x:f>
      </x:c>
      <x:c r="CB139" s="10">
        <x:f>IF((Weights!$C$13*IF(BP139="",0,1)+Weights!$C$14*IF(BR139="",0,1)+Weights!$C$15*IF(BQ139="",0,1)+Weights!$C$16*IF(BS139="",0,1)+Weights!$C$17*IF(BU139="",0,1)+Weights!$C$18*IF(BT139="",0,1)+Weights!$C$19*IF(BW139="",0,1)+Weights!$C$20*IF(BZ139="",0,1)+Weights!$C$21*IF(BO139="",0,1)+Weights!$C$22)=0,"",(Weights!$C$13*IF(BP139="",0,BP139)+Weights!$C$14*IF(BR139="",0,BR139)+Weights!$C$15*IF(BQ139="",0,BQ139)+Weights!$C$16*IF(BS139="",0,BS139)+Weights!$C$17*IF(BU139="",0,BU139)+Weights!$C$18*IF(BT139="",0,BT139)+Weights!$C$19*IF(BW139="",0,BW139)+Weights!$C$20*IF(BZ139="",0,BZ139)+Weights!$C$21*IF(BO139="",0,BO139)+Weights!$C$22*BV139)/(Weights!$C$13*IF(BP139="",0,1)+Weights!$C$14*IF(BR139="",0,1)+Weights!$C$15*IF(BQ139="",0,1)+Weights!$C$16*IF(BS139="",0,1)+Weights!$C$17*IF(BU139="",0,1)+Weights!$C$18*IF(BT139="",0,1)+Weights!$C$19*IF(BW139="",0,1)+Weights!$C$20*IF(BZ139="",0,1)+Weights!$C$21*IF(BO139="",0,1)+Weights!$C$22))</x:f>
      </x:c>
      <x:c r="CC139" s="10">
        <x:f>IF((Weights!$C$23*IF(BQ139="",0,1)+Weights!$C$24*IF(BN139="",0,1)+Weights!$C$25*IF(BS139="",0,1)+Weights!$C$26*IF(BY139="",0,1)+Weights!$C$27*IF(BX139="",0,1)+Weights!$C$28*IF(BT139="",0,1)+Weights!$C$29*IF(CA139="",0,1)+Weights!$C$30+Weights!$C$31*IF(BU139="",0,1))=0,"",(Weights!$C$23*IF(BQ139="",0,BQ139)+Weights!$C$24*IF(BN139="",0,BN139)+Weights!$C$25*IF(BS139="",0,BS139)+Weights!$C$26*IF(BY139="",0,BY139)+Weights!$C$27*IF(BX139="",0,BX139)+Weights!$C$28*IF(BT139="",0,BT139)+Weights!$C$29*IF(CA139="",0,CA139)+Weights!$C$30*BV139+Weights!$C$31*IF(BU139="",0,BU139))/(Weights!$C$23*IF(BQ139="",0,1)+Weights!$C$24*IF(BN139="",0,1)+Weights!$C$25*IF(BS139="",0,1)+Weights!$C$26*IF(BY139="",0,1)+Weights!$C$27*IF(BX139="",0,1)+Weights!$C$28*IF(BT139="",0,1)+Weights!$C$29*IF(CA139="",0,1)+Weights!$C$30+Weights!$C$31*IF(BU139="",0,1)))</x:f>
      </x:c>
      <x:c r="CD139" s="10">
        <x:f>IF(AND(CB139="",CC139=""),"",IF(CB139="",CC139,IF(CC139="",CB139,AVERAGE(CB139,CC139))))</x:f>
      </x:c>
      <x:c r="CE139" s="7">
        <x:f>ROUND(100*((IF(BP139&lt;&gt;"",1,0)+IF(BQ139&lt;&gt;"",1,0)+IF(BR139&lt;&gt;"",1,0)+IF(BS139&lt;&gt;"",1,0)+IF(BU139&lt;&gt;"",1,0)+IF(BT139&lt;&gt;"",1,0)+IF(BN139&lt;&gt;"",1,0)+IF(AW139&lt;&gt;"",1,0))/8),0)</x:f>
      </x:c>
      <x:c r="CF139">
        <x:f>IF(V139="","",LOG10(V139+1))</x:f>
      </x:c>
      <x:c r="CG139">
        <x:f>IF(CF139="","",IF(MAX($CF$2:$CF$252)-MIN($CF$2:$CF$252)=0,"",(CF139-MIN($CF$2:$CF$252))/(MAX($CF$2:$CF$252)-MIN($CF$2:$CF$252))*100))</x:f>
      </x:c>
    </x:row>
    <x:row r="140">
      <x:c r="A140" t="inlineStr">
        <x:is>
          <x:t xml:space="preserve">DJI</x:t>
        </x:is>
      </x:c>
      <x:c r="B140" t="inlineStr">
        <x:is>
          <x:t xml:space="preserve">Djibouti</x:t>
        </x:is>
      </x:c>
      <x:c r="C140" t="inlineStr">
        <x:is>
          <x:t xml:space="preserve">Middle East &amp; North Africa</x:t>
        </x:is>
      </x:c>
      <x:c r="D140" t="inlineStr">
        <x:is>
          <x:t xml:space="preserve">Lower middle income</x:t>
        </x:is>
      </x:c>
      <x:c r="E140" t="inlineStr">
        <x:is>
          <x:t xml:space="preserve">Africa</x:t>
        </x:is>
      </x:c>
      <x:c r="F140" t="n">
        <x:v>2024</x:v>
      </x:c>
      <x:c r="G140" t="n">
        <x:v>1168722</x:v>
      </x:c>
      <x:c r="H140" t="n">
        <x:v>2020</x:v>
      </x:c>
      <x:c r="I140" t="n">
        <x:v>13000</x:v>
      </x:c>
      <x:c r="J140" t="n">
        <x:v>8450</x:v>
      </x:c>
      <x:c r="K140" t="n">
        <x:v>2600</x:v>
      </x:c>
      <x:c r="L140" t="n">
        <x:v>1560</x:v>
      </x:c>
      <x:c r="M140" t="n">
        <x:v>2008</x:v>
      </x:c>
      <x:c r="N140" s="8" t="n">
        <x:v>36274835.2755161</x:v>
      </x:c>
      <x:c r="O140" s="9" t="n">
        <x:v>2.62758252462798</x:v>
      </x:c>
      <x:c r="P140" s="8" t="n">
        <x:v>2790.371944270469</x:v>
      </x:c>
      <x:c r="Q140" t="n">
        <x:v>2024</x:v>
      </x:c>
      <x:c r="R140" s="8" t="n">
        <x:v>4152145939.98458</x:v>
      </x:c>
      <x:c r="S140" t="n">
        <x:v>0</x:v>
      </x:c>
      <x:c r="T140" t="n">
        <x:v>0</x:v>
      </x:c>
      <x:c r="U140" t="inlineStr">
        <x:is>
          <x:t xml:space="preserve">No</x:t>
        </x:is>
      </x:c>
      <x:c r="W140" t="inlineStr">
        <x:is>
          <x:t xml:space="preserve">No</x:t>
        </x:is>
      </x:c>
      <x:c r="X140" t="n">
        <x:v>10.49041816058591</x:v>
      </x:c>
      <x:c r="Y140" t="n">
        <x:v>36.79048388291082</x:v>
      </x:c>
      <x:c r="Z140" t="n">
        <x:v>21880.25051190172</x:v>
      </x:c>
      <x:c r="AA140" t="n">
        <x:v>39.54557099468947</x:v>
      </x:c>
      <x:c r="AB140" s="8" t="n">
        <x:v>3865.858746490967</x:v>
      </x:c>
      <x:c r="AR140">
        <x:f>IF(G140="","",LOG10(G140+1))</x:f>
      </x:c>
      <x:c r="AS140" s="10">
        <x:f>IF(AR140="","",IF(MAX($AR$2:$AR$252)-MIN($AR$2:$AR$252)=0,"",(AR140-MIN($AR$2:$AR$252))/(MAX($AR$2:$AR$252)-MIN($AR$2:$AR$252))*100))</x:f>
      </x:c>
      <x:c r="AT140">
        <x:f>IF(R140="","",LOG10(R140+1))</x:f>
      </x:c>
      <x:c r="AU140" s="10">
        <x:f>IF(AT140="","",IF(MAX($AT$2:$AT$252)-MIN($AT$2:$AT$252)=0,"",(AT140-MIN($AT$2:$AT$252))/(MAX($AT$2:$AT$252)-MIN($AT$2:$AT$252))*100))</x:f>
      </x:c>
      <x:c r="AV140">
        <x:f>IF(N140="","",LOG10(N140+1))</x:f>
      </x:c>
      <x:c r="AW140" s="10">
        <x:f>IF(AV140="","",IF(MAX($AV$2:$AV$252)-MIN($AV$2:$AV$252)=0,"",(AV140-MIN($AV$2:$AV$252))/(MAX($AV$2:$AV$252)-MIN($AV$2:$AV$252))*100))</x:f>
      </x:c>
      <x:c r="AX140">
        <x:f>IF(I140="","",LOG10(I140+1))</x:f>
      </x:c>
      <x:c r="AY140" s="10">
        <x:f>IF(AX140="","",IF(MAX($AX$2:$AX$252)-MIN($AX$2:$AX$252)=0,"",(AX140-MIN($AX$2:$AX$252))/(MAX($AX$2:$AX$252)-MIN($AX$2:$AX$252))*100))</x:f>
      </x:c>
      <x:c r="AZ140">
        <x:f>IF(J140="","",LOG10(J140+1))</x:f>
      </x:c>
      <x:c r="BA140" s="10">
        <x:f>IF(AZ140="","",IF(MAX($AZ$2:$AZ$252)-MIN($AZ$2:$AZ$252)=0,"",(AZ140-MIN($AZ$2:$AZ$252))/(MAX($AZ$2:$AZ$252)-MIN($AZ$2:$AZ$252))*100))</x:f>
      </x:c>
      <x:c r="BB140">
        <x:f>IF(K140="","",LOG10(K140+1))</x:f>
      </x:c>
      <x:c r="BC140" s="10">
        <x:f>IF(BB140="","",IF(MAX($BB$2:$BB$252)-MIN($BB$2:$BB$252)=0,"",(BB140-MIN($BB$2:$BB$252))/(MAX($BB$2:$BB$252)-MIN($BB$2:$BB$252))*100))</x:f>
      </x:c>
      <x:c r="BD140">
        <x:f>IF(L140="","",LOG10(L140+1))</x:f>
      </x:c>
      <x:c r="BE140" s="10">
        <x:f>IF(BD140="","",IF(MAX($BD$2:$BD$252)-MIN($BD$2:$BD$252)=0,"",(BD140-MIN($BD$2:$BD$252))/(MAX($BD$2:$BD$252)-MIN($BD$2:$BD$252))*100))</x:f>
      </x:c>
      <x:c r="BF140" s="10">
        <x:f>IF(P140="","",IF(MAX($P$2:$P$252)-MIN($P$2:$P$252)=0,"",(P140-MIN($P$2:$P$252))/(MAX($P$2:$P$252)-MIN($P$2:$P$252))*100))</x:f>
      </x:c>
      <x:c r="BG140">
        <x:f>IF(AF140="","",LOG10(AF140+1))</x:f>
      </x:c>
      <x:c r="BH140" s="10">
        <x:f>IF(BG140="","",IF(MAX($BG$2:$BG$252)-MIN($BG$2:$BG$252)=0,"",(BG140-MIN($BG$2:$BG$252))/(MAX($BG$2:$BG$252)-MIN($BG$2:$BG$252))*100))</x:f>
      </x:c>
      <x:c r="BI140">
        <x:f>IF(AC140="","",LOG10(AC140+1))</x:f>
      </x:c>
      <x:c r="BJ140" s="10">
        <x:f>IF(BI140="","",IF(MAX($BI$2:$BI$252)-MIN($BI$2:$BI$252)=0,"",(BI140-MIN($BI$2:$BI$252))/(MAX($BI$2:$BI$252)-MIN($BI$2:$BI$252))*100))</x:f>
      </x:c>
      <x:c r="BK140">
        <x:f>IF(AD140="","",(AD140*2)+(AE140*1))</x:f>
      </x:c>
      <x:c r="BL140" s="10">
        <x:f>IF(BK140="","",IF(MAX($BK$2:$BK$252)-MIN($BK$2:$BK$252)=0,"",(BK140-MIN($BK$2:$BK$252))/(MAX($BK$2:$BK$252)-MIN($BK$2:$BK$252))*100))</x:f>
      </x:c>
      <x:c r="BM140" s="10">
        <x:f>IF(AB140="","",IF(MAX($AB$2:$AB$252)-MIN($AB$2:$AB$252)=0,"",(AB140-MIN($AB$2:$AB$252))/(MAX($AB$2:$AB$252)-MIN($AB$2:$AB$252))*100))</x:f>
      </x:c>
      <x:c r="BN140" s="10">
        <x:f>IF(X140="","",X140)</x:f>
      </x:c>
      <x:c r="BO140" s="10">
        <x:f>IF(X140="","",100-X140)</x:f>
      </x:c>
      <x:c r="BP140" s="10">
        <x:f>IF((Weights!$C$2*IF(BH140="",0,1)+Weights!$C$3*IF(BJ140="",0,1)+Weights!$C$4*IF(BL140="",0,1))=0,"",(Weights!$C$2*IF(BH140="",0,BH140)+Weights!$C$3*IF(BJ140="",0,BJ140)+Weights!$C$4*IF(BL140="",0,BL140))/(Weights!$C$2*IF(BH140="",0,1)+Weights!$C$3*IF(BJ140="",0,1)+Weights!$C$4*IF(BL140="",0,1)))</x:f>
      </x:c>
      <x:c r="BQ140" s="10">
        <x:f>IF((Weights!$C$5*IF(BA140="",0,1)+Weights!$C$6*IF(AW140="",0,1)+Weights!$C$7*IF(AU140="",0,1))=0,"",(Weights!$C$5*IF(BA140="",0,BA140)+Weights!$C$6*IF(AW140="",0,AW140)+Weights!$C$7*IF(AU140="",0,AU140))/(Weights!$C$5*IF(BA140="",0,1)+Weights!$C$6*IF(AW140="",0,1)+Weights!$C$7*IF(AU140="",0,1)))</x:f>
      </x:c>
      <x:c r="BR140" s="10">
        <x:f>IF((Weights!$C$8*IF(AW140="",0,1)+Weights!$C$9*IF(BC140="",0,1)+Weights!$C$10*IF(BF140="",0,1))=0,"",(Weights!$C$8*IF(AW140="",0,AW140)+Weights!$C$9*IF(BC140="",0,BC140)+Weights!$C$10*IF(BF140="",0,BF140))/(Weights!$C$8*IF(AW140="",0,1)+Weights!$C$9*IF(BC140="",0,1)+Weights!$C$10*IF(BF140="",0,1)))</x:f>
      </x:c>
      <x:c r="BS140" s="10">
        <x:f>IF(Y140="","",Y140)</x:f>
      </x:c>
      <x:c r="BT140" s="10">
        <x:f>IF(AS140="","",AS140)</x:f>
      </x:c>
      <x:c r="BU140" s="10">
        <x:f>IF(AJ140&lt;&gt;"",(0.6*AJ140+0.4*AU140),IF((Weights!$C$11*IF(AU140="",0,1)+Weights!$C$12*IF(BM140="",0,1))=0,"",(Weights!$C$11*IF(AU140="",0,AU140)+Weights!$C$12*IF(BM140="",0,BM140))/(Weights!$C$11*IF(AU140="",0,1)+Weights!$C$12*IF(BM140="",0,1))))</x:f>
      </x:c>
      <x:c r="BV140" s="10">
        <x:f>IF(CG140="",0,CG140)</x:f>
      </x:c>
      <x:c r="BW140" s="10">
        <x:f>IF(AP140="","",AP140)</x:f>
      </x:c>
      <x:c r="BX140" s="10">
        <x:f>IF(AO140="","",AO140)</x:f>
      </x:c>
      <x:c r="BY140" s="10">
        <x:f>IF(AL140="","",AL140)</x:f>
      </x:c>
      <x:c r="BZ140" s="10">
        <x:f>IF(AM140="","",AM140)</x:f>
      </x:c>
      <x:c r="CA140" s="10">
        <x:f>IF(AK140&lt;&gt;"",AK140,AW140)</x:f>
      </x:c>
      <x:c r="CB140" s="10">
        <x:f>IF((Weights!$C$13*IF(BP140="",0,1)+Weights!$C$14*IF(BR140="",0,1)+Weights!$C$15*IF(BQ140="",0,1)+Weights!$C$16*IF(BS140="",0,1)+Weights!$C$17*IF(BU140="",0,1)+Weights!$C$18*IF(BT140="",0,1)+Weights!$C$19*IF(BW140="",0,1)+Weights!$C$20*IF(BZ140="",0,1)+Weights!$C$21*IF(BO140="",0,1)+Weights!$C$22)=0,"",(Weights!$C$13*IF(BP140="",0,BP140)+Weights!$C$14*IF(BR140="",0,BR140)+Weights!$C$15*IF(BQ140="",0,BQ140)+Weights!$C$16*IF(BS140="",0,BS140)+Weights!$C$17*IF(BU140="",0,BU140)+Weights!$C$18*IF(BT140="",0,BT140)+Weights!$C$19*IF(BW140="",0,BW140)+Weights!$C$20*IF(BZ140="",0,BZ140)+Weights!$C$21*IF(BO140="",0,BO140)+Weights!$C$22*BV140)/(Weights!$C$13*IF(BP140="",0,1)+Weights!$C$14*IF(BR140="",0,1)+Weights!$C$15*IF(BQ140="",0,1)+Weights!$C$16*IF(BS140="",0,1)+Weights!$C$17*IF(BU140="",0,1)+Weights!$C$18*IF(BT140="",0,1)+Weights!$C$19*IF(BW140="",0,1)+Weights!$C$20*IF(BZ140="",0,1)+Weights!$C$21*IF(BO140="",0,1)+Weights!$C$22))</x:f>
      </x:c>
      <x:c r="CC140" s="10">
        <x:f>IF((Weights!$C$23*IF(BQ140="",0,1)+Weights!$C$24*IF(BN140="",0,1)+Weights!$C$25*IF(BS140="",0,1)+Weights!$C$26*IF(BY140="",0,1)+Weights!$C$27*IF(BX140="",0,1)+Weights!$C$28*IF(BT140="",0,1)+Weights!$C$29*IF(CA140="",0,1)+Weights!$C$30+Weights!$C$31*IF(BU140="",0,1))=0,"",(Weights!$C$23*IF(BQ140="",0,BQ140)+Weights!$C$24*IF(BN140="",0,BN140)+Weights!$C$25*IF(BS140="",0,BS140)+Weights!$C$26*IF(BY140="",0,BY140)+Weights!$C$27*IF(BX140="",0,BX140)+Weights!$C$28*IF(BT140="",0,BT140)+Weights!$C$29*IF(CA140="",0,CA140)+Weights!$C$30*BV140+Weights!$C$31*IF(BU140="",0,BU140))/(Weights!$C$23*IF(BQ140="",0,1)+Weights!$C$24*IF(BN140="",0,1)+Weights!$C$25*IF(BS140="",0,1)+Weights!$C$26*IF(BY140="",0,1)+Weights!$C$27*IF(BX140="",0,1)+Weights!$C$28*IF(BT140="",0,1)+Weights!$C$29*IF(CA140="",0,1)+Weights!$C$30+Weights!$C$31*IF(BU140="",0,1)))</x:f>
      </x:c>
      <x:c r="CD140" s="10">
        <x:f>IF(AND(CB140="",CC140=""),"",IF(CB140="",CC140,IF(CC140="",CB140,AVERAGE(CB140,CC140))))</x:f>
      </x:c>
      <x:c r="CE140" s="7">
        <x:f>ROUND(100*((IF(BP140&lt;&gt;"",1,0)+IF(BQ140&lt;&gt;"",1,0)+IF(BR140&lt;&gt;"",1,0)+IF(BS140&lt;&gt;"",1,0)+IF(BU140&lt;&gt;"",1,0)+IF(BT140&lt;&gt;"",1,0)+IF(BN140&lt;&gt;"",1,0)+IF(AW140&lt;&gt;"",1,0))/8),0)</x:f>
      </x:c>
      <x:c r="CF140">
        <x:f>IF(V140="","",LOG10(V140+1))</x:f>
      </x:c>
      <x:c r="CG140">
        <x:f>IF(CF140="","",IF(MAX($CF$2:$CF$252)-MIN($CF$2:$CF$252)=0,"",(CF140-MIN($CF$2:$CF$252))/(MAX($CF$2:$CF$252)-MIN($CF$2:$CF$252))*100))</x:f>
      </x:c>
    </x:row>
    <x:row r="141">
      <x:c r="A141" t="inlineStr">
        <x:is>
          <x:t xml:space="preserve">ECU</x:t>
        </x:is>
      </x:c>
      <x:c r="B141" t="inlineStr">
        <x:is>
          <x:t xml:space="preserve">Ecuador</x:t>
        </x:is>
      </x:c>
      <x:c r="C141" t="inlineStr">
        <x:is>
          <x:t xml:space="preserve">Latin America &amp; Caribbean</x:t>
        </x:is>
      </x:c>
      <x:c r="D141" t="inlineStr">
        <x:is>
          <x:t xml:space="preserve">Upper middle income</x:t>
        </x:is>
      </x:c>
      <x:c r="E141" t="inlineStr">
        <x:is>
          <x:t xml:space="preserve">South America</x:t>
        </x:is>
      </x:c>
      <x:c r="F141" t="n">
        <x:v>2024</x:v>
      </x:c>
      <x:c r="G141" t="n">
        <x:v>18135478</x:v>
      </x:c>
      <x:c r="H141" t="n">
        <x:v>2020</x:v>
      </x:c>
      <x:c r="I141" t="n">
        <x:v>42000</x:v>
      </x:c>
      <x:c r="J141" t="n">
        <x:v>27300</x:v>
      </x:c>
      <x:c r="K141" t="n">
        <x:v>8400</x:v>
      </x:c>
      <x:c r="L141" t="n">
        <x:v>5040</x:v>
      </x:c>
      <x:c r="M141" t="n">
        <x:v>2024</x:v>
      </x:c>
      <x:c r="N141" s="8" t="n">
        <x:v>2698000000</x:v>
      </x:c>
      <x:c r="O141" s="9" t="n">
        <x:v>2.22194770434425</x:v>
      </x:c>
      <x:c r="P141" s="8" t="n">
        <x:v>64238.09523809524</x:v>
      </x:c>
      <x:c r="Q141" t="n">
        <x:v>2024</x:v>
      </x:c>
      <x:c r="R141" s="8" t="n">
        <x:v>124676074700</x:v>
      </x:c>
      <x:c r="S141" t="n">
        <x:v>1</x:v>
      </x:c>
      <x:c r="T141" t="n">
        <x:v>0</x:v>
      </x:c>
      <x:c r="U141" t="inlineStr">
        <x:is>
          <x:t xml:space="preserve">No</x:t>
        </x:is>
      </x:c>
      <x:c r="W141" t="inlineStr">
        <x:is>
          <x:t xml:space="preserve">No</x:t>
        </x:is>
      </x:c>
      <x:c r="X141" t="n">
        <x:v>10.95033566723096</x:v>
      </x:c>
      <x:c r="Y141" t="n">
        <x:v>55.41758439089216</x:v>
      </x:c>
      <x:c r="Z141" t="n">
        <x:v>250747.1095369835</x:v>
      </x:c>
      <x:c r="AA141" t="n">
        <x:v>64.96949468363542</x:v>
      </x:c>
      <x:c r="AB141" s="8" t="n">
        <x:v>11196.4258847862</x:v>
      </x:c>
      <x:c r="AC141" t="n">
        <x:v>27</x:v>
      </x:c>
      <x:c r="AD141" t="n">
        <x:v>0</x:v>
      </x:c>
      <x:c r="AE141" t="n">
        <x:v>0</x:v>
      </x:c>
      <x:c r="AR141">
        <x:f>IF(G141="","",LOG10(G141+1))</x:f>
      </x:c>
      <x:c r="AS141" s="10">
        <x:f>IF(AR141="","",IF(MAX($AR$2:$AR$252)-MIN($AR$2:$AR$252)=0,"",(AR141-MIN($AR$2:$AR$252))/(MAX($AR$2:$AR$252)-MIN($AR$2:$AR$252))*100))</x:f>
      </x:c>
      <x:c r="AT141">
        <x:f>IF(R141="","",LOG10(R141+1))</x:f>
      </x:c>
      <x:c r="AU141" s="10">
        <x:f>IF(AT141="","",IF(MAX($AT$2:$AT$252)-MIN($AT$2:$AT$252)=0,"",(AT141-MIN($AT$2:$AT$252))/(MAX($AT$2:$AT$252)-MIN($AT$2:$AT$252))*100))</x:f>
      </x:c>
      <x:c r="AV141">
        <x:f>IF(N141="","",LOG10(N141+1))</x:f>
      </x:c>
      <x:c r="AW141" s="10">
        <x:f>IF(AV141="","",IF(MAX($AV$2:$AV$252)-MIN($AV$2:$AV$252)=0,"",(AV141-MIN($AV$2:$AV$252))/(MAX($AV$2:$AV$252)-MIN($AV$2:$AV$252))*100))</x:f>
      </x:c>
      <x:c r="AX141">
        <x:f>IF(I141="","",LOG10(I141+1))</x:f>
      </x:c>
      <x:c r="AY141" s="10">
        <x:f>IF(AX141="","",IF(MAX($AX$2:$AX$252)-MIN($AX$2:$AX$252)=0,"",(AX141-MIN($AX$2:$AX$252))/(MAX($AX$2:$AX$252)-MIN($AX$2:$AX$252))*100))</x:f>
      </x:c>
      <x:c r="AZ141">
        <x:f>IF(J141="","",LOG10(J141+1))</x:f>
      </x:c>
      <x:c r="BA141" s="10">
        <x:f>IF(AZ141="","",IF(MAX($AZ$2:$AZ$252)-MIN($AZ$2:$AZ$252)=0,"",(AZ141-MIN($AZ$2:$AZ$252))/(MAX($AZ$2:$AZ$252)-MIN($AZ$2:$AZ$252))*100))</x:f>
      </x:c>
      <x:c r="BB141">
        <x:f>IF(K141="","",LOG10(K141+1))</x:f>
      </x:c>
      <x:c r="BC141" s="10">
        <x:f>IF(BB141="","",IF(MAX($BB$2:$BB$252)-MIN($BB$2:$BB$252)=0,"",(BB141-MIN($BB$2:$BB$252))/(MAX($BB$2:$BB$252)-MIN($BB$2:$BB$252))*100))</x:f>
      </x:c>
      <x:c r="BD141">
        <x:f>IF(L141="","",LOG10(L141+1))</x:f>
      </x:c>
      <x:c r="BE141" s="10">
        <x:f>IF(BD141="","",IF(MAX($BD$2:$BD$252)-MIN($BD$2:$BD$252)=0,"",(BD141-MIN($BD$2:$BD$252))/(MAX($BD$2:$BD$252)-MIN($BD$2:$BD$252))*100))</x:f>
      </x:c>
      <x:c r="BF141" s="10">
        <x:f>IF(P141="","",IF(MAX($P$2:$P$252)-MIN($P$2:$P$252)=0,"",(P141-MIN($P$2:$P$252))/(MAX($P$2:$P$252)-MIN($P$2:$P$252))*100))</x:f>
      </x:c>
      <x:c r="BG141">
        <x:f>IF(AF141="","",LOG10(AF141+1))</x:f>
      </x:c>
      <x:c r="BH141" s="10">
        <x:f>IF(BG141="","",IF(MAX($BG$2:$BG$252)-MIN($BG$2:$BG$252)=0,"",(BG141-MIN($BG$2:$BG$252))/(MAX($BG$2:$BG$252)-MIN($BG$2:$BG$252))*100))</x:f>
      </x:c>
      <x:c r="BI141">
        <x:f>IF(AC141="","",LOG10(AC141+1))</x:f>
      </x:c>
      <x:c r="BJ141" s="10">
        <x:f>IF(BI141="","",IF(MAX($BI$2:$BI$252)-MIN($BI$2:$BI$252)=0,"",(BI141-MIN($BI$2:$BI$252))/(MAX($BI$2:$BI$252)-MIN($BI$2:$BI$252))*100))</x:f>
      </x:c>
      <x:c r="BK141">
        <x:f>IF(AD141="","",(AD141*2)+(AE141*1))</x:f>
      </x:c>
      <x:c r="BL141" s="10">
        <x:f>IF(BK141="","",IF(MAX($BK$2:$BK$252)-MIN($BK$2:$BK$252)=0,"",(BK141-MIN($BK$2:$BK$252))/(MAX($BK$2:$BK$252)-MIN($BK$2:$BK$252))*100))</x:f>
      </x:c>
      <x:c r="BM141" s="10">
        <x:f>IF(AB141="","",IF(MAX($AB$2:$AB$252)-MIN($AB$2:$AB$252)=0,"",(AB141-MIN($AB$2:$AB$252))/(MAX($AB$2:$AB$252)-MIN($AB$2:$AB$252))*100))</x:f>
      </x:c>
      <x:c r="BN141" s="10">
        <x:f>IF(X141="","",X141)</x:f>
      </x:c>
      <x:c r="BO141" s="10">
        <x:f>IF(X141="","",100-X141)</x:f>
      </x:c>
      <x:c r="BP141" s="10">
        <x:f>IF((Weights!$C$2*IF(BH141="",0,1)+Weights!$C$3*IF(BJ141="",0,1)+Weights!$C$4*IF(BL141="",0,1))=0,"",(Weights!$C$2*IF(BH141="",0,BH141)+Weights!$C$3*IF(BJ141="",0,BJ141)+Weights!$C$4*IF(BL141="",0,BL141))/(Weights!$C$2*IF(BH141="",0,1)+Weights!$C$3*IF(BJ141="",0,1)+Weights!$C$4*IF(BL141="",0,1)))</x:f>
      </x:c>
      <x:c r="BQ141" s="10">
        <x:f>IF((Weights!$C$5*IF(BA141="",0,1)+Weights!$C$6*IF(AW141="",0,1)+Weights!$C$7*IF(AU141="",0,1))=0,"",(Weights!$C$5*IF(BA141="",0,BA141)+Weights!$C$6*IF(AW141="",0,AW141)+Weights!$C$7*IF(AU141="",0,AU141))/(Weights!$C$5*IF(BA141="",0,1)+Weights!$C$6*IF(AW141="",0,1)+Weights!$C$7*IF(AU141="",0,1)))</x:f>
      </x:c>
      <x:c r="BR141" s="10">
        <x:f>IF((Weights!$C$8*IF(AW141="",0,1)+Weights!$C$9*IF(BC141="",0,1)+Weights!$C$10*IF(BF141="",0,1))=0,"",(Weights!$C$8*IF(AW141="",0,AW141)+Weights!$C$9*IF(BC141="",0,BC141)+Weights!$C$10*IF(BF141="",0,BF141))/(Weights!$C$8*IF(AW141="",0,1)+Weights!$C$9*IF(BC141="",0,1)+Weights!$C$10*IF(BF141="",0,1)))</x:f>
      </x:c>
      <x:c r="BS141" s="10">
        <x:f>IF(Y141="","",Y141)</x:f>
      </x:c>
      <x:c r="BT141" s="10">
        <x:f>IF(AS141="","",AS141)</x:f>
      </x:c>
      <x:c r="BU141" s="10">
        <x:f>IF(AJ141&lt;&gt;"",(0.6*AJ141+0.4*AU141),IF((Weights!$C$11*IF(AU141="",0,1)+Weights!$C$12*IF(BM141="",0,1))=0,"",(Weights!$C$11*IF(AU141="",0,AU141)+Weights!$C$12*IF(BM141="",0,BM141))/(Weights!$C$11*IF(AU141="",0,1)+Weights!$C$12*IF(BM141="",0,1))))</x:f>
      </x:c>
      <x:c r="BV141" s="10">
        <x:f>IF(CG141="",0,CG141)</x:f>
      </x:c>
      <x:c r="BW141" s="10">
        <x:f>IF(AP141="","",AP141)</x:f>
      </x:c>
      <x:c r="BX141" s="10">
        <x:f>IF(AO141="","",AO141)</x:f>
      </x:c>
      <x:c r="BY141" s="10">
        <x:f>IF(AL141="","",AL141)</x:f>
      </x:c>
      <x:c r="BZ141" s="10">
        <x:f>IF(AM141="","",AM141)</x:f>
      </x:c>
      <x:c r="CA141" s="10">
        <x:f>IF(AK141&lt;&gt;"",AK141,AW141)</x:f>
      </x:c>
      <x:c r="CB141" s="10">
        <x:f>IF((Weights!$C$13*IF(BP141="",0,1)+Weights!$C$14*IF(BR141="",0,1)+Weights!$C$15*IF(BQ141="",0,1)+Weights!$C$16*IF(BS141="",0,1)+Weights!$C$17*IF(BU141="",0,1)+Weights!$C$18*IF(BT141="",0,1)+Weights!$C$19*IF(BW141="",0,1)+Weights!$C$20*IF(BZ141="",0,1)+Weights!$C$21*IF(BO141="",0,1)+Weights!$C$22)=0,"",(Weights!$C$13*IF(BP141="",0,BP141)+Weights!$C$14*IF(BR141="",0,BR141)+Weights!$C$15*IF(BQ141="",0,BQ141)+Weights!$C$16*IF(BS141="",0,BS141)+Weights!$C$17*IF(BU141="",0,BU141)+Weights!$C$18*IF(BT141="",0,BT141)+Weights!$C$19*IF(BW141="",0,BW141)+Weights!$C$20*IF(BZ141="",0,BZ141)+Weights!$C$21*IF(BO141="",0,BO141)+Weights!$C$22*BV141)/(Weights!$C$13*IF(BP141="",0,1)+Weights!$C$14*IF(BR141="",0,1)+Weights!$C$15*IF(BQ141="",0,1)+Weights!$C$16*IF(BS141="",0,1)+Weights!$C$17*IF(BU141="",0,1)+Weights!$C$18*IF(BT141="",0,1)+Weights!$C$19*IF(BW141="",0,1)+Weights!$C$20*IF(BZ141="",0,1)+Weights!$C$21*IF(BO141="",0,1)+Weights!$C$22))</x:f>
      </x:c>
      <x:c r="CC141" s="10">
        <x:f>IF((Weights!$C$23*IF(BQ141="",0,1)+Weights!$C$24*IF(BN141="",0,1)+Weights!$C$25*IF(BS141="",0,1)+Weights!$C$26*IF(BY141="",0,1)+Weights!$C$27*IF(BX141="",0,1)+Weights!$C$28*IF(BT141="",0,1)+Weights!$C$29*IF(CA141="",0,1)+Weights!$C$30+Weights!$C$31*IF(BU141="",0,1))=0,"",(Weights!$C$23*IF(BQ141="",0,BQ141)+Weights!$C$24*IF(BN141="",0,BN141)+Weights!$C$25*IF(BS141="",0,BS141)+Weights!$C$26*IF(BY141="",0,BY141)+Weights!$C$27*IF(BX141="",0,BX141)+Weights!$C$28*IF(BT141="",0,BT141)+Weights!$C$29*IF(CA141="",0,CA141)+Weights!$C$30*BV141+Weights!$C$31*IF(BU141="",0,BU141))/(Weights!$C$23*IF(BQ141="",0,1)+Weights!$C$24*IF(BN141="",0,1)+Weights!$C$25*IF(BS141="",0,1)+Weights!$C$26*IF(BY141="",0,1)+Weights!$C$27*IF(BX141="",0,1)+Weights!$C$28*IF(BT141="",0,1)+Weights!$C$29*IF(CA141="",0,1)+Weights!$C$30+Weights!$C$31*IF(BU141="",0,1)))</x:f>
      </x:c>
      <x:c r="CD141" s="10">
        <x:f>IF(AND(CB141="",CC141=""),"",IF(CB141="",CC141,IF(CC141="",CB141,AVERAGE(CB141,CC141))))</x:f>
      </x:c>
      <x:c r="CE141" s="7">
        <x:f>ROUND(100*((IF(BP141&lt;&gt;"",1,0)+IF(BQ141&lt;&gt;"",1,0)+IF(BR141&lt;&gt;"",1,0)+IF(BS141&lt;&gt;"",1,0)+IF(BU141&lt;&gt;"",1,0)+IF(BT141&lt;&gt;"",1,0)+IF(BN141&lt;&gt;"",1,0)+IF(AW141&lt;&gt;"",1,0))/8),0)</x:f>
      </x:c>
      <x:c r="CF141">
        <x:f>IF(V141="","",LOG10(V141+1))</x:f>
      </x:c>
      <x:c r="CG141">
        <x:f>IF(CF141="","",IF(MAX($CF$2:$CF$252)-MIN($CF$2:$CF$252)=0,"",(CF141-MIN($CF$2:$CF$252))/(MAX($CF$2:$CF$252)-MIN($CF$2:$CF$252))*100))</x:f>
      </x:c>
    </x:row>
    <x:row r="142">
      <x:c r="A142" t="inlineStr">
        <x:is>
          <x:t xml:space="preserve">SLV</x:t>
        </x:is>
      </x:c>
      <x:c r="B142" t="inlineStr">
        <x:is>
          <x:t xml:space="preserve">El Salvador</x:t>
        </x:is>
      </x:c>
      <x:c r="C142" t="inlineStr">
        <x:is>
          <x:t xml:space="preserve">Latin America &amp; Caribbean</x:t>
        </x:is>
      </x:c>
      <x:c r="D142" t="inlineStr">
        <x:is>
          <x:t xml:space="preserve">Upper middle income</x:t>
        </x:is>
      </x:c>
      <x:c r="E142" t="inlineStr">
        <x:is>
          <x:t xml:space="preserve">North America</x:t>
        </x:is>
      </x:c>
      <x:c r="F142" t="n">
        <x:v>2024</x:v>
      </x:c>
      <x:c r="G142" t="n">
        <x:v>6338193</x:v>
      </x:c>
      <x:c r="H142" t="n">
        <x:v>2020</x:v>
      </x:c>
      <x:c r="I142" t="n">
        <x:v>42000</x:v>
      </x:c>
      <x:c r="J142" t="n">
        <x:v>27300</x:v>
      </x:c>
      <x:c r="K142" t="n">
        <x:v>8400</x:v>
      </x:c>
      <x:c r="L142" t="n">
        <x:v>5040</x:v>
      </x:c>
      <x:c r="M142" t="n">
        <x:v>2024</x:v>
      </x:c>
      <x:c r="N142" s="8" t="n">
        <x:v>425200000</x:v>
      </x:c>
      <x:c r="O142" s="9" t="n">
        <x:v>1.18611916982816</x:v>
      </x:c>
      <x:c r="P142" s="8" t="n">
        <x:v>10123.80952380952</x:v>
      </x:c>
      <x:c r="Q142" t="n">
        <x:v>2024</x:v>
      </x:c>
      <x:c r="R142" s="8" t="n">
        <x:v>35364960000</x:v>
      </x:c>
      <x:c r="S142" t="n">
        <x:v>0</x:v>
      </x:c>
      <x:c r="T142" t="n">
        <x:v>0</x:v>
      </x:c>
      <x:c r="U142" t="inlineStr">
        <x:is>
          <x:t xml:space="preserve">No</x:t>
        </x:is>
      </x:c>
      <x:c r="W142" t="inlineStr">
        <x:is>
          <x:t xml:space="preserve">No</x:t>
        </x:is>
      </x:c>
      <x:c r="X142" t="n">
        <x:v>10.00973666090616</x:v>
      </x:c>
      <x:c r="Y142" t="n">
        <x:v>61.44832208996771</x:v>
      </x:c>
      <x:c r="Z142" t="n">
        <x:v>20893.34023307733</x:v>
      </x:c>
      <x:c r="AA142" t="n">
        <x:v>295.4056618591205</x:v>
      </x:c>
      <x:c r="AB142" s="8" t="n">
        <x:v>8877.171476201192</x:v>
      </x:c>
      <x:c r="AC142" t="n">
        <x:v>15</x:v>
      </x:c>
      <x:c r="AD142" t="n">
        <x:v>0</x:v>
      </x:c>
      <x:c r="AE142" t="n">
        <x:v>0</x:v>
      </x:c>
      <x:c r="AR142">
        <x:f>IF(G142="","",LOG10(G142+1))</x:f>
      </x:c>
      <x:c r="AS142" s="10">
        <x:f>IF(AR142="","",IF(MAX($AR$2:$AR$252)-MIN($AR$2:$AR$252)=0,"",(AR142-MIN($AR$2:$AR$252))/(MAX($AR$2:$AR$252)-MIN($AR$2:$AR$252))*100))</x:f>
      </x:c>
      <x:c r="AT142">
        <x:f>IF(R142="","",LOG10(R142+1))</x:f>
      </x:c>
      <x:c r="AU142" s="10">
        <x:f>IF(AT142="","",IF(MAX($AT$2:$AT$252)-MIN($AT$2:$AT$252)=0,"",(AT142-MIN($AT$2:$AT$252))/(MAX($AT$2:$AT$252)-MIN($AT$2:$AT$252))*100))</x:f>
      </x:c>
      <x:c r="AV142">
        <x:f>IF(N142="","",LOG10(N142+1))</x:f>
      </x:c>
      <x:c r="AW142" s="10">
        <x:f>IF(AV142="","",IF(MAX($AV$2:$AV$252)-MIN($AV$2:$AV$252)=0,"",(AV142-MIN($AV$2:$AV$252))/(MAX($AV$2:$AV$252)-MIN($AV$2:$AV$252))*100))</x:f>
      </x:c>
      <x:c r="AX142">
        <x:f>IF(I142="","",LOG10(I142+1))</x:f>
      </x:c>
      <x:c r="AY142" s="10">
        <x:f>IF(AX142="","",IF(MAX($AX$2:$AX$252)-MIN($AX$2:$AX$252)=0,"",(AX142-MIN($AX$2:$AX$252))/(MAX($AX$2:$AX$252)-MIN($AX$2:$AX$252))*100))</x:f>
      </x:c>
      <x:c r="AZ142">
        <x:f>IF(J142="","",LOG10(J142+1))</x:f>
      </x:c>
      <x:c r="BA142" s="10">
        <x:f>IF(AZ142="","",IF(MAX($AZ$2:$AZ$252)-MIN($AZ$2:$AZ$252)=0,"",(AZ142-MIN($AZ$2:$AZ$252))/(MAX($AZ$2:$AZ$252)-MIN($AZ$2:$AZ$252))*100))</x:f>
      </x:c>
      <x:c r="BB142">
        <x:f>IF(K142="","",LOG10(K142+1))</x:f>
      </x:c>
      <x:c r="BC142" s="10">
        <x:f>IF(BB142="","",IF(MAX($BB$2:$BB$252)-MIN($BB$2:$BB$252)=0,"",(BB142-MIN($BB$2:$BB$252))/(MAX($BB$2:$BB$252)-MIN($BB$2:$BB$252))*100))</x:f>
      </x:c>
      <x:c r="BD142">
        <x:f>IF(L142="","",LOG10(L142+1))</x:f>
      </x:c>
      <x:c r="BE142" s="10">
        <x:f>IF(BD142="","",IF(MAX($BD$2:$BD$252)-MIN($BD$2:$BD$252)=0,"",(BD142-MIN($BD$2:$BD$252))/(MAX($BD$2:$BD$252)-MIN($BD$2:$BD$252))*100))</x:f>
      </x:c>
      <x:c r="BF142" s="10">
        <x:f>IF(P142="","",IF(MAX($P$2:$P$252)-MIN($P$2:$P$252)=0,"",(P142-MIN($P$2:$P$252))/(MAX($P$2:$P$252)-MIN($P$2:$P$252))*100))</x:f>
      </x:c>
      <x:c r="BG142">
        <x:f>IF(AF142="","",LOG10(AF142+1))</x:f>
      </x:c>
      <x:c r="BH142" s="10">
        <x:f>IF(BG142="","",IF(MAX($BG$2:$BG$252)-MIN($BG$2:$BG$252)=0,"",(BG142-MIN($BG$2:$BG$252))/(MAX($BG$2:$BG$252)-MIN($BG$2:$BG$252))*100))</x:f>
      </x:c>
      <x:c r="BI142">
        <x:f>IF(AC142="","",LOG10(AC142+1))</x:f>
      </x:c>
      <x:c r="BJ142" s="10">
        <x:f>IF(BI142="","",IF(MAX($BI$2:$BI$252)-MIN($BI$2:$BI$252)=0,"",(BI142-MIN($BI$2:$BI$252))/(MAX($BI$2:$BI$252)-MIN($BI$2:$BI$252))*100))</x:f>
      </x:c>
      <x:c r="BK142">
        <x:f>IF(AD142="","",(AD142*2)+(AE142*1))</x:f>
      </x:c>
      <x:c r="BL142" s="10">
        <x:f>IF(BK142="","",IF(MAX($BK$2:$BK$252)-MIN($BK$2:$BK$252)=0,"",(BK142-MIN($BK$2:$BK$252))/(MAX($BK$2:$BK$252)-MIN($BK$2:$BK$252))*100))</x:f>
      </x:c>
      <x:c r="BM142" s="10">
        <x:f>IF(AB142="","",IF(MAX($AB$2:$AB$252)-MIN($AB$2:$AB$252)=0,"",(AB142-MIN($AB$2:$AB$252))/(MAX($AB$2:$AB$252)-MIN($AB$2:$AB$252))*100))</x:f>
      </x:c>
      <x:c r="BN142" s="10">
        <x:f>IF(X142="","",X142)</x:f>
      </x:c>
      <x:c r="BO142" s="10">
        <x:f>IF(X142="","",100-X142)</x:f>
      </x:c>
      <x:c r="BP142" s="10">
        <x:f>IF((Weights!$C$2*IF(BH142="",0,1)+Weights!$C$3*IF(BJ142="",0,1)+Weights!$C$4*IF(BL142="",0,1))=0,"",(Weights!$C$2*IF(BH142="",0,BH142)+Weights!$C$3*IF(BJ142="",0,BJ142)+Weights!$C$4*IF(BL142="",0,BL142))/(Weights!$C$2*IF(BH142="",0,1)+Weights!$C$3*IF(BJ142="",0,1)+Weights!$C$4*IF(BL142="",0,1)))</x:f>
      </x:c>
      <x:c r="BQ142" s="10">
        <x:f>IF((Weights!$C$5*IF(BA142="",0,1)+Weights!$C$6*IF(AW142="",0,1)+Weights!$C$7*IF(AU142="",0,1))=0,"",(Weights!$C$5*IF(BA142="",0,BA142)+Weights!$C$6*IF(AW142="",0,AW142)+Weights!$C$7*IF(AU142="",0,AU142))/(Weights!$C$5*IF(BA142="",0,1)+Weights!$C$6*IF(AW142="",0,1)+Weights!$C$7*IF(AU142="",0,1)))</x:f>
      </x:c>
      <x:c r="BR142" s="10">
        <x:f>IF((Weights!$C$8*IF(AW142="",0,1)+Weights!$C$9*IF(BC142="",0,1)+Weights!$C$10*IF(BF142="",0,1))=0,"",(Weights!$C$8*IF(AW142="",0,AW142)+Weights!$C$9*IF(BC142="",0,BC142)+Weights!$C$10*IF(BF142="",0,BF142))/(Weights!$C$8*IF(AW142="",0,1)+Weights!$C$9*IF(BC142="",0,1)+Weights!$C$10*IF(BF142="",0,1)))</x:f>
      </x:c>
      <x:c r="BS142" s="10">
        <x:f>IF(Y142="","",Y142)</x:f>
      </x:c>
      <x:c r="BT142" s="10">
        <x:f>IF(AS142="","",AS142)</x:f>
      </x:c>
      <x:c r="BU142" s="10">
        <x:f>IF(AJ142&lt;&gt;"",(0.6*AJ142+0.4*AU142),IF((Weights!$C$11*IF(AU142="",0,1)+Weights!$C$12*IF(BM142="",0,1))=0,"",(Weights!$C$11*IF(AU142="",0,AU142)+Weights!$C$12*IF(BM142="",0,BM142))/(Weights!$C$11*IF(AU142="",0,1)+Weights!$C$12*IF(BM142="",0,1))))</x:f>
      </x:c>
      <x:c r="BV142" s="10">
        <x:f>IF(CG142="",0,CG142)</x:f>
      </x:c>
      <x:c r="BW142" s="10">
        <x:f>IF(AP142="","",AP142)</x:f>
      </x:c>
      <x:c r="BX142" s="10">
        <x:f>IF(AO142="","",AO142)</x:f>
      </x:c>
      <x:c r="BY142" s="10">
        <x:f>IF(AL142="","",AL142)</x:f>
      </x:c>
      <x:c r="BZ142" s="10">
        <x:f>IF(AM142="","",AM142)</x:f>
      </x:c>
      <x:c r="CA142" s="10">
        <x:f>IF(AK142&lt;&gt;"",AK142,AW142)</x:f>
      </x:c>
      <x:c r="CB142" s="10">
        <x:f>IF((Weights!$C$13*IF(BP142="",0,1)+Weights!$C$14*IF(BR142="",0,1)+Weights!$C$15*IF(BQ142="",0,1)+Weights!$C$16*IF(BS142="",0,1)+Weights!$C$17*IF(BU142="",0,1)+Weights!$C$18*IF(BT142="",0,1)+Weights!$C$19*IF(BW142="",0,1)+Weights!$C$20*IF(BZ142="",0,1)+Weights!$C$21*IF(BO142="",0,1)+Weights!$C$22)=0,"",(Weights!$C$13*IF(BP142="",0,BP142)+Weights!$C$14*IF(BR142="",0,BR142)+Weights!$C$15*IF(BQ142="",0,BQ142)+Weights!$C$16*IF(BS142="",0,BS142)+Weights!$C$17*IF(BU142="",0,BU142)+Weights!$C$18*IF(BT142="",0,BT142)+Weights!$C$19*IF(BW142="",0,BW142)+Weights!$C$20*IF(BZ142="",0,BZ142)+Weights!$C$21*IF(BO142="",0,BO142)+Weights!$C$22*BV142)/(Weights!$C$13*IF(BP142="",0,1)+Weights!$C$14*IF(BR142="",0,1)+Weights!$C$15*IF(BQ142="",0,1)+Weights!$C$16*IF(BS142="",0,1)+Weights!$C$17*IF(BU142="",0,1)+Weights!$C$18*IF(BT142="",0,1)+Weights!$C$19*IF(BW142="",0,1)+Weights!$C$20*IF(BZ142="",0,1)+Weights!$C$21*IF(BO142="",0,1)+Weights!$C$22))</x:f>
      </x:c>
      <x:c r="CC142" s="10">
        <x:f>IF((Weights!$C$23*IF(BQ142="",0,1)+Weights!$C$24*IF(BN142="",0,1)+Weights!$C$25*IF(BS142="",0,1)+Weights!$C$26*IF(BY142="",0,1)+Weights!$C$27*IF(BX142="",0,1)+Weights!$C$28*IF(BT142="",0,1)+Weights!$C$29*IF(CA142="",0,1)+Weights!$C$30+Weights!$C$31*IF(BU142="",0,1))=0,"",(Weights!$C$23*IF(BQ142="",0,BQ142)+Weights!$C$24*IF(BN142="",0,BN142)+Weights!$C$25*IF(BS142="",0,BS142)+Weights!$C$26*IF(BY142="",0,BY142)+Weights!$C$27*IF(BX142="",0,BX142)+Weights!$C$28*IF(BT142="",0,BT142)+Weights!$C$29*IF(CA142="",0,CA142)+Weights!$C$30*BV142+Weights!$C$31*IF(BU142="",0,BU142))/(Weights!$C$23*IF(BQ142="",0,1)+Weights!$C$24*IF(BN142="",0,1)+Weights!$C$25*IF(BS142="",0,1)+Weights!$C$26*IF(BY142="",0,1)+Weights!$C$27*IF(BX142="",0,1)+Weights!$C$28*IF(BT142="",0,1)+Weights!$C$29*IF(CA142="",0,1)+Weights!$C$30+Weights!$C$31*IF(BU142="",0,1)))</x:f>
      </x:c>
      <x:c r="CD142" s="10">
        <x:f>IF(AND(CB142="",CC142=""),"",IF(CB142="",CC142,IF(CC142="",CB142,AVERAGE(CB142,CC142))))</x:f>
      </x:c>
      <x:c r="CE142" s="7">
        <x:f>ROUND(100*((IF(BP142&lt;&gt;"",1,0)+IF(BQ142&lt;&gt;"",1,0)+IF(BR142&lt;&gt;"",1,0)+IF(BS142&lt;&gt;"",1,0)+IF(BU142&lt;&gt;"",1,0)+IF(BT142&lt;&gt;"",1,0)+IF(BN142&lt;&gt;"",1,0)+IF(AW142&lt;&gt;"",1,0))/8),0)</x:f>
      </x:c>
      <x:c r="CF142">
        <x:f>IF(V142="","",LOG10(V142+1))</x:f>
      </x:c>
      <x:c r="CG142">
        <x:f>IF(CF142="","",IF(MAX($CF$2:$CF$252)-MIN($CF$2:$CF$252)=0,"",(CF142-MIN($CF$2:$CF$252))/(MAX($CF$2:$CF$252)-MIN($CF$2:$CF$252))*100))</x:f>
      </x:c>
    </x:row>
    <x:row r="143">
      <x:c r="A143" t="inlineStr">
        <x:is>
          <x:t xml:space="preserve">GNQ</x:t>
        </x:is>
      </x:c>
      <x:c r="B143" t="inlineStr">
        <x:is>
          <x:t xml:space="preserve">Equatorial Guinea</x:t>
        </x:is>
      </x:c>
      <x:c r="C143" t="inlineStr">
        <x:is>
          <x:t xml:space="preserve">Sub-Saharan Africa</x:t>
        </x:is>
      </x:c>
      <x:c r="D143" t="inlineStr">
        <x:is>
          <x:t xml:space="preserve">Upper middle income</x:t>
        </x:is>
      </x:c>
      <x:c r="E143" t="inlineStr">
        <x:is>
          <x:t xml:space="preserve">Africa</x:t>
        </x:is>
      </x:c>
      <x:c r="F143" t="n">
        <x:v>2024</x:v>
      </x:c>
      <x:c r="G143" t="n">
        <x:v>1892516</x:v>
      </x:c>
      <x:c r="H143" t="n">
        <x:v>2020</x:v>
      </x:c>
      <x:c r="I143" t="n">
        <x:v>1000</x:v>
      </x:c>
      <x:c r="J143" t="n">
        <x:v>650</x:v>
      </x:c>
      <x:c r="K143" t="n">
        <x:v>200</x:v>
      </x:c>
      <x:c r="L143" t="n">
        <x:v>120</x:v>
      </x:c>
      <x:c r="M143" t="n">
        <x:v>2024</x:v>
      </x:c>
      <x:c r="N143" s="8" t="n">
        <x:v>113135237.554975</x:v>
      </x:c>
      <x:c r="O143" s="9" t="n">
        <x:v>0.982185856511218</x:v>
      </x:c>
      <x:c r="P143" s="8" t="n">
        <x:v>113135.237554975</x:v>
      </x:c>
      <x:c r="Q143" t="n">
        <x:v>2024</x:v>
      </x:c>
      <x:c r="R143" s="8" t="n">
        <x:v>12765777677.0622</x:v>
      </x:c>
      <x:c r="S143" t="n">
        <x:v>0</x:v>
      </x:c>
      <x:c r="T143" t="n">
        <x:v>0</x:v>
      </x:c>
      <x:c r="U143" t="inlineStr">
        <x:is>
          <x:t xml:space="preserve">No</x:t>
        </x:is>
      </x:c>
      <x:c r="W143" t="inlineStr">
        <x:is>
          <x:t xml:space="preserve">No</x:t>
        </x:is>
      </x:c>
      <x:c r="X143" t="n">
        <x:v>4.125386613496927</x:v>
      </x:c>
      <x:c r="Y143" t="n">
        <x:v>69.35067426849726</x:v>
      </x:c>
      <x:c r="Z143" t="n">
        <x:v>27120.5747694609</x:v>
      </x:c>
      <x:c r="AA143" t="n">
        <x:v>28.69990797084689</x:v>
      </x:c>
      <x:c r="AB143" s="8" t="n">
        <x:v>40816.69360371448</x:v>
      </x:c>
      <x:c r="AR143">
        <x:f>IF(G143="","",LOG10(G143+1))</x:f>
      </x:c>
      <x:c r="AS143" s="10">
        <x:f>IF(AR143="","",IF(MAX($AR$2:$AR$252)-MIN($AR$2:$AR$252)=0,"",(AR143-MIN($AR$2:$AR$252))/(MAX($AR$2:$AR$252)-MIN($AR$2:$AR$252))*100))</x:f>
      </x:c>
      <x:c r="AT143">
        <x:f>IF(R143="","",LOG10(R143+1))</x:f>
      </x:c>
      <x:c r="AU143" s="10">
        <x:f>IF(AT143="","",IF(MAX($AT$2:$AT$252)-MIN($AT$2:$AT$252)=0,"",(AT143-MIN($AT$2:$AT$252))/(MAX($AT$2:$AT$252)-MIN($AT$2:$AT$252))*100))</x:f>
      </x:c>
      <x:c r="AV143">
        <x:f>IF(N143="","",LOG10(N143+1))</x:f>
      </x:c>
      <x:c r="AW143" s="10">
        <x:f>IF(AV143="","",IF(MAX($AV$2:$AV$252)-MIN($AV$2:$AV$252)=0,"",(AV143-MIN($AV$2:$AV$252))/(MAX($AV$2:$AV$252)-MIN($AV$2:$AV$252))*100))</x:f>
      </x:c>
      <x:c r="AX143">
        <x:f>IF(I143="","",LOG10(I143+1))</x:f>
      </x:c>
      <x:c r="AY143" s="10">
        <x:f>IF(AX143="","",IF(MAX($AX$2:$AX$252)-MIN($AX$2:$AX$252)=0,"",(AX143-MIN($AX$2:$AX$252))/(MAX($AX$2:$AX$252)-MIN($AX$2:$AX$252))*100))</x:f>
      </x:c>
      <x:c r="AZ143">
        <x:f>IF(J143="","",LOG10(J143+1))</x:f>
      </x:c>
      <x:c r="BA143" s="10">
        <x:f>IF(AZ143="","",IF(MAX($AZ$2:$AZ$252)-MIN($AZ$2:$AZ$252)=0,"",(AZ143-MIN($AZ$2:$AZ$252))/(MAX($AZ$2:$AZ$252)-MIN($AZ$2:$AZ$252))*100))</x:f>
      </x:c>
      <x:c r="BB143">
        <x:f>IF(K143="","",LOG10(K143+1))</x:f>
      </x:c>
      <x:c r="BC143" s="10">
        <x:f>IF(BB143="","",IF(MAX($BB$2:$BB$252)-MIN($BB$2:$BB$252)=0,"",(BB143-MIN($BB$2:$BB$252))/(MAX($BB$2:$BB$252)-MIN($BB$2:$BB$252))*100))</x:f>
      </x:c>
      <x:c r="BD143">
        <x:f>IF(L143="","",LOG10(L143+1))</x:f>
      </x:c>
      <x:c r="BE143" s="10">
        <x:f>IF(BD143="","",IF(MAX($BD$2:$BD$252)-MIN($BD$2:$BD$252)=0,"",(BD143-MIN($BD$2:$BD$252))/(MAX($BD$2:$BD$252)-MIN($BD$2:$BD$252))*100))</x:f>
      </x:c>
      <x:c r="BF143" s="10">
        <x:f>IF(P143="","",IF(MAX($P$2:$P$252)-MIN($P$2:$P$252)=0,"",(P143-MIN($P$2:$P$252))/(MAX($P$2:$P$252)-MIN($P$2:$P$252))*100))</x:f>
      </x:c>
      <x:c r="BG143">
        <x:f>IF(AF143="","",LOG10(AF143+1))</x:f>
      </x:c>
      <x:c r="BH143" s="10">
        <x:f>IF(BG143="","",IF(MAX($BG$2:$BG$252)-MIN($BG$2:$BG$252)=0,"",(BG143-MIN($BG$2:$BG$252))/(MAX($BG$2:$BG$252)-MIN($BG$2:$BG$252))*100))</x:f>
      </x:c>
      <x:c r="BI143">
        <x:f>IF(AC143="","",LOG10(AC143+1))</x:f>
      </x:c>
      <x:c r="BJ143" s="10">
        <x:f>IF(BI143="","",IF(MAX($BI$2:$BI$252)-MIN($BI$2:$BI$252)=0,"",(BI143-MIN($BI$2:$BI$252))/(MAX($BI$2:$BI$252)-MIN($BI$2:$BI$252))*100))</x:f>
      </x:c>
      <x:c r="BK143">
        <x:f>IF(AD143="","",(AD143*2)+(AE143*1))</x:f>
      </x:c>
      <x:c r="BL143" s="10">
        <x:f>IF(BK143="","",IF(MAX($BK$2:$BK$252)-MIN($BK$2:$BK$252)=0,"",(BK143-MIN($BK$2:$BK$252))/(MAX($BK$2:$BK$252)-MIN($BK$2:$BK$252))*100))</x:f>
      </x:c>
      <x:c r="BM143" s="10">
        <x:f>IF(AB143="","",IF(MAX($AB$2:$AB$252)-MIN($AB$2:$AB$252)=0,"",(AB143-MIN($AB$2:$AB$252))/(MAX($AB$2:$AB$252)-MIN($AB$2:$AB$252))*100))</x:f>
      </x:c>
      <x:c r="BN143" s="10">
        <x:f>IF(X143="","",X143)</x:f>
      </x:c>
      <x:c r="BO143" s="10">
        <x:f>IF(X143="","",100-X143)</x:f>
      </x:c>
      <x:c r="BP143" s="10">
        <x:f>IF((Weights!$C$2*IF(BH143="",0,1)+Weights!$C$3*IF(BJ143="",0,1)+Weights!$C$4*IF(BL143="",0,1))=0,"",(Weights!$C$2*IF(BH143="",0,BH143)+Weights!$C$3*IF(BJ143="",0,BJ143)+Weights!$C$4*IF(BL143="",0,BL143))/(Weights!$C$2*IF(BH143="",0,1)+Weights!$C$3*IF(BJ143="",0,1)+Weights!$C$4*IF(BL143="",0,1)))</x:f>
      </x:c>
      <x:c r="BQ143" s="10">
        <x:f>IF((Weights!$C$5*IF(BA143="",0,1)+Weights!$C$6*IF(AW143="",0,1)+Weights!$C$7*IF(AU143="",0,1))=0,"",(Weights!$C$5*IF(BA143="",0,BA143)+Weights!$C$6*IF(AW143="",0,AW143)+Weights!$C$7*IF(AU143="",0,AU143))/(Weights!$C$5*IF(BA143="",0,1)+Weights!$C$6*IF(AW143="",0,1)+Weights!$C$7*IF(AU143="",0,1)))</x:f>
      </x:c>
      <x:c r="BR143" s="10">
        <x:f>IF((Weights!$C$8*IF(AW143="",0,1)+Weights!$C$9*IF(BC143="",0,1)+Weights!$C$10*IF(BF143="",0,1))=0,"",(Weights!$C$8*IF(AW143="",0,AW143)+Weights!$C$9*IF(BC143="",0,BC143)+Weights!$C$10*IF(BF143="",0,BF143))/(Weights!$C$8*IF(AW143="",0,1)+Weights!$C$9*IF(BC143="",0,1)+Weights!$C$10*IF(BF143="",0,1)))</x:f>
      </x:c>
      <x:c r="BS143" s="10">
        <x:f>IF(Y143="","",Y143)</x:f>
      </x:c>
      <x:c r="BT143" s="10">
        <x:f>IF(AS143="","",AS143)</x:f>
      </x:c>
      <x:c r="BU143" s="10">
        <x:f>IF(AJ143&lt;&gt;"",(0.6*AJ143+0.4*AU143),IF((Weights!$C$11*IF(AU143="",0,1)+Weights!$C$12*IF(BM143="",0,1))=0,"",(Weights!$C$11*IF(AU143="",0,AU143)+Weights!$C$12*IF(BM143="",0,BM143))/(Weights!$C$11*IF(AU143="",0,1)+Weights!$C$12*IF(BM143="",0,1))))</x:f>
      </x:c>
      <x:c r="BV143" s="10">
        <x:f>IF(CG143="",0,CG143)</x:f>
      </x:c>
      <x:c r="BW143" s="10">
        <x:f>IF(AP143="","",AP143)</x:f>
      </x:c>
      <x:c r="BX143" s="10">
        <x:f>IF(AO143="","",AO143)</x:f>
      </x:c>
      <x:c r="BY143" s="10">
        <x:f>IF(AL143="","",AL143)</x:f>
      </x:c>
      <x:c r="BZ143" s="10">
        <x:f>IF(AM143="","",AM143)</x:f>
      </x:c>
      <x:c r="CA143" s="10">
        <x:f>IF(AK143&lt;&gt;"",AK143,AW143)</x:f>
      </x:c>
      <x:c r="CB143" s="10">
        <x:f>IF((Weights!$C$13*IF(BP143="",0,1)+Weights!$C$14*IF(BR143="",0,1)+Weights!$C$15*IF(BQ143="",0,1)+Weights!$C$16*IF(BS143="",0,1)+Weights!$C$17*IF(BU143="",0,1)+Weights!$C$18*IF(BT143="",0,1)+Weights!$C$19*IF(BW143="",0,1)+Weights!$C$20*IF(BZ143="",0,1)+Weights!$C$21*IF(BO143="",0,1)+Weights!$C$22)=0,"",(Weights!$C$13*IF(BP143="",0,BP143)+Weights!$C$14*IF(BR143="",0,BR143)+Weights!$C$15*IF(BQ143="",0,BQ143)+Weights!$C$16*IF(BS143="",0,BS143)+Weights!$C$17*IF(BU143="",0,BU143)+Weights!$C$18*IF(BT143="",0,BT143)+Weights!$C$19*IF(BW143="",0,BW143)+Weights!$C$20*IF(BZ143="",0,BZ143)+Weights!$C$21*IF(BO143="",0,BO143)+Weights!$C$22*BV143)/(Weights!$C$13*IF(BP143="",0,1)+Weights!$C$14*IF(BR143="",0,1)+Weights!$C$15*IF(BQ143="",0,1)+Weights!$C$16*IF(BS143="",0,1)+Weights!$C$17*IF(BU143="",0,1)+Weights!$C$18*IF(BT143="",0,1)+Weights!$C$19*IF(BW143="",0,1)+Weights!$C$20*IF(BZ143="",0,1)+Weights!$C$21*IF(BO143="",0,1)+Weights!$C$22))</x:f>
      </x:c>
      <x:c r="CC143" s="10">
        <x:f>IF((Weights!$C$23*IF(BQ143="",0,1)+Weights!$C$24*IF(BN143="",0,1)+Weights!$C$25*IF(BS143="",0,1)+Weights!$C$26*IF(BY143="",0,1)+Weights!$C$27*IF(BX143="",0,1)+Weights!$C$28*IF(BT143="",0,1)+Weights!$C$29*IF(CA143="",0,1)+Weights!$C$30+Weights!$C$31*IF(BU143="",0,1))=0,"",(Weights!$C$23*IF(BQ143="",0,BQ143)+Weights!$C$24*IF(BN143="",0,BN143)+Weights!$C$25*IF(BS143="",0,BS143)+Weights!$C$26*IF(BY143="",0,BY143)+Weights!$C$27*IF(BX143="",0,BX143)+Weights!$C$28*IF(BT143="",0,BT143)+Weights!$C$29*IF(CA143="",0,CA143)+Weights!$C$30*BV143+Weights!$C$31*IF(BU143="",0,BU143))/(Weights!$C$23*IF(BQ143="",0,1)+Weights!$C$24*IF(BN143="",0,1)+Weights!$C$25*IF(BS143="",0,1)+Weights!$C$26*IF(BY143="",0,1)+Weights!$C$27*IF(BX143="",0,1)+Weights!$C$28*IF(BT143="",0,1)+Weights!$C$29*IF(CA143="",0,1)+Weights!$C$30+Weights!$C$31*IF(BU143="",0,1)))</x:f>
      </x:c>
      <x:c r="CD143" s="10">
        <x:f>IF(AND(CB143="",CC143=""),"",IF(CB143="",CC143,IF(CC143="",CB143,AVERAGE(CB143,CC143))))</x:f>
      </x:c>
      <x:c r="CE143" s="7">
        <x:f>ROUND(100*((IF(BP143&lt;&gt;"",1,0)+IF(BQ143&lt;&gt;"",1,0)+IF(BR143&lt;&gt;"",1,0)+IF(BS143&lt;&gt;"",1,0)+IF(BU143&lt;&gt;"",1,0)+IF(BT143&lt;&gt;"",1,0)+IF(BN143&lt;&gt;"",1,0)+IF(AW143&lt;&gt;"",1,0))/8),0)</x:f>
      </x:c>
      <x:c r="CF143">
        <x:f>IF(V143="","",LOG10(V143+1))</x:f>
      </x:c>
      <x:c r="CG143">
        <x:f>IF(CF143="","",IF(MAX($CF$2:$CF$252)-MIN($CF$2:$CF$252)=0,"",(CF143-MIN($CF$2:$CF$252))/(MAX($CF$2:$CF$252)-MIN($CF$2:$CF$252))*100))</x:f>
      </x:c>
    </x:row>
    <x:row r="144">
      <x:c r="A144" t="inlineStr">
        <x:is>
          <x:t xml:space="preserve">EST</x:t>
        </x:is>
      </x:c>
      <x:c r="B144" t="inlineStr">
        <x:is>
          <x:t xml:space="preserve">Estonia</x:t>
        </x:is>
      </x:c>
      <x:c r="C144" t="inlineStr">
        <x:is>
          <x:t xml:space="preserve">Europe &amp; Central Asia</x:t>
        </x:is>
      </x:c>
      <x:c r="D144" t="inlineStr">
        <x:is>
          <x:t xml:space="preserve">High income</x:t>
        </x:is>
      </x:c>
      <x:c r="E144" t="inlineStr">
        <x:is>
          <x:t xml:space="preserve">Europe</x:t>
        </x:is>
      </x:c>
      <x:c r="F144" t="n">
        <x:v>2024</x:v>
      </x:c>
      <x:c r="G144" t="n">
        <x:v>1372341</x:v>
      </x:c>
      <x:c r="H144" t="n">
        <x:v>2020</x:v>
      </x:c>
      <x:c r="I144" t="n">
        <x:v>7000</x:v>
      </x:c>
      <x:c r="J144" t="n">
        <x:v>4550</x:v>
      </x:c>
      <x:c r="K144" t="n">
        <x:v>1400</x:v>
      </x:c>
      <x:c r="L144" t="n">
        <x:v>840</x:v>
      </x:c>
      <x:c r="M144" t="n">
        <x:v>2024</x:v>
      </x:c>
      <x:c r="N144" s="8" t="n">
        <x:v>1441919732.77431</x:v>
      </x:c>
      <x:c r="O144" s="9" t="n">
        <x:v>3.37400221824601</x:v>
      </x:c>
      <x:c r="P144" s="8" t="n">
        <x:v>205988.5332534729</x:v>
      </x:c>
      <x:c r="Q144" t="n">
        <x:v>2024</x:v>
      </x:c>
      <x:c r="R144" s="8" t="n">
        <x:v>43130419829.35</x:v>
      </x:c>
      <x:c r="S144" t="n">
        <x:v>1</x:v>
      </x:c>
      <x:c r="T144" t="n">
        <x:v>0</x:v>
      </x:c>
      <x:c r="U144" t="inlineStr">
        <x:is>
          <x:t xml:space="preserve">No</x:t>
        </x:is>
      </x:c>
      <x:c r="W144" t="inlineStr">
        <x:is>
          <x:t xml:space="preserve">No</x:t>
        </x:is>
      </x:c>
      <x:c r="X144" t="n">
        <x:v>7.953677000314843</x:v>
      </x:c>
      <x:c r="Y144" t="n">
        <x:v>65.13792507209286</x:v>
      </x:c>
      <x:c r="Z144" t="n">
        <x:v>44678.19680861716</x:v>
      </x:c>
      <x:c r="AA144" t="n">
        <x:v>28.01323888162392</x:v>
      </x:c>
      <x:c r="AB144" s="8" t="n">
        <x:v>30920.89125673848</x:v>
      </x:c>
      <x:c r="AC144" t="n">
        <x:v>10</x:v>
      </x:c>
      <x:c r="AD144" t="n">
        <x:v>0</x:v>
      </x:c>
      <x:c r="AE144" t="n">
        <x:v>0</x:v>
      </x:c>
      <x:c r="AR144">
        <x:f>IF(G144="","",LOG10(G144+1))</x:f>
      </x:c>
      <x:c r="AS144" s="10">
        <x:f>IF(AR144="","",IF(MAX($AR$2:$AR$252)-MIN($AR$2:$AR$252)=0,"",(AR144-MIN($AR$2:$AR$252))/(MAX($AR$2:$AR$252)-MIN($AR$2:$AR$252))*100))</x:f>
      </x:c>
      <x:c r="AT144">
        <x:f>IF(R144="","",LOG10(R144+1))</x:f>
      </x:c>
      <x:c r="AU144" s="10">
        <x:f>IF(AT144="","",IF(MAX($AT$2:$AT$252)-MIN($AT$2:$AT$252)=0,"",(AT144-MIN($AT$2:$AT$252))/(MAX($AT$2:$AT$252)-MIN($AT$2:$AT$252))*100))</x:f>
      </x:c>
      <x:c r="AV144">
        <x:f>IF(N144="","",LOG10(N144+1))</x:f>
      </x:c>
      <x:c r="AW144" s="10">
        <x:f>IF(AV144="","",IF(MAX($AV$2:$AV$252)-MIN($AV$2:$AV$252)=0,"",(AV144-MIN($AV$2:$AV$252))/(MAX($AV$2:$AV$252)-MIN($AV$2:$AV$252))*100))</x:f>
      </x:c>
      <x:c r="AX144">
        <x:f>IF(I144="","",LOG10(I144+1))</x:f>
      </x:c>
      <x:c r="AY144" s="10">
        <x:f>IF(AX144="","",IF(MAX($AX$2:$AX$252)-MIN($AX$2:$AX$252)=0,"",(AX144-MIN($AX$2:$AX$252))/(MAX($AX$2:$AX$252)-MIN($AX$2:$AX$252))*100))</x:f>
      </x:c>
      <x:c r="AZ144">
        <x:f>IF(J144="","",LOG10(J144+1))</x:f>
      </x:c>
      <x:c r="BA144" s="10">
        <x:f>IF(AZ144="","",IF(MAX($AZ$2:$AZ$252)-MIN($AZ$2:$AZ$252)=0,"",(AZ144-MIN($AZ$2:$AZ$252))/(MAX($AZ$2:$AZ$252)-MIN($AZ$2:$AZ$252))*100))</x:f>
      </x:c>
      <x:c r="BB144">
        <x:f>IF(K144="","",LOG10(K144+1))</x:f>
      </x:c>
      <x:c r="BC144" s="10">
        <x:f>IF(BB144="","",IF(MAX($BB$2:$BB$252)-MIN($BB$2:$BB$252)=0,"",(BB144-MIN($BB$2:$BB$252))/(MAX($BB$2:$BB$252)-MIN($BB$2:$BB$252))*100))</x:f>
      </x:c>
      <x:c r="BD144">
        <x:f>IF(L144="","",LOG10(L144+1))</x:f>
      </x:c>
      <x:c r="BE144" s="10">
        <x:f>IF(BD144="","",IF(MAX($BD$2:$BD$252)-MIN($BD$2:$BD$252)=0,"",(BD144-MIN($BD$2:$BD$252))/(MAX($BD$2:$BD$252)-MIN($BD$2:$BD$252))*100))</x:f>
      </x:c>
      <x:c r="BF144" s="10">
        <x:f>IF(P144="","",IF(MAX($P$2:$P$252)-MIN($P$2:$P$252)=0,"",(P144-MIN($P$2:$P$252))/(MAX($P$2:$P$252)-MIN($P$2:$P$252))*100))</x:f>
      </x:c>
      <x:c r="BG144">
        <x:f>IF(AF144="","",LOG10(AF144+1))</x:f>
      </x:c>
      <x:c r="BH144" s="10">
        <x:f>IF(BG144="","",IF(MAX($BG$2:$BG$252)-MIN($BG$2:$BG$252)=0,"",(BG144-MIN($BG$2:$BG$252))/(MAX($BG$2:$BG$252)-MIN($BG$2:$BG$252))*100))</x:f>
      </x:c>
      <x:c r="BI144">
        <x:f>IF(AC144="","",LOG10(AC144+1))</x:f>
      </x:c>
      <x:c r="BJ144" s="10">
        <x:f>IF(BI144="","",IF(MAX($BI$2:$BI$252)-MIN($BI$2:$BI$252)=0,"",(BI144-MIN($BI$2:$BI$252))/(MAX($BI$2:$BI$252)-MIN($BI$2:$BI$252))*100))</x:f>
      </x:c>
      <x:c r="BK144">
        <x:f>IF(AD144="","",(AD144*2)+(AE144*1))</x:f>
      </x:c>
      <x:c r="BL144" s="10">
        <x:f>IF(BK144="","",IF(MAX($BK$2:$BK$252)-MIN($BK$2:$BK$252)=0,"",(BK144-MIN($BK$2:$BK$252))/(MAX($BK$2:$BK$252)-MIN($BK$2:$BK$252))*100))</x:f>
      </x:c>
      <x:c r="BM144" s="10">
        <x:f>IF(AB144="","",IF(MAX($AB$2:$AB$252)-MIN($AB$2:$AB$252)=0,"",(AB144-MIN($AB$2:$AB$252))/(MAX($AB$2:$AB$252)-MIN($AB$2:$AB$252))*100))</x:f>
      </x:c>
      <x:c r="BN144" s="10">
        <x:f>IF(X144="","",X144)</x:f>
      </x:c>
      <x:c r="BO144" s="10">
        <x:f>IF(X144="","",100-X144)</x:f>
      </x:c>
      <x:c r="BP144" s="10">
        <x:f>IF((Weights!$C$2*IF(BH144="",0,1)+Weights!$C$3*IF(BJ144="",0,1)+Weights!$C$4*IF(BL144="",0,1))=0,"",(Weights!$C$2*IF(BH144="",0,BH144)+Weights!$C$3*IF(BJ144="",0,BJ144)+Weights!$C$4*IF(BL144="",0,BL144))/(Weights!$C$2*IF(BH144="",0,1)+Weights!$C$3*IF(BJ144="",0,1)+Weights!$C$4*IF(BL144="",0,1)))</x:f>
      </x:c>
      <x:c r="BQ144" s="10">
        <x:f>IF((Weights!$C$5*IF(BA144="",0,1)+Weights!$C$6*IF(AW144="",0,1)+Weights!$C$7*IF(AU144="",0,1))=0,"",(Weights!$C$5*IF(BA144="",0,BA144)+Weights!$C$6*IF(AW144="",0,AW144)+Weights!$C$7*IF(AU144="",0,AU144))/(Weights!$C$5*IF(BA144="",0,1)+Weights!$C$6*IF(AW144="",0,1)+Weights!$C$7*IF(AU144="",0,1)))</x:f>
      </x:c>
      <x:c r="BR144" s="10">
        <x:f>IF((Weights!$C$8*IF(AW144="",0,1)+Weights!$C$9*IF(BC144="",0,1)+Weights!$C$10*IF(BF144="",0,1))=0,"",(Weights!$C$8*IF(AW144="",0,AW144)+Weights!$C$9*IF(BC144="",0,BC144)+Weights!$C$10*IF(BF144="",0,BF144))/(Weights!$C$8*IF(AW144="",0,1)+Weights!$C$9*IF(BC144="",0,1)+Weights!$C$10*IF(BF144="",0,1)))</x:f>
      </x:c>
      <x:c r="BS144" s="10">
        <x:f>IF(Y144="","",Y144)</x:f>
      </x:c>
      <x:c r="BT144" s="10">
        <x:f>IF(AS144="","",AS144)</x:f>
      </x:c>
      <x:c r="BU144" s="10">
        <x:f>IF(AJ144&lt;&gt;"",(0.6*AJ144+0.4*AU144),IF((Weights!$C$11*IF(AU144="",0,1)+Weights!$C$12*IF(BM144="",0,1))=0,"",(Weights!$C$11*IF(AU144="",0,AU144)+Weights!$C$12*IF(BM144="",0,BM144))/(Weights!$C$11*IF(AU144="",0,1)+Weights!$C$12*IF(BM144="",0,1))))</x:f>
      </x:c>
      <x:c r="BV144" s="10">
        <x:f>IF(CG144="",0,CG144)</x:f>
      </x:c>
      <x:c r="BW144" s="10">
        <x:f>IF(AP144="","",AP144)</x:f>
      </x:c>
      <x:c r="BX144" s="10">
        <x:f>IF(AO144="","",AO144)</x:f>
      </x:c>
      <x:c r="BY144" s="10">
        <x:f>IF(AL144="","",AL144)</x:f>
      </x:c>
      <x:c r="BZ144" s="10">
        <x:f>IF(AM144="","",AM144)</x:f>
      </x:c>
      <x:c r="CA144" s="10">
        <x:f>IF(AK144&lt;&gt;"",AK144,AW144)</x:f>
      </x:c>
      <x:c r="CB144" s="10">
        <x:f>IF((Weights!$C$13*IF(BP144="",0,1)+Weights!$C$14*IF(BR144="",0,1)+Weights!$C$15*IF(BQ144="",0,1)+Weights!$C$16*IF(BS144="",0,1)+Weights!$C$17*IF(BU144="",0,1)+Weights!$C$18*IF(BT144="",0,1)+Weights!$C$19*IF(BW144="",0,1)+Weights!$C$20*IF(BZ144="",0,1)+Weights!$C$21*IF(BO144="",0,1)+Weights!$C$22)=0,"",(Weights!$C$13*IF(BP144="",0,BP144)+Weights!$C$14*IF(BR144="",0,BR144)+Weights!$C$15*IF(BQ144="",0,BQ144)+Weights!$C$16*IF(BS144="",0,BS144)+Weights!$C$17*IF(BU144="",0,BU144)+Weights!$C$18*IF(BT144="",0,BT144)+Weights!$C$19*IF(BW144="",0,BW144)+Weights!$C$20*IF(BZ144="",0,BZ144)+Weights!$C$21*IF(BO144="",0,BO144)+Weights!$C$22*BV144)/(Weights!$C$13*IF(BP144="",0,1)+Weights!$C$14*IF(BR144="",0,1)+Weights!$C$15*IF(BQ144="",0,1)+Weights!$C$16*IF(BS144="",0,1)+Weights!$C$17*IF(BU144="",0,1)+Weights!$C$18*IF(BT144="",0,1)+Weights!$C$19*IF(BW144="",0,1)+Weights!$C$20*IF(BZ144="",0,1)+Weights!$C$21*IF(BO144="",0,1)+Weights!$C$22))</x:f>
      </x:c>
      <x:c r="CC144" s="10">
        <x:f>IF((Weights!$C$23*IF(BQ144="",0,1)+Weights!$C$24*IF(BN144="",0,1)+Weights!$C$25*IF(BS144="",0,1)+Weights!$C$26*IF(BY144="",0,1)+Weights!$C$27*IF(BX144="",0,1)+Weights!$C$28*IF(BT144="",0,1)+Weights!$C$29*IF(CA144="",0,1)+Weights!$C$30+Weights!$C$31*IF(BU144="",0,1))=0,"",(Weights!$C$23*IF(BQ144="",0,BQ144)+Weights!$C$24*IF(BN144="",0,BN144)+Weights!$C$25*IF(BS144="",0,BS144)+Weights!$C$26*IF(BY144="",0,BY144)+Weights!$C$27*IF(BX144="",0,BX144)+Weights!$C$28*IF(BT144="",0,BT144)+Weights!$C$29*IF(CA144="",0,CA144)+Weights!$C$30*BV144+Weights!$C$31*IF(BU144="",0,BU144))/(Weights!$C$23*IF(BQ144="",0,1)+Weights!$C$24*IF(BN144="",0,1)+Weights!$C$25*IF(BS144="",0,1)+Weights!$C$26*IF(BY144="",0,1)+Weights!$C$27*IF(BX144="",0,1)+Weights!$C$28*IF(BT144="",0,1)+Weights!$C$29*IF(CA144="",0,1)+Weights!$C$30+Weights!$C$31*IF(BU144="",0,1)))</x:f>
      </x:c>
      <x:c r="CD144" s="10">
        <x:f>IF(AND(CB144="",CC144=""),"",IF(CB144="",CC144,IF(CC144="",CB144,AVERAGE(CB144,CC144))))</x:f>
      </x:c>
      <x:c r="CE144" s="7">
        <x:f>ROUND(100*((IF(BP144&lt;&gt;"",1,0)+IF(BQ144&lt;&gt;"",1,0)+IF(BR144&lt;&gt;"",1,0)+IF(BS144&lt;&gt;"",1,0)+IF(BU144&lt;&gt;"",1,0)+IF(BT144&lt;&gt;"",1,0)+IF(BN144&lt;&gt;"",1,0)+IF(AW144&lt;&gt;"",1,0))/8),0)</x:f>
      </x:c>
      <x:c r="CF144">
        <x:f>IF(V144="","",LOG10(V144+1))</x:f>
      </x:c>
      <x:c r="CG144">
        <x:f>IF(CF144="","",IF(MAX($CF$2:$CF$252)-MIN($CF$2:$CF$252)=0,"",(CF144-MIN($CF$2:$CF$252))/(MAX($CF$2:$CF$252)-MIN($CF$2:$CF$252))*100))</x:f>
      </x:c>
    </x:row>
    <x:row r="145">
      <x:c r="A145" t="inlineStr">
        <x:is>
          <x:t xml:space="preserve">FJI</x:t>
        </x:is>
      </x:c>
      <x:c r="B145" t="inlineStr">
        <x:is>
          <x:t xml:space="preserve">Fiji</x:t>
        </x:is>
      </x:c>
      <x:c r="C145" t="inlineStr">
        <x:is>
          <x:t xml:space="preserve">East Asia &amp; Pacific</x:t>
        </x:is>
      </x:c>
      <x:c r="D145" t="inlineStr">
        <x:is>
          <x:t xml:space="preserve">Upper middle income</x:t>
        </x:is>
      </x:c>
      <x:c r="E145" t="inlineStr">
        <x:is>
          <x:t xml:space="preserve">Oceania</x:t>
        </x:is>
      </x:c>
      <x:c r="F145" t="n">
        <x:v>2024</x:v>
      </x:c>
      <x:c r="G145" t="n">
        <x:v>928784</x:v>
      </x:c>
      <x:c r="H145" t="n">
        <x:v>2020</x:v>
      </x:c>
      <x:c r="I145" t="n">
        <x:v>4000</x:v>
      </x:c>
      <x:c r="J145" t="n">
        <x:v>2600</x:v>
      </x:c>
      <x:c r="K145" t="n">
        <x:v>800</x:v>
      </x:c>
      <x:c r="L145" t="n">
        <x:v>480</x:v>
      </x:c>
      <x:c r="M145" t="n">
        <x:v>2024</x:v>
      </x:c>
      <x:c r="N145" s="8" t="n">
        <x:v>77638335.6893706</x:v>
      </x:c>
      <x:c r="O145" s="9" t="n">
        <x:v>1.3128793789726</x:v>
      </x:c>
      <x:c r="P145" s="8" t="n">
        <x:v>19409.58392234265</x:v>
      </x:c>
      <x:c r="Q145" t="n">
        <x:v>2024</x:v>
      </x:c>
      <x:c r="R145" s="8" t="n">
        <x:v>5968125909.27126</x:v>
      </x:c>
      <x:c r="S145" t="n">
        <x:v>0</x:v>
      </x:c>
      <x:c r="T145" t="n">
        <x:v>0</x:v>
      </x:c>
      <x:c r="U145" t="inlineStr">
        <x:is>
          <x:t xml:space="preserve">No</x:t>
        </x:is>
      </x:c>
      <x:c r="W145" t="inlineStr">
        <x:is>
          <x:t xml:space="preserve">No</x:t>
        </x:is>
      </x:c>
      <x:c r="X145" t="n">
        <x:v>39.30050356410524</x:v>
      </x:c>
      <x:c r="Y145" t="n">
        <x:v>50.47081134944869</x:v>
      </x:c>
      <x:c r="Z145" t="n">
        <x:v>19289.97073297653</x:v>
      </x:c>
      <x:c r="AA145" t="n">
        <x:v>47.74180390152904</x:v>
      </x:c>
      <x:c r="AB145" s="8" t="n">
        <x:v>9092.903105312193</x:v>
      </x:c>
      <x:c r="AR145">
        <x:f>IF(G145="","",LOG10(G145+1))</x:f>
      </x:c>
      <x:c r="AS145" s="10">
        <x:f>IF(AR145="","",IF(MAX($AR$2:$AR$252)-MIN($AR$2:$AR$252)=0,"",(AR145-MIN($AR$2:$AR$252))/(MAX($AR$2:$AR$252)-MIN($AR$2:$AR$252))*100))</x:f>
      </x:c>
      <x:c r="AT145">
        <x:f>IF(R145="","",LOG10(R145+1))</x:f>
      </x:c>
      <x:c r="AU145" s="10">
        <x:f>IF(AT145="","",IF(MAX($AT$2:$AT$252)-MIN($AT$2:$AT$252)=0,"",(AT145-MIN($AT$2:$AT$252))/(MAX($AT$2:$AT$252)-MIN($AT$2:$AT$252))*100))</x:f>
      </x:c>
      <x:c r="AV145">
        <x:f>IF(N145="","",LOG10(N145+1))</x:f>
      </x:c>
      <x:c r="AW145" s="10">
        <x:f>IF(AV145="","",IF(MAX($AV$2:$AV$252)-MIN($AV$2:$AV$252)=0,"",(AV145-MIN($AV$2:$AV$252))/(MAX($AV$2:$AV$252)-MIN($AV$2:$AV$252))*100))</x:f>
      </x:c>
      <x:c r="AX145">
        <x:f>IF(I145="","",LOG10(I145+1))</x:f>
      </x:c>
      <x:c r="AY145" s="10">
        <x:f>IF(AX145="","",IF(MAX($AX$2:$AX$252)-MIN($AX$2:$AX$252)=0,"",(AX145-MIN($AX$2:$AX$252))/(MAX($AX$2:$AX$252)-MIN($AX$2:$AX$252))*100))</x:f>
      </x:c>
      <x:c r="AZ145">
        <x:f>IF(J145="","",LOG10(J145+1))</x:f>
      </x:c>
      <x:c r="BA145" s="10">
        <x:f>IF(AZ145="","",IF(MAX($AZ$2:$AZ$252)-MIN($AZ$2:$AZ$252)=0,"",(AZ145-MIN($AZ$2:$AZ$252))/(MAX($AZ$2:$AZ$252)-MIN($AZ$2:$AZ$252))*100))</x:f>
      </x:c>
      <x:c r="BB145">
        <x:f>IF(K145="","",LOG10(K145+1))</x:f>
      </x:c>
      <x:c r="BC145" s="10">
        <x:f>IF(BB145="","",IF(MAX($BB$2:$BB$252)-MIN($BB$2:$BB$252)=0,"",(BB145-MIN($BB$2:$BB$252))/(MAX($BB$2:$BB$252)-MIN($BB$2:$BB$252))*100))</x:f>
      </x:c>
      <x:c r="BD145">
        <x:f>IF(L145="","",LOG10(L145+1))</x:f>
      </x:c>
      <x:c r="BE145" s="10">
        <x:f>IF(BD145="","",IF(MAX($BD$2:$BD$252)-MIN($BD$2:$BD$252)=0,"",(BD145-MIN($BD$2:$BD$252))/(MAX($BD$2:$BD$252)-MIN($BD$2:$BD$252))*100))</x:f>
      </x:c>
      <x:c r="BF145" s="10">
        <x:f>IF(P145="","",IF(MAX($P$2:$P$252)-MIN($P$2:$P$252)=0,"",(P145-MIN($P$2:$P$252))/(MAX($P$2:$P$252)-MIN($P$2:$P$252))*100))</x:f>
      </x:c>
      <x:c r="BG145">
        <x:f>IF(AF145="","",LOG10(AF145+1))</x:f>
      </x:c>
      <x:c r="BH145" s="10">
        <x:f>IF(BG145="","",IF(MAX($BG$2:$BG$252)-MIN($BG$2:$BG$252)=0,"",(BG145-MIN($BG$2:$BG$252))/(MAX($BG$2:$BG$252)-MIN($BG$2:$BG$252))*100))</x:f>
      </x:c>
      <x:c r="BI145">
        <x:f>IF(AC145="","",LOG10(AC145+1))</x:f>
      </x:c>
      <x:c r="BJ145" s="10">
        <x:f>IF(BI145="","",IF(MAX($BI$2:$BI$252)-MIN($BI$2:$BI$252)=0,"",(BI145-MIN($BI$2:$BI$252))/(MAX($BI$2:$BI$252)-MIN($BI$2:$BI$252))*100))</x:f>
      </x:c>
      <x:c r="BK145">
        <x:f>IF(AD145="","",(AD145*2)+(AE145*1))</x:f>
      </x:c>
      <x:c r="BL145" s="10">
        <x:f>IF(BK145="","",IF(MAX($BK$2:$BK$252)-MIN($BK$2:$BK$252)=0,"",(BK145-MIN($BK$2:$BK$252))/(MAX($BK$2:$BK$252)-MIN($BK$2:$BK$252))*100))</x:f>
      </x:c>
      <x:c r="BM145" s="10">
        <x:f>IF(AB145="","",IF(MAX($AB$2:$AB$252)-MIN($AB$2:$AB$252)=0,"",(AB145-MIN($AB$2:$AB$252))/(MAX($AB$2:$AB$252)-MIN($AB$2:$AB$252))*100))</x:f>
      </x:c>
      <x:c r="BN145" s="10">
        <x:f>IF(X145="","",X145)</x:f>
      </x:c>
      <x:c r="BO145" s="10">
        <x:f>IF(X145="","",100-X145)</x:f>
      </x:c>
      <x:c r="BP145" s="10">
        <x:f>IF((Weights!$C$2*IF(BH145="",0,1)+Weights!$C$3*IF(BJ145="",0,1)+Weights!$C$4*IF(BL145="",0,1))=0,"",(Weights!$C$2*IF(BH145="",0,BH145)+Weights!$C$3*IF(BJ145="",0,BJ145)+Weights!$C$4*IF(BL145="",0,BL145))/(Weights!$C$2*IF(BH145="",0,1)+Weights!$C$3*IF(BJ145="",0,1)+Weights!$C$4*IF(BL145="",0,1)))</x:f>
      </x:c>
      <x:c r="BQ145" s="10">
        <x:f>IF((Weights!$C$5*IF(BA145="",0,1)+Weights!$C$6*IF(AW145="",0,1)+Weights!$C$7*IF(AU145="",0,1))=0,"",(Weights!$C$5*IF(BA145="",0,BA145)+Weights!$C$6*IF(AW145="",0,AW145)+Weights!$C$7*IF(AU145="",0,AU145))/(Weights!$C$5*IF(BA145="",0,1)+Weights!$C$6*IF(AW145="",0,1)+Weights!$C$7*IF(AU145="",0,1)))</x:f>
      </x:c>
      <x:c r="BR145" s="10">
        <x:f>IF((Weights!$C$8*IF(AW145="",0,1)+Weights!$C$9*IF(BC145="",0,1)+Weights!$C$10*IF(BF145="",0,1))=0,"",(Weights!$C$8*IF(AW145="",0,AW145)+Weights!$C$9*IF(BC145="",0,BC145)+Weights!$C$10*IF(BF145="",0,BF145))/(Weights!$C$8*IF(AW145="",0,1)+Weights!$C$9*IF(BC145="",0,1)+Weights!$C$10*IF(BF145="",0,1)))</x:f>
      </x:c>
      <x:c r="BS145" s="10">
        <x:f>IF(Y145="","",Y145)</x:f>
      </x:c>
      <x:c r="BT145" s="10">
        <x:f>IF(AS145="","",AS145)</x:f>
      </x:c>
      <x:c r="BU145" s="10">
        <x:f>IF(AJ145&lt;&gt;"",(0.6*AJ145+0.4*AU145),IF((Weights!$C$11*IF(AU145="",0,1)+Weights!$C$12*IF(BM145="",0,1))=0,"",(Weights!$C$11*IF(AU145="",0,AU145)+Weights!$C$12*IF(BM145="",0,BM145))/(Weights!$C$11*IF(AU145="",0,1)+Weights!$C$12*IF(BM145="",0,1))))</x:f>
      </x:c>
      <x:c r="BV145" s="10">
        <x:f>IF(CG145="",0,CG145)</x:f>
      </x:c>
      <x:c r="BW145" s="10">
        <x:f>IF(AP145="","",AP145)</x:f>
      </x:c>
      <x:c r="BX145" s="10">
        <x:f>IF(AO145="","",AO145)</x:f>
      </x:c>
      <x:c r="BY145" s="10">
        <x:f>IF(AL145="","",AL145)</x:f>
      </x:c>
      <x:c r="BZ145" s="10">
        <x:f>IF(AM145="","",AM145)</x:f>
      </x:c>
      <x:c r="CA145" s="10">
        <x:f>IF(AK145&lt;&gt;"",AK145,AW145)</x:f>
      </x:c>
      <x:c r="CB145" s="10">
        <x:f>IF((Weights!$C$13*IF(BP145="",0,1)+Weights!$C$14*IF(BR145="",0,1)+Weights!$C$15*IF(BQ145="",0,1)+Weights!$C$16*IF(BS145="",0,1)+Weights!$C$17*IF(BU145="",0,1)+Weights!$C$18*IF(BT145="",0,1)+Weights!$C$19*IF(BW145="",0,1)+Weights!$C$20*IF(BZ145="",0,1)+Weights!$C$21*IF(BO145="",0,1)+Weights!$C$22)=0,"",(Weights!$C$13*IF(BP145="",0,BP145)+Weights!$C$14*IF(BR145="",0,BR145)+Weights!$C$15*IF(BQ145="",0,BQ145)+Weights!$C$16*IF(BS145="",0,BS145)+Weights!$C$17*IF(BU145="",0,BU145)+Weights!$C$18*IF(BT145="",0,BT145)+Weights!$C$19*IF(BW145="",0,BW145)+Weights!$C$20*IF(BZ145="",0,BZ145)+Weights!$C$21*IF(BO145="",0,BO145)+Weights!$C$22*BV145)/(Weights!$C$13*IF(BP145="",0,1)+Weights!$C$14*IF(BR145="",0,1)+Weights!$C$15*IF(BQ145="",0,1)+Weights!$C$16*IF(BS145="",0,1)+Weights!$C$17*IF(BU145="",0,1)+Weights!$C$18*IF(BT145="",0,1)+Weights!$C$19*IF(BW145="",0,1)+Weights!$C$20*IF(BZ145="",0,1)+Weights!$C$21*IF(BO145="",0,1)+Weights!$C$22))</x:f>
      </x:c>
      <x:c r="CC145" s="10">
        <x:f>IF((Weights!$C$23*IF(BQ145="",0,1)+Weights!$C$24*IF(BN145="",0,1)+Weights!$C$25*IF(BS145="",0,1)+Weights!$C$26*IF(BY145="",0,1)+Weights!$C$27*IF(BX145="",0,1)+Weights!$C$28*IF(BT145="",0,1)+Weights!$C$29*IF(CA145="",0,1)+Weights!$C$30+Weights!$C$31*IF(BU145="",0,1))=0,"",(Weights!$C$23*IF(BQ145="",0,BQ145)+Weights!$C$24*IF(BN145="",0,BN145)+Weights!$C$25*IF(BS145="",0,BS145)+Weights!$C$26*IF(BY145="",0,BY145)+Weights!$C$27*IF(BX145="",0,BX145)+Weights!$C$28*IF(BT145="",0,BT145)+Weights!$C$29*IF(CA145="",0,CA145)+Weights!$C$30*BV145+Weights!$C$31*IF(BU145="",0,BU145))/(Weights!$C$23*IF(BQ145="",0,1)+Weights!$C$24*IF(BN145="",0,1)+Weights!$C$25*IF(BS145="",0,1)+Weights!$C$26*IF(BY145="",0,1)+Weights!$C$27*IF(BX145="",0,1)+Weights!$C$28*IF(BT145="",0,1)+Weights!$C$29*IF(CA145="",0,1)+Weights!$C$30+Weights!$C$31*IF(BU145="",0,1)))</x:f>
      </x:c>
      <x:c r="CD145" s="10">
        <x:f>IF(AND(CB145="",CC145=""),"",IF(CB145="",CC145,IF(CC145="",CB145,AVERAGE(CB145,CC145))))</x:f>
      </x:c>
      <x:c r="CE145" s="7">
        <x:f>ROUND(100*((IF(BP145&lt;&gt;"",1,0)+IF(BQ145&lt;&gt;"",1,0)+IF(BR145&lt;&gt;"",1,0)+IF(BS145&lt;&gt;"",1,0)+IF(BU145&lt;&gt;"",1,0)+IF(BT145&lt;&gt;"",1,0)+IF(BN145&lt;&gt;"",1,0)+IF(AW145&lt;&gt;"",1,0))/8),0)</x:f>
      </x:c>
      <x:c r="CF145">
        <x:f>IF(V145="","",LOG10(V145+1))</x:f>
      </x:c>
      <x:c r="CG145">
        <x:f>IF(CF145="","",IF(MAX($CF$2:$CF$252)-MIN($CF$2:$CF$252)=0,"",(CF145-MIN($CF$2:$CF$252))/(MAX($CF$2:$CF$252)-MIN($CF$2:$CF$252))*100))</x:f>
      </x:c>
    </x:row>
    <x:row r="146">
      <x:c r="A146" t="inlineStr">
        <x:is>
          <x:t xml:space="preserve">FIN</x:t>
        </x:is>
      </x:c>
      <x:c r="B146" t="inlineStr">
        <x:is>
          <x:t xml:space="preserve">Finland</x:t>
        </x:is>
      </x:c>
      <x:c r="C146" t="inlineStr">
        <x:is>
          <x:t xml:space="preserve">Europe &amp; Central Asia</x:t>
        </x:is>
      </x:c>
      <x:c r="D146" t="inlineStr">
        <x:is>
          <x:t xml:space="preserve">High income</x:t>
        </x:is>
      </x:c>
      <x:c r="E146" t="inlineStr">
        <x:is>
          <x:t xml:space="preserve">Europe</x:t>
        </x:is>
      </x:c>
      <x:c r="F146" t="n">
        <x:v>2024</x:v>
      </x:c>
      <x:c r="G146" t="n">
        <x:v>5619911</x:v>
      </x:c>
      <x:c r="H146" t="n">
        <x:v>2020</x:v>
      </x:c>
      <x:c r="I146" t="n">
        <x:v>22000</x:v>
      </x:c>
      <x:c r="J146" t="n">
        <x:v>14300</x:v>
      </x:c>
      <x:c r="K146" t="n">
        <x:v>4400</x:v>
      </x:c>
      <x:c r="L146" t="n">
        <x:v>2640</x:v>
      </x:c>
      <x:c r="M146" t="n">
        <x:v>2024</x:v>
      </x:c>
      <x:c r="N146" s="8" t="n">
        <x:v>6987848067.30834</x:v>
      </x:c>
      <x:c r="O146" s="9" t="n">
        <x:v>2.29979173712597</x:v>
      </x:c>
      <x:c r="P146" s="8" t="n">
        <x:v>317629.4576049246</x:v>
      </x:c>
      <x:c r="Q146" t="n">
        <x:v>2024</x:v>
      </x:c>
      <x:c r="R146" s="8" t="n">
        <x:v>298696961297.656</x:v>
      </x:c>
      <x:c r="S146" t="n">
        <x:v>25</x:v>
      </x:c>
      <x:c r="T146" t="n">
        <x:v>0</x:v>
      </x:c>
      <x:c r="U146" t="inlineStr">
        <x:is>
          <x:t xml:space="preserve">No</x:t>
        </x:is>
      </x:c>
      <x:c r="W146" t="inlineStr">
        <x:is>
          <x:t xml:space="preserve">No</x:t>
        </x:is>
      </x:c>
      <x:c r="X146" t="n">
        <x:v>19.05648463784414</x:v>
      </x:c>
      <x:c r="Y146" t="n">
        <x:v>65.88323425519673</x:v>
      </x:c>
      <x:c r="Z146" t="n">
        <x:v>341242.3388709201</x:v>
      </x:c>
      <x:c r="AA146" t="n">
        <x:v>16.09184258368694</x:v>
      </x:c>
      <x:c r="AB146" s="8" t="n">
        <x:v>40817.35600371357</x:v>
      </x:c>
      <x:c r="AC146" t="n">
        <x:v>246</x:v>
      </x:c>
      <x:c r="AD146" t="n">
        <x:v>0</x:v>
      </x:c>
      <x:c r="AE146" t="n">
        <x:v>0</x:v>
      </x:c>
      <x:c r="AR146">
        <x:f>IF(G146="","",LOG10(G146+1))</x:f>
      </x:c>
      <x:c r="AS146" s="10">
        <x:f>IF(AR146="","",IF(MAX($AR$2:$AR$252)-MIN($AR$2:$AR$252)=0,"",(AR146-MIN($AR$2:$AR$252))/(MAX($AR$2:$AR$252)-MIN($AR$2:$AR$252))*100))</x:f>
      </x:c>
      <x:c r="AT146">
        <x:f>IF(R146="","",LOG10(R146+1))</x:f>
      </x:c>
      <x:c r="AU146" s="10">
        <x:f>IF(AT146="","",IF(MAX($AT$2:$AT$252)-MIN($AT$2:$AT$252)=0,"",(AT146-MIN($AT$2:$AT$252))/(MAX($AT$2:$AT$252)-MIN($AT$2:$AT$252))*100))</x:f>
      </x:c>
      <x:c r="AV146">
        <x:f>IF(N146="","",LOG10(N146+1))</x:f>
      </x:c>
      <x:c r="AW146" s="10">
        <x:f>IF(AV146="","",IF(MAX($AV$2:$AV$252)-MIN($AV$2:$AV$252)=0,"",(AV146-MIN($AV$2:$AV$252))/(MAX($AV$2:$AV$252)-MIN($AV$2:$AV$252))*100))</x:f>
      </x:c>
      <x:c r="AX146">
        <x:f>IF(I146="","",LOG10(I146+1))</x:f>
      </x:c>
      <x:c r="AY146" s="10">
        <x:f>IF(AX146="","",IF(MAX($AX$2:$AX$252)-MIN($AX$2:$AX$252)=0,"",(AX146-MIN($AX$2:$AX$252))/(MAX($AX$2:$AX$252)-MIN($AX$2:$AX$252))*100))</x:f>
      </x:c>
      <x:c r="AZ146">
        <x:f>IF(J146="","",LOG10(J146+1))</x:f>
      </x:c>
      <x:c r="BA146" s="10">
        <x:f>IF(AZ146="","",IF(MAX($AZ$2:$AZ$252)-MIN($AZ$2:$AZ$252)=0,"",(AZ146-MIN($AZ$2:$AZ$252))/(MAX($AZ$2:$AZ$252)-MIN($AZ$2:$AZ$252))*100))</x:f>
      </x:c>
      <x:c r="BB146">
        <x:f>IF(K146="","",LOG10(K146+1))</x:f>
      </x:c>
      <x:c r="BC146" s="10">
        <x:f>IF(BB146="","",IF(MAX($BB$2:$BB$252)-MIN($BB$2:$BB$252)=0,"",(BB146-MIN($BB$2:$BB$252))/(MAX($BB$2:$BB$252)-MIN($BB$2:$BB$252))*100))</x:f>
      </x:c>
      <x:c r="BD146">
        <x:f>IF(L146="","",LOG10(L146+1))</x:f>
      </x:c>
      <x:c r="BE146" s="10">
        <x:f>IF(BD146="","",IF(MAX($BD$2:$BD$252)-MIN($BD$2:$BD$252)=0,"",(BD146-MIN($BD$2:$BD$252))/(MAX($BD$2:$BD$252)-MIN($BD$2:$BD$252))*100))</x:f>
      </x:c>
      <x:c r="BF146" s="10">
        <x:f>IF(P146="","",IF(MAX($P$2:$P$252)-MIN($P$2:$P$252)=0,"",(P146-MIN($P$2:$P$252))/(MAX($P$2:$P$252)-MIN($P$2:$P$252))*100))</x:f>
      </x:c>
      <x:c r="BG146">
        <x:f>IF(AF146="","",LOG10(AF146+1))</x:f>
      </x:c>
      <x:c r="BH146" s="10">
        <x:f>IF(BG146="","",IF(MAX($BG$2:$BG$252)-MIN($BG$2:$BG$252)=0,"",(BG146-MIN($BG$2:$BG$252))/(MAX($BG$2:$BG$252)-MIN($BG$2:$BG$252))*100))</x:f>
      </x:c>
      <x:c r="BI146">
        <x:f>IF(AC146="","",LOG10(AC146+1))</x:f>
      </x:c>
      <x:c r="BJ146" s="10">
        <x:f>IF(BI146="","",IF(MAX($BI$2:$BI$252)-MIN($BI$2:$BI$252)=0,"",(BI146-MIN($BI$2:$BI$252))/(MAX($BI$2:$BI$252)-MIN($BI$2:$BI$252))*100))</x:f>
      </x:c>
      <x:c r="BK146">
        <x:f>IF(AD146="","",(AD146*2)+(AE146*1))</x:f>
      </x:c>
      <x:c r="BL146" s="10">
        <x:f>IF(BK146="","",IF(MAX($BK$2:$BK$252)-MIN($BK$2:$BK$252)=0,"",(BK146-MIN($BK$2:$BK$252))/(MAX($BK$2:$BK$252)-MIN($BK$2:$BK$252))*100))</x:f>
      </x:c>
      <x:c r="BM146" s="10">
        <x:f>IF(AB146="","",IF(MAX($AB$2:$AB$252)-MIN($AB$2:$AB$252)=0,"",(AB146-MIN($AB$2:$AB$252))/(MAX($AB$2:$AB$252)-MIN($AB$2:$AB$252))*100))</x:f>
      </x:c>
      <x:c r="BN146" s="10">
        <x:f>IF(X146="","",X146)</x:f>
      </x:c>
      <x:c r="BO146" s="10">
        <x:f>IF(X146="","",100-X146)</x:f>
      </x:c>
      <x:c r="BP146" s="10">
        <x:f>IF((Weights!$C$2*IF(BH146="",0,1)+Weights!$C$3*IF(BJ146="",0,1)+Weights!$C$4*IF(BL146="",0,1))=0,"",(Weights!$C$2*IF(BH146="",0,BH146)+Weights!$C$3*IF(BJ146="",0,BJ146)+Weights!$C$4*IF(BL146="",0,BL146))/(Weights!$C$2*IF(BH146="",0,1)+Weights!$C$3*IF(BJ146="",0,1)+Weights!$C$4*IF(BL146="",0,1)))</x:f>
      </x:c>
      <x:c r="BQ146" s="10">
        <x:f>IF((Weights!$C$5*IF(BA146="",0,1)+Weights!$C$6*IF(AW146="",0,1)+Weights!$C$7*IF(AU146="",0,1))=0,"",(Weights!$C$5*IF(BA146="",0,BA146)+Weights!$C$6*IF(AW146="",0,AW146)+Weights!$C$7*IF(AU146="",0,AU146))/(Weights!$C$5*IF(BA146="",0,1)+Weights!$C$6*IF(AW146="",0,1)+Weights!$C$7*IF(AU146="",0,1)))</x:f>
      </x:c>
      <x:c r="BR146" s="10">
        <x:f>IF((Weights!$C$8*IF(AW146="",0,1)+Weights!$C$9*IF(BC146="",0,1)+Weights!$C$10*IF(BF146="",0,1))=0,"",(Weights!$C$8*IF(AW146="",0,AW146)+Weights!$C$9*IF(BC146="",0,BC146)+Weights!$C$10*IF(BF146="",0,BF146))/(Weights!$C$8*IF(AW146="",0,1)+Weights!$C$9*IF(BC146="",0,1)+Weights!$C$10*IF(BF146="",0,1)))</x:f>
      </x:c>
      <x:c r="BS146" s="10">
        <x:f>IF(Y146="","",Y146)</x:f>
      </x:c>
      <x:c r="BT146" s="10">
        <x:f>IF(AS146="","",AS146)</x:f>
      </x:c>
      <x:c r="BU146" s="10">
        <x:f>IF(AJ146&lt;&gt;"",(0.6*AJ146+0.4*AU146),IF((Weights!$C$11*IF(AU146="",0,1)+Weights!$C$12*IF(BM146="",0,1))=0,"",(Weights!$C$11*IF(AU146="",0,AU146)+Weights!$C$12*IF(BM146="",0,BM146))/(Weights!$C$11*IF(AU146="",0,1)+Weights!$C$12*IF(BM146="",0,1))))</x:f>
      </x:c>
      <x:c r="BV146" s="10">
        <x:f>IF(CG146="",0,CG146)</x:f>
      </x:c>
      <x:c r="BW146" s="10">
        <x:f>IF(AP146="","",AP146)</x:f>
      </x:c>
      <x:c r="BX146" s="10">
        <x:f>IF(AO146="","",AO146)</x:f>
      </x:c>
      <x:c r="BY146" s="10">
        <x:f>IF(AL146="","",AL146)</x:f>
      </x:c>
      <x:c r="BZ146" s="10">
        <x:f>IF(AM146="","",AM146)</x:f>
      </x:c>
      <x:c r="CA146" s="10">
        <x:f>IF(AK146&lt;&gt;"",AK146,AW146)</x:f>
      </x:c>
      <x:c r="CB146" s="10">
        <x:f>IF((Weights!$C$13*IF(BP146="",0,1)+Weights!$C$14*IF(BR146="",0,1)+Weights!$C$15*IF(BQ146="",0,1)+Weights!$C$16*IF(BS146="",0,1)+Weights!$C$17*IF(BU146="",0,1)+Weights!$C$18*IF(BT146="",0,1)+Weights!$C$19*IF(BW146="",0,1)+Weights!$C$20*IF(BZ146="",0,1)+Weights!$C$21*IF(BO146="",0,1)+Weights!$C$22)=0,"",(Weights!$C$13*IF(BP146="",0,BP146)+Weights!$C$14*IF(BR146="",0,BR146)+Weights!$C$15*IF(BQ146="",0,BQ146)+Weights!$C$16*IF(BS146="",0,BS146)+Weights!$C$17*IF(BU146="",0,BU146)+Weights!$C$18*IF(BT146="",0,BT146)+Weights!$C$19*IF(BW146="",0,BW146)+Weights!$C$20*IF(BZ146="",0,BZ146)+Weights!$C$21*IF(BO146="",0,BO146)+Weights!$C$22*BV146)/(Weights!$C$13*IF(BP146="",0,1)+Weights!$C$14*IF(BR146="",0,1)+Weights!$C$15*IF(BQ146="",0,1)+Weights!$C$16*IF(BS146="",0,1)+Weights!$C$17*IF(BU146="",0,1)+Weights!$C$18*IF(BT146="",0,1)+Weights!$C$19*IF(BW146="",0,1)+Weights!$C$20*IF(BZ146="",0,1)+Weights!$C$21*IF(BO146="",0,1)+Weights!$C$22))</x:f>
      </x:c>
      <x:c r="CC146" s="10">
        <x:f>IF((Weights!$C$23*IF(BQ146="",0,1)+Weights!$C$24*IF(BN146="",0,1)+Weights!$C$25*IF(BS146="",0,1)+Weights!$C$26*IF(BY146="",0,1)+Weights!$C$27*IF(BX146="",0,1)+Weights!$C$28*IF(BT146="",0,1)+Weights!$C$29*IF(CA146="",0,1)+Weights!$C$30+Weights!$C$31*IF(BU146="",0,1))=0,"",(Weights!$C$23*IF(BQ146="",0,BQ146)+Weights!$C$24*IF(BN146="",0,BN146)+Weights!$C$25*IF(BS146="",0,BS146)+Weights!$C$26*IF(BY146="",0,BY146)+Weights!$C$27*IF(BX146="",0,BX146)+Weights!$C$28*IF(BT146="",0,BT146)+Weights!$C$29*IF(CA146="",0,CA146)+Weights!$C$30*BV146+Weights!$C$31*IF(BU146="",0,BU146))/(Weights!$C$23*IF(BQ146="",0,1)+Weights!$C$24*IF(BN146="",0,1)+Weights!$C$25*IF(BS146="",0,1)+Weights!$C$26*IF(BY146="",0,1)+Weights!$C$27*IF(BX146="",0,1)+Weights!$C$28*IF(BT146="",0,1)+Weights!$C$29*IF(CA146="",0,1)+Weights!$C$30+Weights!$C$31*IF(BU146="",0,1)))</x:f>
      </x:c>
      <x:c r="CD146" s="10">
        <x:f>IF(AND(CB146="",CC146=""),"",IF(CB146="",CC146,IF(CC146="",CB146,AVERAGE(CB146,CC146))))</x:f>
      </x:c>
      <x:c r="CE146" s="7">
        <x:f>ROUND(100*((IF(BP146&lt;&gt;"",1,0)+IF(BQ146&lt;&gt;"",1,0)+IF(BR146&lt;&gt;"",1,0)+IF(BS146&lt;&gt;"",1,0)+IF(BU146&lt;&gt;"",1,0)+IF(BT146&lt;&gt;"",1,0)+IF(BN146&lt;&gt;"",1,0)+IF(AW146&lt;&gt;"",1,0))/8),0)</x:f>
      </x:c>
      <x:c r="CF146">
        <x:f>IF(V146="","",LOG10(V146+1))</x:f>
      </x:c>
      <x:c r="CG146">
        <x:f>IF(CF146="","",IF(MAX($CF$2:$CF$252)-MIN($CF$2:$CF$252)=0,"",(CF146-MIN($CF$2:$CF$252))/(MAX($CF$2:$CF$252)-MIN($CF$2:$CF$252))*100))</x:f>
      </x:c>
    </x:row>
    <x:row r="147">
      <x:c r="A147" t="inlineStr">
        <x:is>
          <x:t xml:space="preserve">GHA</x:t>
        </x:is>
      </x:c>
      <x:c r="B147" t="inlineStr">
        <x:is>
          <x:t xml:space="preserve">Ghana</x:t>
        </x:is>
      </x:c>
      <x:c r="C147" t="inlineStr">
        <x:is>
          <x:t xml:space="preserve">Sub-Saharan Africa</x:t>
        </x:is>
      </x:c>
      <x:c r="D147" t="inlineStr">
        <x:is>
          <x:t xml:space="preserve">Lower middle income</x:t>
        </x:is>
      </x:c>
      <x:c r="E147" t="inlineStr">
        <x:is>
          <x:t xml:space="preserve">Africa</x:t>
        </x:is>
      </x:c>
      <x:c r="F147" t="n">
        <x:v>2024</x:v>
      </x:c>
      <x:c r="G147" t="n">
        <x:v>34427414</x:v>
      </x:c>
      <x:c r="H147" t="n">
        <x:v>2020</x:v>
      </x:c>
      <x:c r="I147" t="n">
        <x:v>16000</x:v>
      </x:c>
      <x:c r="J147" t="n">
        <x:v>10400</x:v>
      </x:c>
      <x:c r="K147" t="n">
        <x:v>3200</x:v>
      </x:c>
      <x:c r="L147" t="n">
        <x:v>1920</x:v>
      </x:c>
      <x:c r="M147" t="n">
        <x:v>2024</x:v>
      </x:c>
      <x:c r="N147" s="8" t="n">
        <x:v>268736705.433852</x:v>
      </x:c>
      <x:c r="O147" s="9" t="n">
        <x:v>0.383994182354107</x:v>
      </x:c>
      <x:c r="P147" s="8" t="n">
        <x:v>16796.04408961575</x:v>
      </x:c>
      <x:c r="Q147" t="n">
        <x:v>2024</x:v>
      </x:c>
      <x:c r="R147" s="8" t="n">
        <x:v>82308110386.4641</x:v>
      </x:c>
      <x:c r="S147" t="n">
        <x:v>0</x:v>
      </x:c>
      <x:c r="T147" t="n">
        <x:v>0</x:v>
      </x:c>
      <x:c r="U147" t="inlineStr">
        <x:is>
          <x:t xml:space="preserve">No</x:t>
        </x:is>
      </x:c>
      <x:c r="W147" t="inlineStr">
        <x:is>
          <x:t xml:space="preserve">No</x:t>
        </x:is>
      </x:c>
      <x:c r="X147" t="n">
        <x:v>6.126726077040355</x:v>
      </x:c>
      <x:c r="Y147" t="n">
        <x:v>45.14646006516106</x:v>
      </x:c>
      <x:c r="Z147" t="n">
        <x:v>243473.1202815331</x:v>
      </x:c>
      <x:c r="AA147" t="n">
        <x:v>112.9485011248932</x:v>
      </x:c>
      <x:c r="AB147" s="8" t="n">
        <x:v>4392.739412661649</x:v>
      </x:c>
      <x:c r="AC147" t="n">
        <x:v>27</x:v>
      </x:c>
      <x:c r="AD147" t="n">
        <x:v>0</x:v>
      </x:c>
      <x:c r="AE147" t="n">
        <x:v>0</x:v>
      </x:c>
      <x:c r="AR147">
        <x:f>IF(G147="","",LOG10(G147+1))</x:f>
      </x:c>
      <x:c r="AS147" s="10">
        <x:f>IF(AR147="","",IF(MAX($AR$2:$AR$252)-MIN($AR$2:$AR$252)=0,"",(AR147-MIN($AR$2:$AR$252))/(MAX($AR$2:$AR$252)-MIN($AR$2:$AR$252))*100))</x:f>
      </x:c>
      <x:c r="AT147">
        <x:f>IF(R147="","",LOG10(R147+1))</x:f>
      </x:c>
      <x:c r="AU147" s="10">
        <x:f>IF(AT147="","",IF(MAX($AT$2:$AT$252)-MIN($AT$2:$AT$252)=0,"",(AT147-MIN($AT$2:$AT$252))/(MAX($AT$2:$AT$252)-MIN($AT$2:$AT$252))*100))</x:f>
      </x:c>
      <x:c r="AV147">
        <x:f>IF(N147="","",LOG10(N147+1))</x:f>
      </x:c>
      <x:c r="AW147" s="10">
        <x:f>IF(AV147="","",IF(MAX($AV$2:$AV$252)-MIN($AV$2:$AV$252)=0,"",(AV147-MIN($AV$2:$AV$252))/(MAX($AV$2:$AV$252)-MIN($AV$2:$AV$252))*100))</x:f>
      </x:c>
      <x:c r="AX147">
        <x:f>IF(I147="","",LOG10(I147+1))</x:f>
      </x:c>
      <x:c r="AY147" s="10">
        <x:f>IF(AX147="","",IF(MAX($AX$2:$AX$252)-MIN($AX$2:$AX$252)=0,"",(AX147-MIN($AX$2:$AX$252))/(MAX($AX$2:$AX$252)-MIN($AX$2:$AX$252))*100))</x:f>
      </x:c>
      <x:c r="AZ147">
        <x:f>IF(J147="","",LOG10(J147+1))</x:f>
      </x:c>
      <x:c r="BA147" s="10">
        <x:f>IF(AZ147="","",IF(MAX($AZ$2:$AZ$252)-MIN($AZ$2:$AZ$252)=0,"",(AZ147-MIN($AZ$2:$AZ$252))/(MAX($AZ$2:$AZ$252)-MIN($AZ$2:$AZ$252))*100))</x:f>
      </x:c>
      <x:c r="BB147">
        <x:f>IF(K147="","",LOG10(K147+1))</x:f>
      </x:c>
      <x:c r="BC147" s="10">
        <x:f>IF(BB147="","",IF(MAX($BB$2:$BB$252)-MIN($BB$2:$BB$252)=0,"",(BB147-MIN($BB$2:$BB$252))/(MAX($BB$2:$BB$252)-MIN($BB$2:$BB$252))*100))</x:f>
      </x:c>
      <x:c r="BD147">
        <x:f>IF(L147="","",LOG10(L147+1))</x:f>
      </x:c>
      <x:c r="BE147" s="10">
        <x:f>IF(BD147="","",IF(MAX($BD$2:$BD$252)-MIN($BD$2:$BD$252)=0,"",(BD147-MIN($BD$2:$BD$252))/(MAX($BD$2:$BD$252)-MIN($BD$2:$BD$252))*100))</x:f>
      </x:c>
      <x:c r="BF147" s="10">
        <x:f>IF(P147="","",IF(MAX($P$2:$P$252)-MIN($P$2:$P$252)=0,"",(P147-MIN($P$2:$P$252))/(MAX($P$2:$P$252)-MIN($P$2:$P$252))*100))</x:f>
      </x:c>
      <x:c r="BG147">
        <x:f>IF(AF147="","",LOG10(AF147+1))</x:f>
      </x:c>
      <x:c r="BH147" s="10">
        <x:f>IF(BG147="","",IF(MAX($BG$2:$BG$252)-MIN($BG$2:$BG$252)=0,"",(BG147-MIN($BG$2:$BG$252))/(MAX($BG$2:$BG$252)-MIN($BG$2:$BG$252))*100))</x:f>
      </x:c>
      <x:c r="BI147">
        <x:f>IF(AC147="","",LOG10(AC147+1))</x:f>
      </x:c>
      <x:c r="BJ147" s="10">
        <x:f>IF(BI147="","",IF(MAX($BI$2:$BI$252)-MIN($BI$2:$BI$252)=0,"",(BI147-MIN($BI$2:$BI$252))/(MAX($BI$2:$BI$252)-MIN($BI$2:$BI$252))*100))</x:f>
      </x:c>
      <x:c r="BK147">
        <x:f>IF(AD147="","",(AD147*2)+(AE147*1))</x:f>
      </x:c>
      <x:c r="BL147" s="10">
        <x:f>IF(BK147="","",IF(MAX($BK$2:$BK$252)-MIN($BK$2:$BK$252)=0,"",(BK147-MIN($BK$2:$BK$252))/(MAX($BK$2:$BK$252)-MIN($BK$2:$BK$252))*100))</x:f>
      </x:c>
      <x:c r="BM147" s="10">
        <x:f>IF(AB147="","",IF(MAX($AB$2:$AB$252)-MIN($AB$2:$AB$252)=0,"",(AB147-MIN($AB$2:$AB$252))/(MAX($AB$2:$AB$252)-MIN($AB$2:$AB$252))*100))</x:f>
      </x:c>
      <x:c r="BN147" s="10">
        <x:f>IF(X147="","",X147)</x:f>
      </x:c>
      <x:c r="BO147" s="10">
        <x:f>IF(X147="","",100-X147)</x:f>
      </x:c>
      <x:c r="BP147" s="10">
        <x:f>IF((Weights!$C$2*IF(BH147="",0,1)+Weights!$C$3*IF(BJ147="",0,1)+Weights!$C$4*IF(BL147="",0,1))=0,"",(Weights!$C$2*IF(BH147="",0,BH147)+Weights!$C$3*IF(BJ147="",0,BJ147)+Weights!$C$4*IF(BL147="",0,BL147))/(Weights!$C$2*IF(BH147="",0,1)+Weights!$C$3*IF(BJ147="",0,1)+Weights!$C$4*IF(BL147="",0,1)))</x:f>
      </x:c>
      <x:c r="BQ147" s="10">
        <x:f>IF((Weights!$C$5*IF(BA147="",0,1)+Weights!$C$6*IF(AW147="",0,1)+Weights!$C$7*IF(AU147="",0,1))=0,"",(Weights!$C$5*IF(BA147="",0,BA147)+Weights!$C$6*IF(AW147="",0,AW147)+Weights!$C$7*IF(AU147="",0,AU147))/(Weights!$C$5*IF(BA147="",0,1)+Weights!$C$6*IF(AW147="",0,1)+Weights!$C$7*IF(AU147="",0,1)))</x:f>
      </x:c>
      <x:c r="BR147" s="10">
        <x:f>IF((Weights!$C$8*IF(AW147="",0,1)+Weights!$C$9*IF(BC147="",0,1)+Weights!$C$10*IF(BF147="",0,1))=0,"",(Weights!$C$8*IF(AW147="",0,AW147)+Weights!$C$9*IF(BC147="",0,BC147)+Weights!$C$10*IF(BF147="",0,BF147))/(Weights!$C$8*IF(AW147="",0,1)+Weights!$C$9*IF(BC147="",0,1)+Weights!$C$10*IF(BF147="",0,1)))</x:f>
      </x:c>
      <x:c r="BS147" s="10">
        <x:f>IF(Y147="","",Y147)</x:f>
      </x:c>
      <x:c r="BT147" s="10">
        <x:f>IF(AS147="","",AS147)</x:f>
      </x:c>
      <x:c r="BU147" s="10">
        <x:f>IF(AJ147&lt;&gt;"",(0.6*AJ147+0.4*AU147),IF((Weights!$C$11*IF(AU147="",0,1)+Weights!$C$12*IF(BM147="",0,1))=0,"",(Weights!$C$11*IF(AU147="",0,AU147)+Weights!$C$12*IF(BM147="",0,BM147))/(Weights!$C$11*IF(AU147="",0,1)+Weights!$C$12*IF(BM147="",0,1))))</x:f>
      </x:c>
      <x:c r="BV147" s="10">
        <x:f>IF(CG147="",0,CG147)</x:f>
      </x:c>
      <x:c r="BW147" s="10">
        <x:f>IF(AP147="","",AP147)</x:f>
      </x:c>
      <x:c r="BX147" s="10">
        <x:f>IF(AO147="","",AO147)</x:f>
      </x:c>
      <x:c r="BY147" s="10">
        <x:f>IF(AL147="","",AL147)</x:f>
      </x:c>
      <x:c r="BZ147" s="10">
        <x:f>IF(AM147="","",AM147)</x:f>
      </x:c>
      <x:c r="CA147" s="10">
        <x:f>IF(AK147&lt;&gt;"",AK147,AW147)</x:f>
      </x:c>
      <x:c r="CB147" s="10">
        <x:f>IF((Weights!$C$13*IF(BP147="",0,1)+Weights!$C$14*IF(BR147="",0,1)+Weights!$C$15*IF(BQ147="",0,1)+Weights!$C$16*IF(BS147="",0,1)+Weights!$C$17*IF(BU147="",0,1)+Weights!$C$18*IF(BT147="",0,1)+Weights!$C$19*IF(BW147="",0,1)+Weights!$C$20*IF(BZ147="",0,1)+Weights!$C$21*IF(BO147="",0,1)+Weights!$C$22)=0,"",(Weights!$C$13*IF(BP147="",0,BP147)+Weights!$C$14*IF(BR147="",0,BR147)+Weights!$C$15*IF(BQ147="",0,BQ147)+Weights!$C$16*IF(BS147="",0,BS147)+Weights!$C$17*IF(BU147="",0,BU147)+Weights!$C$18*IF(BT147="",0,BT147)+Weights!$C$19*IF(BW147="",0,BW147)+Weights!$C$20*IF(BZ147="",0,BZ147)+Weights!$C$21*IF(BO147="",0,BO147)+Weights!$C$22*BV147)/(Weights!$C$13*IF(BP147="",0,1)+Weights!$C$14*IF(BR147="",0,1)+Weights!$C$15*IF(BQ147="",0,1)+Weights!$C$16*IF(BS147="",0,1)+Weights!$C$17*IF(BU147="",0,1)+Weights!$C$18*IF(BT147="",0,1)+Weights!$C$19*IF(BW147="",0,1)+Weights!$C$20*IF(BZ147="",0,1)+Weights!$C$21*IF(BO147="",0,1)+Weights!$C$22))</x:f>
      </x:c>
      <x:c r="CC147" s="10">
        <x:f>IF((Weights!$C$23*IF(BQ147="",0,1)+Weights!$C$24*IF(BN147="",0,1)+Weights!$C$25*IF(BS147="",0,1)+Weights!$C$26*IF(BY147="",0,1)+Weights!$C$27*IF(BX147="",0,1)+Weights!$C$28*IF(BT147="",0,1)+Weights!$C$29*IF(CA147="",0,1)+Weights!$C$30+Weights!$C$31*IF(BU147="",0,1))=0,"",(Weights!$C$23*IF(BQ147="",0,BQ147)+Weights!$C$24*IF(BN147="",0,BN147)+Weights!$C$25*IF(BS147="",0,BS147)+Weights!$C$26*IF(BY147="",0,BY147)+Weights!$C$27*IF(BX147="",0,BX147)+Weights!$C$28*IF(BT147="",0,BT147)+Weights!$C$29*IF(CA147="",0,CA147)+Weights!$C$30*BV147+Weights!$C$31*IF(BU147="",0,BU147))/(Weights!$C$23*IF(BQ147="",0,1)+Weights!$C$24*IF(BN147="",0,1)+Weights!$C$25*IF(BS147="",0,1)+Weights!$C$26*IF(BY147="",0,1)+Weights!$C$27*IF(BX147="",0,1)+Weights!$C$28*IF(BT147="",0,1)+Weights!$C$29*IF(CA147="",0,1)+Weights!$C$30+Weights!$C$31*IF(BU147="",0,1)))</x:f>
      </x:c>
      <x:c r="CD147" s="10">
        <x:f>IF(AND(CB147="",CC147=""),"",IF(CB147="",CC147,IF(CC147="",CB147,AVERAGE(CB147,CC147))))</x:f>
      </x:c>
      <x:c r="CE147" s="7">
        <x:f>ROUND(100*((IF(BP147&lt;&gt;"",1,0)+IF(BQ147&lt;&gt;"",1,0)+IF(BR147&lt;&gt;"",1,0)+IF(BS147&lt;&gt;"",1,0)+IF(BU147&lt;&gt;"",1,0)+IF(BT147&lt;&gt;"",1,0)+IF(BN147&lt;&gt;"",1,0)+IF(AW147&lt;&gt;"",1,0))/8),0)</x:f>
      </x:c>
      <x:c r="CF147">
        <x:f>IF(V147="","",LOG10(V147+1))</x:f>
      </x:c>
      <x:c r="CG147">
        <x:f>IF(CF147="","",IF(MAX($CF$2:$CF$252)-MIN($CF$2:$CF$252)=0,"",(CF147-MIN($CF$2:$CF$252))/(MAX($CF$2:$CF$252)-MIN($CF$2:$CF$252))*100))</x:f>
      </x:c>
    </x:row>
    <x:row r="148">
      <x:c r="A148" t="inlineStr">
        <x:is>
          <x:t xml:space="preserve">GTM</x:t>
        </x:is>
      </x:c>
      <x:c r="B148" t="inlineStr">
        <x:is>
          <x:t xml:space="preserve">Guatemala</x:t>
        </x:is>
      </x:c>
      <x:c r="C148" t="inlineStr">
        <x:is>
          <x:t xml:space="preserve">Latin America &amp; Caribbean</x:t>
        </x:is>
      </x:c>
      <x:c r="D148" t="inlineStr">
        <x:is>
          <x:t xml:space="preserve">Upper middle income</x:t>
        </x:is>
      </x:c>
      <x:c r="E148" t="inlineStr">
        <x:is>
          <x:t xml:space="preserve">North America</x:t>
        </x:is>
      </x:c>
      <x:c r="F148" t="n">
        <x:v>2024</x:v>
      </x:c>
      <x:c r="G148" t="n">
        <x:v>18406359</x:v>
      </x:c>
      <x:c r="H148" t="n">
        <x:v>2020</x:v>
      </x:c>
      <x:c r="I148" t="n">
        <x:v>43000</x:v>
      </x:c>
      <x:c r="J148" t="n">
        <x:v>27950</x:v>
      </x:c>
      <x:c r="K148" t="n">
        <x:v>8600</x:v>
      </x:c>
      <x:c r="L148" t="n">
        <x:v>5160</x:v>
      </x:c>
      <x:c r="M148" t="n">
        <x:v>2024</x:v>
      </x:c>
      <x:c r="N148" s="8" t="n">
        <x:v>415185334.034068</x:v>
      </x:c>
      <x:c r="O148" s="9" t="n">
        <x:v>0.367622067360881</x:v>
      </x:c>
      <x:c r="P148" s="8" t="n">
        <x:v>9655.472884513209</x:v>
      </x:c>
      <x:c r="Q148" t="n">
        <x:v>2024</x:v>
      </x:c>
      <x:c r="R148" s="8" t="n">
        <x:v>113199581158.203</x:v>
      </x:c>
      <x:c r="S148" t="n">
        <x:v>0</x:v>
      </x:c>
      <x:c r="T148" t="n">
        <x:v>0</x:v>
      </x:c>
      <x:c r="U148" t="inlineStr">
        <x:is>
          <x:t xml:space="preserve">No</x:t>
        </x:is>
      </x:c>
      <x:c r="W148" t="inlineStr">
        <x:is>
          <x:t xml:space="preserve">No</x:t>
        </x:is>
      </x:c>
      <x:c r="X148" t="n">
        <x:v>16.99806834999661</x:v>
      </x:c>
      <x:c r="Y148" t="n">
        <x:v>56.24772351362179</x:v>
      </x:c>
      <x:c r="Z148" t="n">
        <x:v>109459.048786204</x:v>
      </x:c>
      <x:c r="AA148" t="n">
        <x:v>141.2467235139051</x:v>
      </x:c>
      <x:c r="AB148" s="8" t="n">
        <x:v>8524.822757421834</x:v>
      </x:c>
      <x:c r="AC148" t="n">
        <x:v>25</x:v>
      </x:c>
      <x:c r="AD148" t="n">
        <x:v>0</x:v>
      </x:c>
      <x:c r="AE148" t="n">
        <x:v>0</x:v>
      </x:c>
      <x:c r="AR148">
        <x:f>IF(G148="","",LOG10(G148+1))</x:f>
      </x:c>
      <x:c r="AS148" s="10">
        <x:f>IF(AR148="","",IF(MAX($AR$2:$AR$252)-MIN($AR$2:$AR$252)=0,"",(AR148-MIN($AR$2:$AR$252))/(MAX($AR$2:$AR$252)-MIN($AR$2:$AR$252))*100))</x:f>
      </x:c>
      <x:c r="AT148">
        <x:f>IF(R148="","",LOG10(R148+1))</x:f>
      </x:c>
      <x:c r="AU148" s="10">
        <x:f>IF(AT148="","",IF(MAX($AT$2:$AT$252)-MIN($AT$2:$AT$252)=0,"",(AT148-MIN($AT$2:$AT$252))/(MAX($AT$2:$AT$252)-MIN($AT$2:$AT$252))*100))</x:f>
      </x:c>
      <x:c r="AV148">
        <x:f>IF(N148="","",LOG10(N148+1))</x:f>
      </x:c>
      <x:c r="AW148" s="10">
        <x:f>IF(AV148="","",IF(MAX($AV$2:$AV$252)-MIN($AV$2:$AV$252)=0,"",(AV148-MIN($AV$2:$AV$252))/(MAX($AV$2:$AV$252)-MIN($AV$2:$AV$252))*100))</x:f>
      </x:c>
      <x:c r="AX148">
        <x:f>IF(I148="","",LOG10(I148+1))</x:f>
      </x:c>
      <x:c r="AY148" s="10">
        <x:f>IF(AX148="","",IF(MAX($AX$2:$AX$252)-MIN($AX$2:$AX$252)=0,"",(AX148-MIN($AX$2:$AX$252))/(MAX($AX$2:$AX$252)-MIN($AX$2:$AX$252))*100))</x:f>
      </x:c>
      <x:c r="AZ148">
        <x:f>IF(J148="","",LOG10(J148+1))</x:f>
      </x:c>
      <x:c r="BA148" s="10">
        <x:f>IF(AZ148="","",IF(MAX($AZ$2:$AZ$252)-MIN($AZ$2:$AZ$252)=0,"",(AZ148-MIN($AZ$2:$AZ$252))/(MAX($AZ$2:$AZ$252)-MIN($AZ$2:$AZ$252))*100))</x:f>
      </x:c>
      <x:c r="BB148">
        <x:f>IF(K148="","",LOG10(K148+1))</x:f>
      </x:c>
      <x:c r="BC148" s="10">
        <x:f>IF(BB148="","",IF(MAX($BB$2:$BB$252)-MIN($BB$2:$BB$252)=0,"",(BB148-MIN($BB$2:$BB$252))/(MAX($BB$2:$BB$252)-MIN($BB$2:$BB$252))*100))</x:f>
      </x:c>
      <x:c r="BD148">
        <x:f>IF(L148="","",LOG10(L148+1))</x:f>
      </x:c>
      <x:c r="BE148" s="10">
        <x:f>IF(BD148="","",IF(MAX($BD$2:$BD$252)-MIN($BD$2:$BD$252)=0,"",(BD148-MIN($BD$2:$BD$252))/(MAX($BD$2:$BD$252)-MIN($BD$2:$BD$252))*100))</x:f>
      </x:c>
      <x:c r="BF148" s="10">
        <x:f>IF(P148="","",IF(MAX($P$2:$P$252)-MIN($P$2:$P$252)=0,"",(P148-MIN($P$2:$P$252))/(MAX($P$2:$P$252)-MIN($P$2:$P$252))*100))</x:f>
      </x:c>
      <x:c r="BG148">
        <x:f>IF(AF148="","",LOG10(AF148+1))</x:f>
      </x:c>
      <x:c r="BH148" s="10">
        <x:f>IF(BG148="","",IF(MAX($BG$2:$BG$252)-MIN($BG$2:$BG$252)=0,"",(BG148-MIN($BG$2:$BG$252))/(MAX($BG$2:$BG$252)-MIN($BG$2:$BG$252))*100))</x:f>
      </x:c>
      <x:c r="BI148">
        <x:f>IF(AC148="","",LOG10(AC148+1))</x:f>
      </x:c>
      <x:c r="BJ148" s="10">
        <x:f>IF(BI148="","",IF(MAX($BI$2:$BI$252)-MIN($BI$2:$BI$252)=0,"",(BI148-MIN($BI$2:$BI$252))/(MAX($BI$2:$BI$252)-MIN($BI$2:$BI$252))*100))</x:f>
      </x:c>
      <x:c r="BK148">
        <x:f>IF(AD148="","",(AD148*2)+(AE148*1))</x:f>
      </x:c>
      <x:c r="BL148" s="10">
        <x:f>IF(BK148="","",IF(MAX($BK$2:$BK$252)-MIN($BK$2:$BK$252)=0,"",(BK148-MIN($BK$2:$BK$252))/(MAX($BK$2:$BK$252)-MIN($BK$2:$BK$252))*100))</x:f>
      </x:c>
      <x:c r="BM148" s="10">
        <x:f>IF(AB148="","",IF(MAX($AB$2:$AB$252)-MIN($AB$2:$AB$252)=0,"",(AB148-MIN($AB$2:$AB$252))/(MAX($AB$2:$AB$252)-MIN($AB$2:$AB$252))*100))</x:f>
      </x:c>
      <x:c r="BN148" s="10">
        <x:f>IF(X148="","",X148)</x:f>
      </x:c>
      <x:c r="BO148" s="10">
        <x:f>IF(X148="","",100-X148)</x:f>
      </x:c>
      <x:c r="BP148" s="10">
        <x:f>IF((Weights!$C$2*IF(BH148="",0,1)+Weights!$C$3*IF(BJ148="",0,1)+Weights!$C$4*IF(BL148="",0,1))=0,"",(Weights!$C$2*IF(BH148="",0,BH148)+Weights!$C$3*IF(BJ148="",0,BJ148)+Weights!$C$4*IF(BL148="",0,BL148))/(Weights!$C$2*IF(BH148="",0,1)+Weights!$C$3*IF(BJ148="",0,1)+Weights!$C$4*IF(BL148="",0,1)))</x:f>
      </x:c>
      <x:c r="BQ148" s="10">
        <x:f>IF((Weights!$C$5*IF(BA148="",0,1)+Weights!$C$6*IF(AW148="",0,1)+Weights!$C$7*IF(AU148="",0,1))=0,"",(Weights!$C$5*IF(BA148="",0,BA148)+Weights!$C$6*IF(AW148="",0,AW148)+Weights!$C$7*IF(AU148="",0,AU148))/(Weights!$C$5*IF(BA148="",0,1)+Weights!$C$6*IF(AW148="",0,1)+Weights!$C$7*IF(AU148="",0,1)))</x:f>
      </x:c>
      <x:c r="BR148" s="10">
        <x:f>IF((Weights!$C$8*IF(AW148="",0,1)+Weights!$C$9*IF(BC148="",0,1)+Weights!$C$10*IF(BF148="",0,1))=0,"",(Weights!$C$8*IF(AW148="",0,AW148)+Weights!$C$9*IF(BC148="",0,BC148)+Weights!$C$10*IF(BF148="",0,BF148))/(Weights!$C$8*IF(AW148="",0,1)+Weights!$C$9*IF(BC148="",0,1)+Weights!$C$10*IF(BF148="",0,1)))</x:f>
      </x:c>
      <x:c r="BS148" s="10">
        <x:f>IF(Y148="","",Y148)</x:f>
      </x:c>
      <x:c r="BT148" s="10">
        <x:f>IF(AS148="","",AS148)</x:f>
      </x:c>
      <x:c r="BU148" s="10">
        <x:f>IF(AJ148&lt;&gt;"",(0.6*AJ148+0.4*AU148),IF((Weights!$C$11*IF(AU148="",0,1)+Weights!$C$12*IF(BM148="",0,1))=0,"",(Weights!$C$11*IF(AU148="",0,AU148)+Weights!$C$12*IF(BM148="",0,BM148))/(Weights!$C$11*IF(AU148="",0,1)+Weights!$C$12*IF(BM148="",0,1))))</x:f>
      </x:c>
      <x:c r="BV148" s="10">
        <x:f>IF(CG148="",0,CG148)</x:f>
      </x:c>
      <x:c r="BW148" s="10">
        <x:f>IF(AP148="","",AP148)</x:f>
      </x:c>
      <x:c r="BX148" s="10">
        <x:f>IF(AO148="","",AO148)</x:f>
      </x:c>
      <x:c r="BY148" s="10">
        <x:f>IF(AL148="","",AL148)</x:f>
      </x:c>
      <x:c r="BZ148" s="10">
        <x:f>IF(AM148="","",AM148)</x:f>
      </x:c>
      <x:c r="CA148" s="10">
        <x:f>IF(AK148&lt;&gt;"",AK148,AW148)</x:f>
      </x:c>
      <x:c r="CB148" s="10">
        <x:f>IF((Weights!$C$13*IF(BP148="",0,1)+Weights!$C$14*IF(BR148="",0,1)+Weights!$C$15*IF(BQ148="",0,1)+Weights!$C$16*IF(BS148="",0,1)+Weights!$C$17*IF(BU148="",0,1)+Weights!$C$18*IF(BT148="",0,1)+Weights!$C$19*IF(BW148="",0,1)+Weights!$C$20*IF(BZ148="",0,1)+Weights!$C$21*IF(BO148="",0,1)+Weights!$C$22)=0,"",(Weights!$C$13*IF(BP148="",0,BP148)+Weights!$C$14*IF(BR148="",0,BR148)+Weights!$C$15*IF(BQ148="",0,BQ148)+Weights!$C$16*IF(BS148="",0,BS148)+Weights!$C$17*IF(BU148="",0,BU148)+Weights!$C$18*IF(BT148="",0,BT148)+Weights!$C$19*IF(BW148="",0,BW148)+Weights!$C$20*IF(BZ148="",0,BZ148)+Weights!$C$21*IF(BO148="",0,BO148)+Weights!$C$22*BV148)/(Weights!$C$13*IF(BP148="",0,1)+Weights!$C$14*IF(BR148="",0,1)+Weights!$C$15*IF(BQ148="",0,1)+Weights!$C$16*IF(BS148="",0,1)+Weights!$C$17*IF(BU148="",0,1)+Weights!$C$18*IF(BT148="",0,1)+Weights!$C$19*IF(BW148="",0,1)+Weights!$C$20*IF(BZ148="",0,1)+Weights!$C$21*IF(BO148="",0,1)+Weights!$C$22))</x:f>
      </x:c>
      <x:c r="CC148" s="10">
        <x:f>IF((Weights!$C$23*IF(BQ148="",0,1)+Weights!$C$24*IF(BN148="",0,1)+Weights!$C$25*IF(BS148="",0,1)+Weights!$C$26*IF(BY148="",0,1)+Weights!$C$27*IF(BX148="",0,1)+Weights!$C$28*IF(BT148="",0,1)+Weights!$C$29*IF(CA148="",0,1)+Weights!$C$30+Weights!$C$31*IF(BU148="",0,1))=0,"",(Weights!$C$23*IF(BQ148="",0,BQ148)+Weights!$C$24*IF(BN148="",0,BN148)+Weights!$C$25*IF(BS148="",0,BS148)+Weights!$C$26*IF(BY148="",0,BY148)+Weights!$C$27*IF(BX148="",0,BX148)+Weights!$C$28*IF(BT148="",0,BT148)+Weights!$C$29*IF(CA148="",0,CA148)+Weights!$C$30*BV148+Weights!$C$31*IF(BU148="",0,BU148))/(Weights!$C$23*IF(BQ148="",0,1)+Weights!$C$24*IF(BN148="",0,1)+Weights!$C$25*IF(BS148="",0,1)+Weights!$C$26*IF(BY148="",0,1)+Weights!$C$27*IF(BX148="",0,1)+Weights!$C$28*IF(BT148="",0,1)+Weights!$C$29*IF(CA148="",0,1)+Weights!$C$30+Weights!$C$31*IF(BU148="",0,1)))</x:f>
      </x:c>
      <x:c r="CD148" s="10">
        <x:f>IF(AND(CB148="",CC148=""),"",IF(CB148="",CC148,IF(CC148="",CB148,AVERAGE(CB148,CC148))))</x:f>
      </x:c>
      <x:c r="CE148" s="7">
        <x:f>ROUND(100*((IF(BP148&lt;&gt;"",1,0)+IF(BQ148&lt;&gt;"",1,0)+IF(BR148&lt;&gt;"",1,0)+IF(BS148&lt;&gt;"",1,0)+IF(BU148&lt;&gt;"",1,0)+IF(BT148&lt;&gt;"",1,0)+IF(BN148&lt;&gt;"",1,0)+IF(AW148&lt;&gt;"",1,0))/8),0)</x:f>
      </x:c>
      <x:c r="CF148">
        <x:f>IF(V148="","",LOG10(V148+1))</x:f>
      </x:c>
      <x:c r="CG148">
        <x:f>IF(CF148="","",IF(MAX($CF$2:$CF$252)-MIN($CF$2:$CF$252)=0,"",(CF148-MIN($CF$2:$CF$252))/(MAX($CF$2:$CF$252)-MIN($CF$2:$CF$252))*100))</x:f>
      </x:c>
    </x:row>
    <x:row r="149">
      <x:c r="A149" t="inlineStr">
        <x:is>
          <x:t xml:space="preserve">GIN</x:t>
        </x:is>
      </x:c>
      <x:c r="B149" t="inlineStr">
        <x:is>
          <x:t xml:space="preserve">Guinea</x:t>
        </x:is>
      </x:c>
      <x:c r="C149" t="inlineStr">
        <x:is>
          <x:t xml:space="preserve">Sub-Saharan Africa</x:t>
        </x:is>
      </x:c>
      <x:c r="D149" t="inlineStr">
        <x:is>
          <x:t xml:space="preserve">Lower middle income</x:t>
        </x:is>
      </x:c>
      <x:c r="E149" t="inlineStr">
        <x:is>
          <x:t xml:space="preserve">Africa</x:t>
        </x:is>
      </x:c>
      <x:c r="F149" t="n">
        <x:v>2024</x:v>
      </x:c>
      <x:c r="G149" t="n">
        <x:v>14754785</x:v>
      </x:c>
      <x:c r="H149" t="n">
        <x:v>2020</x:v>
      </x:c>
      <x:c r="I149" t="n">
        <x:v>13000</x:v>
      </x:c>
      <x:c r="J149" t="n">
        <x:v>8450</x:v>
      </x:c>
      <x:c r="K149" t="n">
        <x:v>2600</x:v>
      </x:c>
      <x:c r="L149" t="n">
        <x:v>1560</x:v>
      </x:c>
      <x:c r="M149" t="n">
        <x:v>2024</x:v>
      </x:c>
      <x:c r="N149" s="8" t="n">
        <x:v>562455950.4996819</x:v>
      </x:c>
      <x:c r="O149" s="9" t="n">
        <x:v>2.05370337042453</x:v>
      </x:c>
      <x:c r="P149" s="8" t="n">
        <x:v>43265.84234612938</x:v>
      </x:c>
      <x:c r="Q149" t="n">
        <x:v>2024</x:v>
      </x:c>
      <x:c r="R149" s="8" t="n">
        <x:v>25008678293.4084</x:v>
      </x:c>
      <x:c r="S149" t="n">
        <x:v>0</x:v>
      </x:c>
      <x:c r="T149" t="n">
        <x:v>0</x:v>
      </x:c>
      <x:c r="U149" t="inlineStr">
        <x:is>
          <x:t xml:space="preserve">No</x:t>
        </x:is>
      </x:c>
      <x:c r="W149" t="inlineStr">
        <x:is>
          <x:t xml:space="preserve">No</x:t>
        </x:is>
      </x:c>
      <x:c r="X149" t="n">
        <x:v>19.65030474801957</x:v>
      </x:c>
      <x:c r="Y149" t="n">
        <x:v>22.4383228060952</x:v>
      </x:c>
      <x:c r="Z149" t="n">
        <x:v>239565.0794584583</x:v>
      </x:c>
      <x:c r="AA149" t="n">
        <x:v>51.81834943582677</x:v>
      </x:c>
      <x:c r="AB149" s="8" t="n">
        <x:v>1295.325622547752</x:v>
      </x:c>
      <x:c r="AR149">
        <x:f>IF(G149="","",LOG10(G149+1))</x:f>
      </x:c>
      <x:c r="AS149" s="10">
        <x:f>IF(AR149="","",IF(MAX($AR$2:$AR$252)-MIN($AR$2:$AR$252)=0,"",(AR149-MIN($AR$2:$AR$252))/(MAX($AR$2:$AR$252)-MIN($AR$2:$AR$252))*100))</x:f>
      </x:c>
      <x:c r="AT149">
        <x:f>IF(R149="","",LOG10(R149+1))</x:f>
      </x:c>
      <x:c r="AU149" s="10">
        <x:f>IF(AT149="","",IF(MAX($AT$2:$AT$252)-MIN($AT$2:$AT$252)=0,"",(AT149-MIN($AT$2:$AT$252))/(MAX($AT$2:$AT$252)-MIN($AT$2:$AT$252))*100))</x:f>
      </x:c>
      <x:c r="AV149">
        <x:f>IF(N149="","",LOG10(N149+1))</x:f>
      </x:c>
      <x:c r="AW149" s="10">
        <x:f>IF(AV149="","",IF(MAX($AV$2:$AV$252)-MIN($AV$2:$AV$252)=0,"",(AV149-MIN($AV$2:$AV$252))/(MAX($AV$2:$AV$252)-MIN($AV$2:$AV$252))*100))</x:f>
      </x:c>
      <x:c r="AX149">
        <x:f>IF(I149="","",LOG10(I149+1))</x:f>
      </x:c>
      <x:c r="AY149" s="10">
        <x:f>IF(AX149="","",IF(MAX($AX$2:$AX$252)-MIN($AX$2:$AX$252)=0,"",(AX149-MIN($AX$2:$AX$252))/(MAX($AX$2:$AX$252)-MIN($AX$2:$AX$252))*100))</x:f>
      </x:c>
      <x:c r="AZ149">
        <x:f>IF(J149="","",LOG10(J149+1))</x:f>
      </x:c>
      <x:c r="BA149" s="10">
        <x:f>IF(AZ149="","",IF(MAX($AZ$2:$AZ$252)-MIN($AZ$2:$AZ$252)=0,"",(AZ149-MIN($AZ$2:$AZ$252))/(MAX($AZ$2:$AZ$252)-MIN($AZ$2:$AZ$252))*100))</x:f>
      </x:c>
      <x:c r="BB149">
        <x:f>IF(K149="","",LOG10(K149+1))</x:f>
      </x:c>
      <x:c r="BC149" s="10">
        <x:f>IF(BB149="","",IF(MAX($BB$2:$BB$252)-MIN($BB$2:$BB$252)=0,"",(BB149-MIN($BB$2:$BB$252))/(MAX($BB$2:$BB$252)-MIN($BB$2:$BB$252))*100))</x:f>
      </x:c>
      <x:c r="BD149">
        <x:f>IF(L149="","",LOG10(L149+1))</x:f>
      </x:c>
      <x:c r="BE149" s="10">
        <x:f>IF(BD149="","",IF(MAX($BD$2:$BD$252)-MIN($BD$2:$BD$252)=0,"",(BD149-MIN($BD$2:$BD$252))/(MAX($BD$2:$BD$252)-MIN($BD$2:$BD$252))*100))</x:f>
      </x:c>
      <x:c r="BF149" s="10">
        <x:f>IF(P149="","",IF(MAX($P$2:$P$252)-MIN($P$2:$P$252)=0,"",(P149-MIN($P$2:$P$252))/(MAX($P$2:$P$252)-MIN($P$2:$P$252))*100))</x:f>
      </x:c>
      <x:c r="BG149">
        <x:f>IF(AF149="","",LOG10(AF149+1))</x:f>
      </x:c>
      <x:c r="BH149" s="10">
        <x:f>IF(BG149="","",IF(MAX($BG$2:$BG$252)-MIN($BG$2:$BG$252)=0,"",(BG149-MIN($BG$2:$BG$252))/(MAX($BG$2:$BG$252)-MIN($BG$2:$BG$252))*100))</x:f>
      </x:c>
      <x:c r="BI149">
        <x:f>IF(AC149="","",LOG10(AC149+1))</x:f>
      </x:c>
      <x:c r="BJ149" s="10">
        <x:f>IF(BI149="","",IF(MAX($BI$2:$BI$252)-MIN($BI$2:$BI$252)=0,"",(BI149-MIN($BI$2:$BI$252))/(MAX($BI$2:$BI$252)-MIN($BI$2:$BI$252))*100))</x:f>
      </x:c>
      <x:c r="BK149">
        <x:f>IF(AD149="","",(AD149*2)+(AE149*1))</x:f>
      </x:c>
      <x:c r="BL149" s="10">
        <x:f>IF(BK149="","",IF(MAX($BK$2:$BK$252)-MIN($BK$2:$BK$252)=0,"",(BK149-MIN($BK$2:$BK$252))/(MAX($BK$2:$BK$252)-MIN($BK$2:$BK$252))*100))</x:f>
      </x:c>
      <x:c r="BM149" s="10">
        <x:f>IF(AB149="","",IF(MAX($AB$2:$AB$252)-MIN($AB$2:$AB$252)=0,"",(AB149-MIN($AB$2:$AB$252))/(MAX($AB$2:$AB$252)-MIN($AB$2:$AB$252))*100))</x:f>
      </x:c>
      <x:c r="BN149" s="10">
        <x:f>IF(X149="","",X149)</x:f>
      </x:c>
      <x:c r="BO149" s="10">
        <x:f>IF(X149="","",100-X149)</x:f>
      </x:c>
      <x:c r="BP149" s="10">
        <x:f>IF((Weights!$C$2*IF(BH149="",0,1)+Weights!$C$3*IF(BJ149="",0,1)+Weights!$C$4*IF(BL149="",0,1))=0,"",(Weights!$C$2*IF(BH149="",0,BH149)+Weights!$C$3*IF(BJ149="",0,BJ149)+Weights!$C$4*IF(BL149="",0,BL149))/(Weights!$C$2*IF(BH149="",0,1)+Weights!$C$3*IF(BJ149="",0,1)+Weights!$C$4*IF(BL149="",0,1)))</x:f>
      </x:c>
      <x:c r="BQ149" s="10">
        <x:f>IF((Weights!$C$5*IF(BA149="",0,1)+Weights!$C$6*IF(AW149="",0,1)+Weights!$C$7*IF(AU149="",0,1))=0,"",(Weights!$C$5*IF(BA149="",0,BA149)+Weights!$C$6*IF(AW149="",0,AW149)+Weights!$C$7*IF(AU149="",0,AU149))/(Weights!$C$5*IF(BA149="",0,1)+Weights!$C$6*IF(AW149="",0,1)+Weights!$C$7*IF(AU149="",0,1)))</x:f>
      </x:c>
      <x:c r="BR149" s="10">
        <x:f>IF((Weights!$C$8*IF(AW149="",0,1)+Weights!$C$9*IF(BC149="",0,1)+Weights!$C$10*IF(BF149="",0,1))=0,"",(Weights!$C$8*IF(AW149="",0,AW149)+Weights!$C$9*IF(BC149="",0,BC149)+Weights!$C$10*IF(BF149="",0,BF149))/(Weights!$C$8*IF(AW149="",0,1)+Weights!$C$9*IF(BC149="",0,1)+Weights!$C$10*IF(BF149="",0,1)))</x:f>
      </x:c>
      <x:c r="BS149" s="10">
        <x:f>IF(Y149="","",Y149)</x:f>
      </x:c>
      <x:c r="BT149" s="10">
        <x:f>IF(AS149="","",AS149)</x:f>
      </x:c>
      <x:c r="BU149" s="10">
        <x:f>IF(AJ149&lt;&gt;"",(0.6*AJ149+0.4*AU149),IF((Weights!$C$11*IF(AU149="",0,1)+Weights!$C$12*IF(BM149="",0,1))=0,"",(Weights!$C$11*IF(AU149="",0,AU149)+Weights!$C$12*IF(BM149="",0,BM149))/(Weights!$C$11*IF(AU149="",0,1)+Weights!$C$12*IF(BM149="",0,1))))</x:f>
      </x:c>
      <x:c r="BV149" s="10">
        <x:f>IF(CG149="",0,CG149)</x:f>
      </x:c>
      <x:c r="BW149" s="10">
        <x:f>IF(AP149="","",AP149)</x:f>
      </x:c>
      <x:c r="BX149" s="10">
        <x:f>IF(AO149="","",AO149)</x:f>
      </x:c>
      <x:c r="BY149" s="10">
        <x:f>IF(AL149="","",AL149)</x:f>
      </x:c>
      <x:c r="BZ149" s="10">
        <x:f>IF(AM149="","",AM149)</x:f>
      </x:c>
      <x:c r="CA149" s="10">
        <x:f>IF(AK149&lt;&gt;"",AK149,AW149)</x:f>
      </x:c>
      <x:c r="CB149" s="10">
        <x:f>IF((Weights!$C$13*IF(BP149="",0,1)+Weights!$C$14*IF(BR149="",0,1)+Weights!$C$15*IF(BQ149="",0,1)+Weights!$C$16*IF(BS149="",0,1)+Weights!$C$17*IF(BU149="",0,1)+Weights!$C$18*IF(BT149="",0,1)+Weights!$C$19*IF(BW149="",0,1)+Weights!$C$20*IF(BZ149="",0,1)+Weights!$C$21*IF(BO149="",0,1)+Weights!$C$22)=0,"",(Weights!$C$13*IF(BP149="",0,BP149)+Weights!$C$14*IF(BR149="",0,BR149)+Weights!$C$15*IF(BQ149="",0,BQ149)+Weights!$C$16*IF(BS149="",0,BS149)+Weights!$C$17*IF(BU149="",0,BU149)+Weights!$C$18*IF(BT149="",0,BT149)+Weights!$C$19*IF(BW149="",0,BW149)+Weights!$C$20*IF(BZ149="",0,BZ149)+Weights!$C$21*IF(BO149="",0,BO149)+Weights!$C$22*BV149)/(Weights!$C$13*IF(BP149="",0,1)+Weights!$C$14*IF(BR149="",0,1)+Weights!$C$15*IF(BQ149="",0,1)+Weights!$C$16*IF(BS149="",0,1)+Weights!$C$17*IF(BU149="",0,1)+Weights!$C$18*IF(BT149="",0,1)+Weights!$C$19*IF(BW149="",0,1)+Weights!$C$20*IF(BZ149="",0,1)+Weights!$C$21*IF(BO149="",0,1)+Weights!$C$22))</x:f>
      </x:c>
      <x:c r="CC149" s="10">
        <x:f>IF((Weights!$C$23*IF(BQ149="",0,1)+Weights!$C$24*IF(BN149="",0,1)+Weights!$C$25*IF(BS149="",0,1)+Weights!$C$26*IF(BY149="",0,1)+Weights!$C$27*IF(BX149="",0,1)+Weights!$C$28*IF(BT149="",0,1)+Weights!$C$29*IF(CA149="",0,1)+Weights!$C$30+Weights!$C$31*IF(BU149="",0,1))=0,"",(Weights!$C$23*IF(BQ149="",0,BQ149)+Weights!$C$24*IF(BN149="",0,BN149)+Weights!$C$25*IF(BS149="",0,BS149)+Weights!$C$26*IF(BY149="",0,BY149)+Weights!$C$27*IF(BX149="",0,BX149)+Weights!$C$28*IF(BT149="",0,BT149)+Weights!$C$29*IF(CA149="",0,CA149)+Weights!$C$30*BV149+Weights!$C$31*IF(BU149="",0,BU149))/(Weights!$C$23*IF(BQ149="",0,1)+Weights!$C$24*IF(BN149="",0,1)+Weights!$C$25*IF(BS149="",0,1)+Weights!$C$26*IF(BY149="",0,1)+Weights!$C$27*IF(BX149="",0,1)+Weights!$C$28*IF(BT149="",0,1)+Weights!$C$29*IF(CA149="",0,1)+Weights!$C$30+Weights!$C$31*IF(BU149="",0,1)))</x:f>
      </x:c>
      <x:c r="CD149" s="10">
        <x:f>IF(AND(CB149="",CC149=""),"",IF(CB149="",CC149,IF(CC149="",CB149,AVERAGE(CB149,CC149))))</x:f>
      </x:c>
      <x:c r="CE149" s="7">
        <x:f>ROUND(100*((IF(BP149&lt;&gt;"",1,0)+IF(BQ149&lt;&gt;"",1,0)+IF(BR149&lt;&gt;"",1,0)+IF(BS149&lt;&gt;"",1,0)+IF(BU149&lt;&gt;"",1,0)+IF(BT149&lt;&gt;"",1,0)+IF(BN149&lt;&gt;"",1,0)+IF(AW149&lt;&gt;"",1,0))/8),0)</x:f>
      </x:c>
      <x:c r="CF149">
        <x:f>IF(V149="","",LOG10(V149+1))</x:f>
      </x:c>
      <x:c r="CG149">
        <x:f>IF(CF149="","",IF(MAX($CF$2:$CF$252)-MIN($CF$2:$CF$252)=0,"",(CF149-MIN($CF$2:$CF$252))/(MAX($CF$2:$CF$252)-MIN($CF$2:$CF$252))*100))</x:f>
      </x:c>
    </x:row>
    <x:row r="150">
      <x:c r="A150" t="inlineStr">
        <x:is>
          <x:t xml:space="preserve">GNB</x:t>
        </x:is>
      </x:c>
      <x:c r="B150" t="inlineStr">
        <x:is>
          <x:t xml:space="preserve">Guinea-Bissau</x:t>
        </x:is>
      </x:c>
      <x:c r="C150" t="inlineStr">
        <x:is>
          <x:t xml:space="preserve">Sub-Saharan Africa</x:t>
        </x:is>
      </x:c>
      <x:c r="D150" t="inlineStr">
        <x:is>
          <x:t xml:space="preserve">Low income</x:t>
        </x:is>
      </x:c>
      <x:c r="E150" t="inlineStr">
        <x:is>
          <x:t xml:space="preserve">Africa</x:t>
        </x:is>
      </x:c>
      <x:c r="F150" t="n">
        <x:v>2024</x:v>
      </x:c>
      <x:c r="G150" t="n">
        <x:v>2201352</x:v>
      </x:c>
      <x:c r="H150" t="n">
        <x:v>2020</x:v>
      </x:c>
      <x:c r="I150" t="n">
        <x:v>4000</x:v>
      </x:c>
      <x:c r="J150" t="n">
        <x:v>2600</x:v>
      </x:c>
      <x:c r="K150" t="n">
        <x:v>800</x:v>
      </x:c>
      <x:c r="L150" t="n">
        <x:v>480</x:v>
      </x:c>
      <x:c r="M150" t="n">
        <x:v>2023</x:v>
      </x:c>
      <x:c r="N150" s="8" t="n">
        <x:v>25292392.1705683</x:v>
      </x:c>
      <x:c r="O150" s="9" t="n">
        <x:v>1.2348847572106</x:v>
      </x:c>
      <x:c r="P150" s="8" t="n">
        <x:v>6323.098042642075</x:v>
      </x:c>
      <x:c r="Q150" t="n">
        <x:v>2024</x:v>
      </x:c>
      <x:c r="R150" s="8" t="n">
        <x:v>2218393804.54798</x:v>
      </x:c>
      <x:c r="S150" t="n">
        <x:v>0</x:v>
      </x:c>
      <x:c r="T150" t="n">
        <x:v>0</x:v>
      </x:c>
      <x:c r="U150" t="inlineStr">
        <x:is>
          <x:t xml:space="preserve">No</x:t>
        </x:is>
      </x:c>
      <x:c r="W150" t="inlineStr">
        <x:is>
          <x:t xml:space="preserve">No</x:t>
        </x:is>
      </x:c>
      <x:c r="X150" t="n">
        <x:v>8.758332433656765</x:v>
      </x:c>
      <x:c r="Y150" t="n">
        <x:v>25.16712632630407</x:v>
      </x:c>
      <x:c r="Z150" t="n">
        <x:v>36191.88569631544</x:v>
      </x:c>
      <x:c r="AA150" t="n">
        <x:v>49.52320017363647</x:v>
      </x:c>
      <x:c r="AB150" s="8" t="n">
        <x:v>1590.659797426601</x:v>
      </x:c>
      <x:c r="AR150">
        <x:f>IF(G150="","",LOG10(G150+1))</x:f>
      </x:c>
      <x:c r="AS150" s="10">
        <x:f>IF(AR150="","",IF(MAX($AR$2:$AR$252)-MIN($AR$2:$AR$252)=0,"",(AR150-MIN($AR$2:$AR$252))/(MAX($AR$2:$AR$252)-MIN($AR$2:$AR$252))*100))</x:f>
      </x:c>
      <x:c r="AT150">
        <x:f>IF(R150="","",LOG10(R150+1))</x:f>
      </x:c>
      <x:c r="AU150" s="10">
        <x:f>IF(AT150="","",IF(MAX($AT$2:$AT$252)-MIN($AT$2:$AT$252)=0,"",(AT150-MIN($AT$2:$AT$252))/(MAX($AT$2:$AT$252)-MIN($AT$2:$AT$252))*100))</x:f>
      </x:c>
      <x:c r="AV150">
        <x:f>IF(N150="","",LOG10(N150+1))</x:f>
      </x:c>
      <x:c r="AW150" s="10">
        <x:f>IF(AV150="","",IF(MAX($AV$2:$AV$252)-MIN($AV$2:$AV$252)=0,"",(AV150-MIN($AV$2:$AV$252))/(MAX($AV$2:$AV$252)-MIN($AV$2:$AV$252))*100))</x:f>
      </x:c>
      <x:c r="AX150">
        <x:f>IF(I150="","",LOG10(I150+1))</x:f>
      </x:c>
      <x:c r="AY150" s="10">
        <x:f>IF(AX150="","",IF(MAX($AX$2:$AX$252)-MIN($AX$2:$AX$252)=0,"",(AX150-MIN($AX$2:$AX$252))/(MAX($AX$2:$AX$252)-MIN($AX$2:$AX$252))*100))</x:f>
      </x:c>
      <x:c r="AZ150">
        <x:f>IF(J150="","",LOG10(J150+1))</x:f>
      </x:c>
      <x:c r="BA150" s="10">
        <x:f>IF(AZ150="","",IF(MAX($AZ$2:$AZ$252)-MIN($AZ$2:$AZ$252)=0,"",(AZ150-MIN($AZ$2:$AZ$252))/(MAX($AZ$2:$AZ$252)-MIN($AZ$2:$AZ$252))*100))</x:f>
      </x:c>
      <x:c r="BB150">
        <x:f>IF(K150="","",LOG10(K150+1))</x:f>
      </x:c>
      <x:c r="BC150" s="10">
        <x:f>IF(BB150="","",IF(MAX($BB$2:$BB$252)-MIN($BB$2:$BB$252)=0,"",(BB150-MIN($BB$2:$BB$252))/(MAX($BB$2:$BB$252)-MIN($BB$2:$BB$252))*100))</x:f>
      </x:c>
      <x:c r="BD150">
        <x:f>IF(L150="","",LOG10(L150+1))</x:f>
      </x:c>
      <x:c r="BE150" s="10">
        <x:f>IF(BD150="","",IF(MAX($BD$2:$BD$252)-MIN($BD$2:$BD$252)=0,"",(BD150-MIN($BD$2:$BD$252))/(MAX($BD$2:$BD$252)-MIN($BD$2:$BD$252))*100))</x:f>
      </x:c>
      <x:c r="BF150" s="10">
        <x:f>IF(P150="","",IF(MAX($P$2:$P$252)-MIN($P$2:$P$252)=0,"",(P150-MIN($P$2:$P$252))/(MAX($P$2:$P$252)-MIN($P$2:$P$252))*100))</x:f>
      </x:c>
      <x:c r="BG150">
        <x:f>IF(AF150="","",LOG10(AF150+1))</x:f>
      </x:c>
      <x:c r="BH150" s="10">
        <x:f>IF(BG150="","",IF(MAX($BG$2:$BG$252)-MIN($BG$2:$BG$252)=0,"",(BG150-MIN($BG$2:$BG$252))/(MAX($BG$2:$BG$252)-MIN($BG$2:$BG$252))*100))</x:f>
      </x:c>
      <x:c r="BI150">
        <x:f>IF(AC150="","",LOG10(AC150+1))</x:f>
      </x:c>
      <x:c r="BJ150" s="10">
        <x:f>IF(BI150="","",IF(MAX($BI$2:$BI$252)-MIN($BI$2:$BI$252)=0,"",(BI150-MIN($BI$2:$BI$252))/(MAX($BI$2:$BI$252)-MIN($BI$2:$BI$252))*100))</x:f>
      </x:c>
      <x:c r="BK150">
        <x:f>IF(AD150="","",(AD150*2)+(AE150*1))</x:f>
      </x:c>
      <x:c r="BL150" s="10">
        <x:f>IF(BK150="","",IF(MAX($BK$2:$BK$252)-MIN($BK$2:$BK$252)=0,"",(BK150-MIN($BK$2:$BK$252))/(MAX($BK$2:$BK$252)-MIN($BK$2:$BK$252))*100))</x:f>
      </x:c>
      <x:c r="BM150" s="10">
        <x:f>IF(AB150="","",IF(MAX($AB$2:$AB$252)-MIN($AB$2:$AB$252)=0,"",(AB150-MIN($AB$2:$AB$252))/(MAX($AB$2:$AB$252)-MIN($AB$2:$AB$252))*100))</x:f>
      </x:c>
      <x:c r="BN150" s="10">
        <x:f>IF(X150="","",X150)</x:f>
      </x:c>
      <x:c r="BO150" s="10">
        <x:f>IF(X150="","",100-X150)</x:f>
      </x:c>
      <x:c r="BP150" s="10">
        <x:f>IF((Weights!$C$2*IF(BH150="",0,1)+Weights!$C$3*IF(BJ150="",0,1)+Weights!$C$4*IF(BL150="",0,1))=0,"",(Weights!$C$2*IF(BH150="",0,BH150)+Weights!$C$3*IF(BJ150="",0,BJ150)+Weights!$C$4*IF(BL150="",0,BL150))/(Weights!$C$2*IF(BH150="",0,1)+Weights!$C$3*IF(BJ150="",0,1)+Weights!$C$4*IF(BL150="",0,1)))</x:f>
      </x:c>
      <x:c r="BQ150" s="10">
        <x:f>IF((Weights!$C$5*IF(BA150="",0,1)+Weights!$C$6*IF(AW150="",0,1)+Weights!$C$7*IF(AU150="",0,1))=0,"",(Weights!$C$5*IF(BA150="",0,BA150)+Weights!$C$6*IF(AW150="",0,AW150)+Weights!$C$7*IF(AU150="",0,AU150))/(Weights!$C$5*IF(BA150="",0,1)+Weights!$C$6*IF(AW150="",0,1)+Weights!$C$7*IF(AU150="",0,1)))</x:f>
      </x:c>
      <x:c r="BR150" s="10">
        <x:f>IF((Weights!$C$8*IF(AW150="",0,1)+Weights!$C$9*IF(BC150="",0,1)+Weights!$C$10*IF(BF150="",0,1))=0,"",(Weights!$C$8*IF(AW150="",0,AW150)+Weights!$C$9*IF(BC150="",0,BC150)+Weights!$C$10*IF(BF150="",0,BF150))/(Weights!$C$8*IF(AW150="",0,1)+Weights!$C$9*IF(BC150="",0,1)+Weights!$C$10*IF(BF150="",0,1)))</x:f>
      </x:c>
      <x:c r="BS150" s="10">
        <x:f>IF(Y150="","",Y150)</x:f>
      </x:c>
      <x:c r="BT150" s="10">
        <x:f>IF(AS150="","",AS150)</x:f>
      </x:c>
      <x:c r="BU150" s="10">
        <x:f>IF(AJ150&lt;&gt;"",(0.6*AJ150+0.4*AU150),IF((Weights!$C$11*IF(AU150="",0,1)+Weights!$C$12*IF(BM150="",0,1))=0,"",(Weights!$C$11*IF(AU150="",0,AU150)+Weights!$C$12*IF(BM150="",0,BM150))/(Weights!$C$11*IF(AU150="",0,1)+Weights!$C$12*IF(BM150="",0,1))))</x:f>
      </x:c>
      <x:c r="BV150" s="10">
        <x:f>IF(CG150="",0,CG150)</x:f>
      </x:c>
      <x:c r="BW150" s="10">
        <x:f>IF(AP150="","",AP150)</x:f>
      </x:c>
      <x:c r="BX150" s="10">
        <x:f>IF(AO150="","",AO150)</x:f>
      </x:c>
      <x:c r="BY150" s="10">
        <x:f>IF(AL150="","",AL150)</x:f>
      </x:c>
      <x:c r="BZ150" s="10">
        <x:f>IF(AM150="","",AM150)</x:f>
      </x:c>
      <x:c r="CA150" s="10">
        <x:f>IF(AK150&lt;&gt;"",AK150,AW150)</x:f>
      </x:c>
      <x:c r="CB150" s="10">
        <x:f>IF((Weights!$C$13*IF(BP150="",0,1)+Weights!$C$14*IF(BR150="",0,1)+Weights!$C$15*IF(BQ150="",0,1)+Weights!$C$16*IF(BS150="",0,1)+Weights!$C$17*IF(BU150="",0,1)+Weights!$C$18*IF(BT150="",0,1)+Weights!$C$19*IF(BW150="",0,1)+Weights!$C$20*IF(BZ150="",0,1)+Weights!$C$21*IF(BO150="",0,1)+Weights!$C$22)=0,"",(Weights!$C$13*IF(BP150="",0,BP150)+Weights!$C$14*IF(BR150="",0,BR150)+Weights!$C$15*IF(BQ150="",0,BQ150)+Weights!$C$16*IF(BS150="",0,BS150)+Weights!$C$17*IF(BU150="",0,BU150)+Weights!$C$18*IF(BT150="",0,BT150)+Weights!$C$19*IF(BW150="",0,BW150)+Weights!$C$20*IF(BZ150="",0,BZ150)+Weights!$C$21*IF(BO150="",0,BO150)+Weights!$C$22*BV150)/(Weights!$C$13*IF(BP150="",0,1)+Weights!$C$14*IF(BR150="",0,1)+Weights!$C$15*IF(BQ150="",0,1)+Weights!$C$16*IF(BS150="",0,1)+Weights!$C$17*IF(BU150="",0,1)+Weights!$C$18*IF(BT150="",0,1)+Weights!$C$19*IF(BW150="",0,1)+Weights!$C$20*IF(BZ150="",0,1)+Weights!$C$21*IF(BO150="",0,1)+Weights!$C$22))</x:f>
      </x:c>
      <x:c r="CC150" s="10">
        <x:f>IF((Weights!$C$23*IF(BQ150="",0,1)+Weights!$C$24*IF(BN150="",0,1)+Weights!$C$25*IF(BS150="",0,1)+Weights!$C$26*IF(BY150="",0,1)+Weights!$C$27*IF(BX150="",0,1)+Weights!$C$28*IF(BT150="",0,1)+Weights!$C$29*IF(CA150="",0,1)+Weights!$C$30+Weights!$C$31*IF(BU150="",0,1))=0,"",(Weights!$C$23*IF(BQ150="",0,BQ150)+Weights!$C$24*IF(BN150="",0,BN150)+Weights!$C$25*IF(BS150="",0,BS150)+Weights!$C$26*IF(BY150="",0,BY150)+Weights!$C$27*IF(BX150="",0,BX150)+Weights!$C$28*IF(BT150="",0,BT150)+Weights!$C$29*IF(CA150="",0,CA150)+Weights!$C$30*BV150+Weights!$C$31*IF(BU150="",0,BU150))/(Weights!$C$23*IF(BQ150="",0,1)+Weights!$C$24*IF(BN150="",0,1)+Weights!$C$25*IF(BS150="",0,1)+Weights!$C$26*IF(BY150="",0,1)+Weights!$C$27*IF(BX150="",0,1)+Weights!$C$28*IF(BT150="",0,1)+Weights!$C$29*IF(CA150="",0,1)+Weights!$C$30+Weights!$C$31*IF(BU150="",0,1)))</x:f>
      </x:c>
      <x:c r="CD150" s="10">
        <x:f>IF(AND(CB150="",CC150=""),"",IF(CB150="",CC150,IF(CC150="",CB150,AVERAGE(CB150,CC150))))</x:f>
      </x:c>
      <x:c r="CE150" s="7">
        <x:f>ROUND(100*((IF(BP150&lt;&gt;"",1,0)+IF(BQ150&lt;&gt;"",1,0)+IF(BR150&lt;&gt;"",1,0)+IF(BS150&lt;&gt;"",1,0)+IF(BU150&lt;&gt;"",1,0)+IF(BT150&lt;&gt;"",1,0)+IF(BN150&lt;&gt;"",1,0)+IF(AW150&lt;&gt;"",1,0))/8),0)</x:f>
      </x:c>
      <x:c r="CF150">
        <x:f>IF(V150="","",LOG10(V150+1))</x:f>
      </x:c>
      <x:c r="CG150">
        <x:f>IF(CF150="","",IF(MAX($CF$2:$CF$252)-MIN($CF$2:$CF$252)=0,"",(CF150-MIN($CF$2:$CF$252))/(MAX($CF$2:$CF$252)-MIN($CF$2:$CF$252))*100))</x:f>
      </x:c>
    </x:row>
    <x:row r="151">
      <x:c r="A151" t="inlineStr">
        <x:is>
          <x:t xml:space="preserve">GUY</x:t>
        </x:is>
      </x:c>
      <x:c r="B151" t="inlineStr">
        <x:is>
          <x:t xml:space="preserve">Guyana</x:t>
        </x:is>
      </x:c>
      <x:c r="C151" t="inlineStr">
        <x:is>
          <x:t xml:space="preserve">Latin America &amp; Caribbean</x:t>
        </x:is>
      </x:c>
      <x:c r="D151" t="inlineStr">
        <x:is>
          <x:t xml:space="preserve">High income</x:t>
        </x:is>
      </x:c>
      <x:c r="E151" t="inlineStr">
        <x:is>
          <x:t xml:space="preserve">South America</x:t>
        </x:is>
      </x:c>
      <x:c r="F151" t="n">
        <x:v>2024</x:v>
      </x:c>
      <x:c r="G151" t="n">
        <x:v>831087</x:v>
      </x:c>
      <x:c r="H151" t="n">
        <x:v>2020</x:v>
      </x:c>
      <x:c r="I151" t="n">
        <x:v>3000</x:v>
      </x:c>
      <x:c r="J151" t="n">
        <x:v>1950</x:v>
      </x:c>
      <x:c r="K151" t="n">
        <x:v>600</x:v>
      </x:c>
      <x:c r="L151" t="n">
        <x:v>360</x:v>
      </x:c>
      <x:c r="M151" t="n">
        <x:v>2024</x:v>
      </x:c>
      <x:c r="N151" s="8" t="n">
        <x:v>201841558.938087</x:v>
      </x:c>
      <x:c r="O151" s="9" t="n">
        <x:v>0.868162254451279</x:v>
      </x:c>
      <x:c r="P151" s="8" t="n">
        <x:v>67280.519646029</x:v>
      </x:c>
      <x:c r="Q151" t="n">
        <x:v>2024</x:v>
      </x:c>
      <x:c r="R151" s="8" t="n">
        <x:v>24662709832.1343</x:v>
      </x:c>
      <x:c r="S151" t="n">
        <x:v>0</x:v>
      </x:c>
      <x:c r="T151" t="n">
        <x:v>0</x:v>
      </x:c>
      <x:c r="U151" t="inlineStr">
        <x:is>
          <x:t xml:space="preserve">No</x:t>
        </x:is>
      </x:c>
      <x:c r="W151" t="inlineStr">
        <x:is>
          <x:t xml:space="preserve">No</x:t>
        </x:is>
      </x:c>
      <x:c r="X151" t="n">
        <x:v>16.76457478189753</x:v>
      </x:c>
      <x:c r="Y151" t="n">
        <x:v>34.13334107616342</x:v>
      </x:c>
      <x:c r="Z151" t="n">
        <x:v>209801.8572468456</x:v>
      </x:c>
      <x:c r="AA151" t="n">
        <x:v>3.51626057881855</x:v>
      </x:c>
      <x:c r="AB151" s="8" t="n">
        <x:v>8259.253535903963</x:v>
      </x:c>
      <x:c r="AR151">
        <x:f>IF(G151="","",LOG10(G151+1))</x:f>
      </x:c>
      <x:c r="AS151" s="10">
        <x:f>IF(AR151="","",IF(MAX($AR$2:$AR$252)-MIN($AR$2:$AR$252)=0,"",(AR151-MIN($AR$2:$AR$252))/(MAX($AR$2:$AR$252)-MIN($AR$2:$AR$252))*100))</x:f>
      </x:c>
      <x:c r="AT151">
        <x:f>IF(R151="","",LOG10(R151+1))</x:f>
      </x:c>
      <x:c r="AU151" s="10">
        <x:f>IF(AT151="","",IF(MAX($AT$2:$AT$252)-MIN($AT$2:$AT$252)=0,"",(AT151-MIN($AT$2:$AT$252))/(MAX($AT$2:$AT$252)-MIN($AT$2:$AT$252))*100))</x:f>
      </x:c>
      <x:c r="AV151">
        <x:f>IF(N151="","",LOG10(N151+1))</x:f>
      </x:c>
      <x:c r="AW151" s="10">
        <x:f>IF(AV151="","",IF(MAX($AV$2:$AV$252)-MIN($AV$2:$AV$252)=0,"",(AV151-MIN($AV$2:$AV$252))/(MAX($AV$2:$AV$252)-MIN($AV$2:$AV$252))*100))</x:f>
      </x:c>
      <x:c r="AX151">
        <x:f>IF(I151="","",LOG10(I151+1))</x:f>
      </x:c>
      <x:c r="AY151" s="10">
        <x:f>IF(AX151="","",IF(MAX($AX$2:$AX$252)-MIN($AX$2:$AX$252)=0,"",(AX151-MIN($AX$2:$AX$252))/(MAX($AX$2:$AX$252)-MIN($AX$2:$AX$252))*100))</x:f>
      </x:c>
      <x:c r="AZ151">
        <x:f>IF(J151="","",LOG10(J151+1))</x:f>
      </x:c>
      <x:c r="BA151" s="10">
        <x:f>IF(AZ151="","",IF(MAX($AZ$2:$AZ$252)-MIN($AZ$2:$AZ$252)=0,"",(AZ151-MIN($AZ$2:$AZ$252))/(MAX($AZ$2:$AZ$252)-MIN($AZ$2:$AZ$252))*100))</x:f>
      </x:c>
      <x:c r="BB151">
        <x:f>IF(K151="","",LOG10(K151+1))</x:f>
      </x:c>
      <x:c r="BC151" s="10">
        <x:f>IF(BB151="","",IF(MAX($BB$2:$BB$252)-MIN($BB$2:$BB$252)=0,"",(BB151-MIN($BB$2:$BB$252))/(MAX($BB$2:$BB$252)-MIN($BB$2:$BB$252))*100))</x:f>
      </x:c>
      <x:c r="BD151">
        <x:f>IF(L151="","",LOG10(L151+1))</x:f>
      </x:c>
      <x:c r="BE151" s="10">
        <x:f>IF(BD151="","",IF(MAX($BD$2:$BD$252)-MIN($BD$2:$BD$252)=0,"",(BD151-MIN($BD$2:$BD$252))/(MAX($BD$2:$BD$252)-MIN($BD$2:$BD$252))*100))</x:f>
      </x:c>
      <x:c r="BF151" s="10">
        <x:f>IF(P151="","",IF(MAX($P$2:$P$252)-MIN($P$2:$P$252)=0,"",(P151-MIN($P$2:$P$252))/(MAX($P$2:$P$252)-MIN($P$2:$P$252))*100))</x:f>
      </x:c>
      <x:c r="BG151">
        <x:f>IF(AF151="","",LOG10(AF151+1))</x:f>
      </x:c>
      <x:c r="BH151" s="10">
        <x:f>IF(BG151="","",IF(MAX($BG$2:$BG$252)-MIN($BG$2:$BG$252)=0,"",(BG151-MIN($BG$2:$BG$252))/(MAX($BG$2:$BG$252)-MIN($BG$2:$BG$252))*100))</x:f>
      </x:c>
      <x:c r="BI151">
        <x:f>IF(AC151="","",LOG10(AC151+1))</x:f>
      </x:c>
      <x:c r="BJ151" s="10">
        <x:f>IF(BI151="","",IF(MAX($BI$2:$BI$252)-MIN($BI$2:$BI$252)=0,"",(BI151-MIN($BI$2:$BI$252))/(MAX($BI$2:$BI$252)-MIN($BI$2:$BI$252))*100))</x:f>
      </x:c>
      <x:c r="BK151">
        <x:f>IF(AD151="","",(AD151*2)+(AE151*1))</x:f>
      </x:c>
      <x:c r="BL151" s="10">
        <x:f>IF(BK151="","",IF(MAX($BK$2:$BK$252)-MIN($BK$2:$BK$252)=0,"",(BK151-MIN($BK$2:$BK$252))/(MAX($BK$2:$BK$252)-MIN($BK$2:$BK$252))*100))</x:f>
      </x:c>
      <x:c r="BM151" s="10">
        <x:f>IF(AB151="","",IF(MAX($AB$2:$AB$252)-MIN($AB$2:$AB$252)=0,"",(AB151-MIN($AB$2:$AB$252))/(MAX($AB$2:$AB$252)-MIN($AB$2:$AB$252))*100))</x:f>
      </x:c>
      <x:c r="BN151" s="10">
        <x:f>IF(X151="","",X151)</x:f>
      </x:c>
      <x:c r="BO151" s="10">
        <x:f>IF(X151="","",100-X151)</x:f>
      </x:c>
      <x:c r="BP151" s="10">
        <x:f>IF((Weights!$C$2*IF(BH151="",0,1)+Weights!$C$3*IF(BJ151="",0,1)+Weights!$C$4*IF(BL151="",0,1))=0,"",(Weights!$C$2*IF(BH151="",0,BH151)+Weights!$C$3*IF(BJ151="",0,BJ151)+Weights!$C$4*IF(BL151="",0,BL151))/(Weights!$C$2*IF(BH151="",0,1)+Weights!$C$3*IF(BJ151="",0,1)+Weights!$C$4*IF(BL151="",0,1)))</x:f>
      </x:c>
      <x:c r="BQ151" s="10">
        <x:f>IF((Weights!$C$5*IF(BA151="",0,1)+Weights!$C$6*IF(AW151="",0,1)+Weights!$C$7*IF(AU151="",0,1))=0,"",(Weights!$C$5*IF(BA151="",0,BA151)+Weights!$C$6*IF(AW151="",0,AW151)+Weights!$C$7*IF(AU151="",0,AU151))/(Weights!$C$5*IF(BA151="",0,1)+Weights!$C$6*IF(AW151="",0,1)+Weights!$C$7*IF(AU151="",0,1)))</x:f>
      </x:c>
      <x:c r="BR151" s="10">
        <x:f>IF((Weights!$C$8*IF(AW151="",0,1)+Weights!$C$9*IF(BC151="",0,1)+Weights!$C$10*IF(BF151="",0,1))=0,"",(Weights!$C$8*IF(AW151="",0,AW151)+Weights!$C$9*IF(BC151="",0,BC151)+Weights!$C$10*IF(BF151="",0,BF151))/(Weights!$C$8*IF(AW151="",0,1)+Weights!$C$9*IF(BC151="",0,1)+Weights!$C$10*IF(BF151="",0,1)))</x:f>
      </x:c>
      <x:c r="BS151" s="10">
        <x:f>IF(Y151="","",Y151)</x:f>
      </x:c>
      <x:c r="BT151" s="10">
        <x:f>IF(AS151="","",AS151)</x:f>
      </x:c>
      <x:c r="BU151" s="10">
        <x:f>IF(AJ151&lt;&gt;"",(0.6*AJ151+0.4*AU151),IF((Weights!$C$11*IF(AU151="",0,1)+Weights!$C$12*IF(BM151="",0,1))=0,"",(Weights!$C$11*IF(AU151="",0,AU151)+Weights!$C$12*IF(BM151="",0,BM151))/(Weights!$C$11*IF(AU151="",0,1)+Weights!$C$12*IF(BM151="",0,1))))</x:f>
      </x:c>
      <x:c r="BV151" s="10">
        <x:f>IF(CG151="",0,CG151)</x:f>
      </x:c>
      <x:c r="BW151" s="10">
        <x:f>IF(AP151="","",AP151)</x:f>
      </x:c>
      <x:c r="BX151" s="10">
        <x:f>IF(AO151="","",AO151)</x:f>
      </x:c>
      <x:c r="BY151" s="10">
        <x:f>IF(AL151="","",AL151)</x:f>
      </x:c>
      <x:c r="BZ151" s="10">
        <x:f>IF(AM151="","",AM151)</x:f>
      </x:c>
      <x:c r="CA151" s="10">
        <x:f>IF(AK151&lt;&gt;"",AK151,AW151)</x:f>
      </x:c>
      <x:c r="CB151" s="10">
        <x:f>IF((Weights!$C$13*IF(BP151="",0,1)+Weights!$C$14*IF(BR151="",0,1)+Weights!$C$15*IF(BQ151="",0,1)+Weights!$C$16*IF(BS151="",0,1)+Weights!$C$17*IF(BU151="",0,1)+Weights!$C$18*IF(BT151="",0,1)+Weights!$C$19*IF(BW151="",0,1)+Weights!$C$20*IF(BZ151="",0,1)+Weights!$C$21*IF(BO151="",0,1)+Weights!$C$22)=0,"",(Weights!$C$13*IF(BP151="",0,BP151)+Weights!$C$14*IF(BR151="",0,BR151)+Weights!$C$15*IF(BQ151="",0,BQ151)+Weights!$C$16*IF(BS151="",0,BS151)+Weights!$C$17*IF(BU151="",0,BU151)+Weights!$C$18*IF(BT151="",0,BT151)+Weights!$C$19*IF(BW151="",0,BW151)+Weights!$C$20*IF(BZ151="",0,BZ151)+Weights!$C$21*IF(BO151="",0,BO151)+Weights!$C$22*BV151)/(Weights!$C$13*IF(BP151="",0,1)+Weights!$C$14*IF(BR151="",0,1)+Weights!$C$15*IF(BQ151="",0,1)+Weights!$C$16*IF(BS151="",0,1)+Weights!$C$17*IF(BU151="",0,1)+Weights!$C$18*IF(BT151="",0,1)+Weights!$C$19*IF(BW151="",0,1)+Weights!$C$20*IF(BZ151="",0,1)+Weights!$C$21*IF(BO151="",0,1)+Weights!$C$22))</x:f>
      </x:c>
      <x:c r="CC151" s="10">
        <x:f>IF((Weights!$C$23*IF(BQ151="",0,1)+Weights!$C$24*IF(BN151="",0,1)+Weights!$C$25*IF(BS151="",0,1)+Weights!$C$26*IF(BY151="",0,1)+Weights!$C$27*IF(BX151="",0,1)+Weights!$C$28*IF(BT151="",0,1)+Weights!$C$29*IF(CA151="",0,1)+Weights!$C$30+Weights!$C$31*IF(BU151="",0,1))=0,"",(Weights!$C$23*IF(BQ151="",0,BQ151)+Weights!$C$24*IF(BN151="",0,BN151)+Weights!$C$25*IF(BS151="",0,BS151)+Weights!$C$26*IF(BY151="",0,BY151)+Weights!$C$27*IF(BX151="",0,BX151)+Weights!$C$28*IF(BT151="",0,BT151)+Weights!$C$29*IF(CA151="",0,CA151)+Weights!$C$30*BV151+Weights!$C$31*IF(BU151="",0,BU151))/(Weights!$C$23*IF(BQ151="",0,1)+Weights!$C$24*IF(BN151="",0,1)+Weights!$C$25*IF(BS151="",0,1)+Weights!$C$26*IF(BY151="",0,1)+Weights!$C$27*IF(BX151="",0,1)+Weights!$C$28*IF(BT151="",0,1)+Weights!$C$29*IF(CA151="",0,1)+Weights!$C$30+Weights!$C$31*IF(BU151="",0,1)))</x:f>
      </x:c>
      <x:c r="CD151" s="10">
        <x:f>IF(AND(CB151="",CC151=""),"",IF(CB151="",CC151,IF(CC151="",CB151,AVERAGE(CB151,CC151))))</x:f>
      </x:c>
      <x:c r="CE151" s="7">
        <x:f>ROUND(100*((IF(BP151&lt;&gt;"",1,0)+IF(BQ151&lt;&gt;"",1,0)+IF(BR151&lt;&gt;"",1,0)+IF(BS151&lt;&gt;"",1,0)+IF(BU151&lt;&gt;"",1,0)+IF(BT151&lt;&gt;"",1,0)+IF(BN151&lt;&gt;"",1,0)+IF(AW151&lt;&gt;"",1,0))/8),0)</x:f>
      </x:c>
      <x:c r="CF151">
        <x:f>IF(V151="","",LOG10(V151+1))</x:f>
      </x:c>
      <x:c r="CG151">
        <x:f>IF(CF151="","",IF(MAX($CF$2:$CF$252)-MIN($CF$2:$CF$252)=0,"",(CF151-MIN($CF$2:$CF$252))/(MAX($CF$2:$CF$252)-MIN($CF$2:$CF$252))*100))</x:f>
      </x:c>
    </x:row>
    <x:row r="152">
      <x:c r="A152" t="inlineStr">
        <x:is>
          <x:t xml:space="preserve">HTI</x:t>
        </x:is>
      </x:c>
      <x:c r="B152" t="inlineStr">
        <x:is>
          <x:t xml:space="preserve">Haiti</x:t>
        </x:is>
      </x:c>
      <x:c r="C152" t="inlineStr">
        <x:is>
          <x:t xml:space="preserve">Latin America &amp; Caribbean</x:t>
        </x:is>
      </x:c>
      <x:c r="D152" t="inlineStr">
        <x:is>
          <x:t xml:space="preserve">Lower middle income</x:t>
        </x:is>
      </x:c>
      <x:c r="E152" t="inlineStr">
        <x:is>
          <x:t xml:space="preserve">North America</x:t>
        </x:is>
      </x:c>
      <x:c r="F152" t="n">
        <x:v>2024</x:v>
      </x:c>
      <x:c r="G152" t="n">
        <x:v>11772557</x:v>
      </x:c>
      <x:c r="H152" t="n">
        <x:v>2020</x:v>
      </x:c>
      <x:c r="I152" t="n">
        <x:v>1000</x:v>
      </x:c>
      <x:c r="J152" t="n">
        <x:v>650</x:v>
      </x:c>
      <x:c r="K152" t="n">
        <x:v>200</x:v>
      </x:c>
      <x:c r="L152" t="n">
        <x:v>120</x:v>
      </x:c>
      <x:c r="M152" t="n">
        <x:v>2024</x:v>
      </x:c>
      <x:c r="N152" s="8" t="n">
        <x:v>19751091.2623219</x:v>
      </x:c>
      <x:c r="O152" s="9" t="n">
        <x:v>0.06844310020495099</x:v>
      </x:c>
      <x:c r="P152" s="8" t="n">
        <x:v>19751.0912623219</x:v>
      </x:c>
      <x:c r="Q152" t="n">
        <x:v>2024</x:v>
      </x:c>
      <x:c r="R152" s="8" t="n">
        <x:v>25224154990.7946</x:v>
      </x:c>
      <x:c r="S152" t="n">
        <x:v>0</x:v>
      </x:c>
      <x:c r="T152" t="n">
        <x:v>0</x:v>
      </x:c>
      <x:c r="U152" t="inlineStr">
        <x:is>
          <x:t xml:space="preserve">No</x:t>
        </x:is>
      </x:c>
      <x:c r="W152" t="inlineStr">
        <x:is>
          <x:t xml:space="preserve">No</x:t>
        </x:is>
      </x:c>
      <x:c r="X152" t="n">
        <x:v>29.7737703363701</x:v>
      </x:c>
      <x:c r="Y152" t="n">
        <x:v>39.67523642091636</x:v>
      </x:c>
      <x:c r="Z152" t="n">
        <x:v>28540.54598422603</x:v>
      </x:c>
      <x:c r="AA152" t="n">
        <x:v>373.0382034696987</x:v>
      </x:c>
      <x:c r="AB152" s="8" t="n">
        <x:v>1816.522919653895</x:v>
      </x:c>
      <x:c r="AR152">
        <x:f>IF(G152="","",LOG10(G152+1))</x:f>
      </x:c>
      <x:c r="AS152" s="10">
        <x:f>IF(AR152="","",IF(MAX($AR$2:$AR$252)-MIN($AR$2:$AR$252)=0,"",(AR152-MIN($AR$2:$AR$252))/(MAX($AR$2:$AR$252)-MIN($AR$2:$AR$252))*100))</x:f>
      </x:c>
      <x:c r="AT152">
        <x:f>IF(R152="","",LOG10(R152+1))</x:f>
      </x:c>
      <x:c r="AU152" s="10">
        <x:f>IF(AT152="","",IF(MAX($AT$2:$AT$252)-MIN($AT$2:$AT$252)=0,"",(AT152-MIN($AT$2:$AT$252))/(MAX($AT$2:$AT$252)-MIN($AT$2:$AT$252))*100))</x:f>
      </x:c>
      <x:c r="AV152">
        <x:f>IF(N152="","",LOG10(N152+1))</x:f>
      </x:c>
      <x:c r="AW152" s="10">
        <x:f>IF(AV152="","",IF(MAX($AV$2:$AV$252)-MIN($AV$2:$AV$252)=0,"",(AV152-MIN($AV$2:$AV$252))/(MAX($AV$2:$AV$252)-MIN($AV$2:$AV$252))*100))</x:f>
      </x:c>
      <x:c r="AX152">
        <x:f>IF(I152="","",LOG10(I152+1))</x:f>
      </x:c>
      <x:c r="AY152" s="10">
        <x:f>IF(AX152="","",IF(MAX($AX$2:$AX$252)-MIN($AX$2:$AX$252)=0,"",(AX152-MIN($AX$2:$AX$252))/(MAX($AX$2:$AX$252)-MIN($AX$2:$AX$252))*100))</x:f>
      </x:c>
      <x:c r="AZ152">
        <x:f>IF(J152="","",LOG10(J152+1))</x:f>
      </x:c>
      <x:c r="BA152" s="10">
        <x:f>IF(AZ152="","",IF(MAX($AZ$2:$AZ$252)-MIN($AZ$2:$AZ$252)=0,"",(AZ152-MIN($AZ$2:$AZ$252))/(MAX($AZ$2:$AZ$252)-MIN($AZ$2:$AZ$252))*100))</x:f>
      </x:c>
      <x:c r="BB152">
        <x:f>IF(K152="","",LOG10(K152+1))</x:f>
      </x:c>
      <x:c r="BC152" s="10">
        <x:f>IF(BB152="","",IF(MAX($BB$2:$BB$252)-MIN($BB$2:$BB$252)=0,"",(BB152-MIN($BB$2:$BB$252))/(MAX($BB$2:$BB$252)-MIN($BB$2:$BB$252))*100))</x:f>
      </x:c>
      <x:c r="BD152">
        <x:f>IF(L152="","",LOG10(L152+1))</x:f>
      </x:c>
      <x:c r="BE152" s="10">
        <x:f>IF(BD152="","",IF(MAX($BD$2:$BD$252)-MIN($BD$2:$BD$252)=0,"",(BD152-MIN($BD$2:$BD$252))/(MAX($BD$2:$BD$252)-MIN($BD$2:$BD$252))*100))</x:f>
      </x:c>
      <x:c r="BF152" s="10">
        <x:f>IF(P152="","",IF(MAX($P$2:$P$252)-MIN($P$2:$P$252)=0,"",(P152-MIN($P$2:$P$252))/(MAX($P$2:$P$252)-MIN($P$2:$P$252))*100))</x:f>
      </x:c>
      <x:c r="BG152">
        <x:f>IF(AF152="","",LOG10(AF152+1))</x:f>
      </x:c>
      <x:c r="BH152" s="10">
        <x:f>IF(BG152="","",IF(MAX($BG$2:$BG$252)-MIN($BG$2:$BG$252)=0,"",(BG152-MIN($BG$2:$BG$252))/(MAX($BG$2:$BG$252)-MIN($BG$2:$BG$252))*100))</x:f>
      </x:c>
      <x:c r="BI152">
        <x:f>IF(AC152="","",LOG10(AC152+1))</x:f>
      </x:c>
      <x:c r="BJ152" s="10">
        <x:f>IF(BI152="","",IF(MAX($BI$2:$BI$252)-MIN($BI$2:$BI$252)=0,"",(BI152-MIN($BI$2:$BI$252))/(MAX($BI$2:$BI$252)-MIN($BI$2:$BI$252))*100))</x:f>
      </x:c>
      <x:c r="BK152">
        <x:f>IF(AD152="","",(AD152*2)+(AE152*1))</x:f>
      </x:c>
      <x:c r="BL152" s="10">
        <x:f>IF(BK152="","",IF(MAX($BK$2:$BK$252)-MIN($BK$2:$BK$252)=0,"",(BK152-MIN($BK$2:$BK$252))/(MAX($BK$2:$BK$252)-MIN($BK$2:$BK$252))*100))</x:f>
      </x:c>
      <x:c r="BM152" s="10">
        <x:f>IF(AB152="","",IF(MAX($AB$2:$AB$252)-MIN($AB$2:$AB$252)=0,"",(AB152-MIN($AB$2:$AB$252))/(MAX($AB$2:$AB$252)-MIN($AB$2:$AB$252))*100))</x:f>
      </x:c>
      <x:c r="BN152" s="10">
        <x:f>IF(X152="","",X152)</x:f>
      </x:c>
      <x:c r="BO152" s="10">
        <x:f>IF(X152="","",100-X152)</x:f>
      </x:c>
      <x:c r="BP152" s="10">
        <x:f>IF((Weights!$C$2*IF(BH152="",0,1)+Weights!$C$3*IF(BJ152="",0,1)+Weights!$C$4*IF(BL152="",0,1))=0,"",(Weights!$C$2*IF(BH152="",0,BH152)+Weights!$C$3*IF(BJ152="",0,BJ152)+Weights!$C$4*IF(BL152="",0,BL152))/(Weights!$C$2*IF(BH152="",0,1)+Weights!$C$3*IF(BJ152="",0,1)+Weights!$C$4*IF(BL152="",0,1)))</x:f>
      </x:c>
      <x:c r="BQ152" s="10">
        <x:f>IF((Weights!$C$5*IF(BA152="",0,1)+Weights!$C$6*IF(AW152="",0,1)+Weights!$C$7*IF(AU152="",0,1))=0,"",(Weights!$C$5*IF(BA152="",0,BA152)+Weights!$C$6*IF(AW152="",0,AW152)+Weights!$C$7*IF(AU152="",0,AU152))/(Weights!$C$5*IF(BA152="",0,1)+Weights!$C$6*IF(AW152="",0,1)+Weights!$C$7*IF(AU152="",0,1)))</x:f>
      </x:c>
      <x:c r="BR152" s="10">
        <x:f>IF((Weights!$C$8*IF(AW152="",0,1)+Weights!$C$9*IF(BC152="",0,1)+Weights!$C$10*IF(BF152="",0,1))=0,"",(Weights!$C$8*IF(AW152="",0,AW152)+Weights!$C$9*IF(BC152="",0,BC152)+Weights!$C$10*IF(BF152="",0,BF152))/(Weights!$C$8*IF(AW152="",0,1)+Weights!$C$9*IF(BC152="",0,1)+Weights!$C$10*IF(BF152="",0,1)))</x:f>
      </x:c>
      <x:c r="BS152" s="10">
        <x:f>IF(Y152="","",Y152)</x:f>
      </x:c>
      <x:c r="BT152" s="10">
        <x:f>IF(AS152="","",AS152)</x:f>
      </x:c>
      <x:c r="BU152" s="10">
        <x:f>IF(AJ152&lt;&gt;"",(0.6*AJ152+0.4*AU152),IF((Weights!$C$11*IF(AU152="",0,1)+Weights!$C$12*IF(BM152="",0,1))=0,"",(Weights!$C$11*IF(AU152="",0,AU152)+Weights!$C$12*IF(BM152="",0,BM152))/(Weights!$C$11*IF(AU152="",0,1)+Weights!$C$12*IF(BM152="",0,1))))</x:f>
      </x:c>
      <x:c r="BV152" s="10">
        <x:f>IF(CG152="",0,CG152)</x:f>
      </x:c>
      <x:c r="BW152" s="10">
        <x:f>IF(AP152="","",AP152)</x:f>
      </x:c>
      <x:c r="BX152" s="10">
        <x:f>IF(AO152="","",AO152)</x:f>
      </x:c>
      <x:c r="BY152" s="10">
        <x:f>IF(AL152="","",AL152)</x:f>
      </x:c>
      <x:c r="BZ152" s="10">
        <x:f>IF(AM152="","",AM152)</x:f>
      </x:c>
      <x:c r="CA152" s="10">
        <x:f>IF(AK152&lt;&gt;"",AK152,AW152)</x:f>
      </x:c>
      <x:c r="CB152" s="10">
        <x:f>IF((Weights!$C$13*IF(BP152="",0,1)+Weights!$C$14*IF(BR152="",0,1)+Weights!$C$15*IF(BQ152="",0,1)+Weights!$C$16*IF(BS152="",0,1)+Weights!$C$17*IF(BU152="",0,1)+Weights!$C$18*IF(BT152="",0,1)+Weights!$C$19*IF(BW152="",0,1)+Weights!$C$20*IF(BZ152="",0,1)+Weights!$C$21*IF(BO152="",0,1)+Weights!$C$22)=0,"",(Weights!$C$13*IF(BP152="",0,BP152)+Weights!$C$14*IF(BR152="",0,BR152)+Weights!$C$15*IF(BQ152="",0,BQ152)+Weights!$C$16*IF(BS152="",0,BS152)+Weights!$C$17*IF(BU152="",0,BU152)+Weights!$C$18*IF(BT152="",0,BT152)+Weights!$C$19*IF(BW152="",0,BW152)+Weights!$C$20*IF(BZ152="",0,BZ152)+Weights!$C$21*IF(BO152="",0,BO152)+Weights!$C$22*BV152)/(Weights!$C$13*IF(BP152="",0,1)+Weights!$C$14*IF(BR152="",0,1)+Weights!$C$15*IF(BQ152="",0,1)+Weights!$C$16*IF(BS152="",0,1)+Weights!$C$17*IF(BU152="",0,1)+Weights!$C$18*IF(BT152="",0,1)+Weights!$C$19*IF(BW152="",0,1)+Weights!$C$20*IF(BZ152="",0,1)+Weights!$C$21*IF(BO152="",0,1)+Weights!$C$22))</x:f>
      </x:c>
      <x:c r="CC152" s="10">
        <x:f>IF((Weights!$C$23*IF(BQ152="",0,1)+Weights!$C$24*IF(BN152="",0,1)+Weights!$C$25*IF(BS152="",0,1)+Weights!$C$26*IF(BY152="",0,1)+Weights!$C$27*IF(BX152="",0,1)+Weights!$C$28*IF(BT152="",0,1)+Weights!$C$29*IF(CA152="",0,1)+Weights!$C$30+Weights!$C$31*IF(BU152="",0,1))=0,"",(Weights!$C$23*IF(BQ152="",0,BQ152)+Weights!$C$24*IF(BN152="",0,BN152)+Weights!$C$25*IF(BS152="",0,BS152)+Weights!$C$26*IF(BY152="",0,BY152)+Weights!$C$27*IF(BX152="",0,BX152)+Weights!$C$28*IF(BT152="",0,BT152)+Weights!$C$29*IF(CA152="",0,CA152)+Weights!$C$30*BV152+Weights!$C$31*IF(BU152="",0,BU152))/(Weights!$C$23*IF(BQ152="",0,1)+Weights!$C$24*IF(BN152="",0,1)+Weights!$C$25*IF(BS152="",0,1)+Weights!$C$26*IF(BY152="",0,1)+Weights!$C$27*IF(BX152="",0,1)+Weights!$C$28*IF(BT152="",0,1)+Weights!$C$29*IF(CA152="",0,1)+Weights!$C$30+Weights!$C$31*IF(BU152="",0,1)))</x:f>
      </x:c>
      <x:c r="CD152" s="10">
        <x:f>IF(AND(CB152="",CC152=""),"",IF(CB152="",CC152,IF(CC152="",CB152,AVERAGE(CB152,CC152))))</x:f>
      </x:c>
      <x:c r="CE152" s="7">
        <x:f>ROUND(100*((IF(BP152&lt;&gt;"",1,0)+IF(BQ152&lt;&gt;"",1,0)+IF(BR152&lt;&gt;"",1,0)+IF(BS152&lt;&gt;"",1,0)+IF(BU152&lt;&gt;"",1,0)+IF(BT152&lt;&gt;"",1,0)+IF(BN152&lt;&gt;"",1,0)+IF(AW152&lt;&gt;"",1,0))/8),0)</x:f>
      </x:c>
      <x:c r="CF152">
        <x:f>IF(V152="","",LOG10(V152+1))</x:f>
      </x:c>
      <x:c r="CG152">
        <x:f>IF(CF152="","",IF(MAX($CF$2:$CF$252)-MIN($CF$2:$CF$252)=0,"",(CF152-MIN($CF$2:$CF$252))/(MAX($CF$2:$CF$252)-MIN($CF$2:$CF$252))*100))</x:f>
      </x:c>
    </x:row>
    <x:row r="153">
      <x:c r="A153" t="inlineStr">
        <x:is>
          <x:t xml:space="preserve">HND</x:t>
        </x:is>
      </x:c>
      <x:c r="B153" t="inlineStr">
        <x:is>
          <x:t xml:space="preserve">Honduras</x:t>
        </x:is>
      </x:c>
      <x:c r="C153" t="inlineStr">
        <x:is>
          <x:t xml:space="preserve">Latin America &amp; Caribbean</x:t>
        </x:is>
      </x:c>
      <x:c r="D153" t="inlineStr">
        <x:is>
          <x:t xml:space="preserve">Lower middle income</x:t>
        </x:is>
      </x:c>
      <x:c r="E153" t="inlineStr">
        <x:is>
          <x:t xml:space="preserve">North America</x:t>
        </x:is>
      </x:c>
      <x:c r="F153" t="n">
        <x:v>2024</x:v>
      </x:c>
      <x:c r="G153" t="n">
        <x:v>10825703</x:v>
      </x:c>
      <x:c r="H153" t="n">
        <x:v>2020</x:v>
      </x:c>
      <x:c r="I153" t="n">
        <x:v>23000</x:v>
      </x:c>
      <x:c r="J153" t="n">
        <x:v>14950</x:v>
      </x:c>
      <x:c r="K153" t="n">
        <x:v>4600</x:v>
      </x:c>
      <x:c r="L153" t="n">
        <x:v>2760</x:v>
      </x:c>
      <x:c r="M153" t="n">
        <x:v>2024</x:v>
      </x:c>
      <x:c r="N153" s="8" t="n">
        <x:v>581271651.183095</x:v>
      </x:c>
      <x:c r="O153" s="9" t="n">
        <x:v>1.57536270602411</x:v>
      </x:c>
      <x:c r="P153" s="8" t="n">
        <x:v>25272.68048622152</x:v>
      </x:c>
      <x:c r="Q153" t="n">
        <x:v>2024</x:v>
      </x:c>
      <x:c r="R153" s="8" t="n">
        <x:v>37093565854.0437</x:v>
      </x:c>
      <x:c r="S153" t="n">
        <x:v>0</x:v>
      </x:c>
      <x:c r="T153" t="n">
        <x:v>0</x:v>
      </x:c>
      <x:c r="U153" t="inlineStr">
        <x:is>
          <x:t xml:space="preserve">No</x:t>
        </x:is>
      </x:c>
      <x:c r="W153" t="inlineStr">
        <x:is>
          <x:t xml:space="preserve">No</x:t>
        </x:is>
      </x:c>
      <x:c r="X153" t="n">
        <x:v>16.42512534181466</x:v>
      </x:c>
      <x:c r="Y153" t="n">
        <x:v>44.19255443986593</x:v>
      </x:c>
      <x:c r="Z153" t="n">
        <x:v>113789.774793235</x:v>
      </x:c>
      <x:c r="AA153" t="n">
        <x:v>79.4336838826169</x:v>
      </x:c>
      <x:c r="AB153" s="8" t="n">
        <x:v>4778.320343508018</x:v>
      </x:c>
      <x:c r="AC153" t="n">
        <x:v>71</x:v>
      </x:c>
      <x:c r="AD153" t="n">
        <x:v>0</x:v>
      </x:c>
      <x:c r="AE153" t="n">
        <x:v>0</x:v>
      </x:c>
      <x:c r="AR153">
        <x:f>IF(G153="","",LOG10(G153+1))</x:f>
      </x:c>
      <x:c r="AS153" s="10">
        <x:f>IF(AR153="","",IF(MAX($AR$2:$AR$252)-MIN($AR$2:$AR$252)=0,"",(AR153-MIN($AR$2:$AR$252))/(MAX($AR$2:$AR$252)-MIN($AR$2:$AR$252))*100))</x:f>
      </x:c>
      <x:c r="AT153">
        <x:f>IF(R153="","",LOG10(R153+1))</x:f>
      </x:c>
      <x:c r="AU153" s="10">
        <x:f>IF(AT153="","",IF(MAX($AT$2:$AT$252)-MIN($AT$2:$AT$252)=0,"",(AT153-MIN($AT$2:$AT$252))/(MAX($AT$2:$AT$252)-MIN($AT$2:$AT$252))*100))</x:f>
      </x:c>
      <x:c r="AV153">
        <x:f>IF(N153="","",LOG10(N153+1))</x:f>
      </x:c>
      <x:c r="AW153" s="10">
        <x:f>IF(AV153="","",IF(MAX($AV$2:$AV$252)-MIN($AV$2:$AV$252)=0,"",(AV153-MIN($AV$2:$AV$252))/(MAX($AV$2:$AV$252)-MIN($AV$2:$AV$252))*100))</x:f>
      </x:c>
      <x:c r="AX153">
        <x:f>IF(I153="","",LOG10(I153+1))</x:f>
      </x:c>
      <x:c r="AY153" s="10">
        <x:f>IF(AX153="","",IF(MAX($AX$2:$AX$252)-MIN($AX$2:$AX$252)=0,"",(AX153-MIN($AX$2:$AX$252))/(MAX($AX$2:$AX$252)-MIN($AX$2:$AX$252))*100))</x:f>
      </x:c>
      <x:c r="AZ153">
        <x:f>IF(J153="","",LOG10(J153+1))</x:f>
      </x:c>
      <x:c r="BA153" s="10">
        <x:f>IF(AZ153="","",IF(MAX($AZ$2:$AZ$252)-MIN($AZ$2:$AZ$252)=0,"",(AZ153-MIN($AZ$2:$AZ$252))/(MAX($AZ$2:$AZ$252)-MIN($AZ$2:$AZ$252))*100))</x:f>
      </x:c>
      <x:c r="BB153">
        <x:f>IF(K153="","",LOG10(K153+1))</x:f>
      </x:c>
      <x:c r="BC153" s="10">
        <x:f>IF(BB153="","",IF(MAX($BB$2:$BB$252)-MIN($BB$2:$BB$252)=0,"",(BB153-MIN($BB$2:$BB$252))/(MAX($BB$2:$BB$252)-MIN($BB$2:$BB$252))*100))</x:f>
      </x:c>
      <x:c r="BD153">
        <x:f>IF(L153="","",LOG10(L153+1))</x:f>
      </x:c>
      <x:c r="BE153" s="10">
        <x:f>IF(BD153="","",IF(MAX($BD$2:$BD$252)-MIN($BD$2:$BD$252)=0,"",(BD153-MIN($BD$2:$BD$252))/(MAX($BD$2:$BD$252)-MIN($BD$2:$BD$252))*100))</x:f>
      </x:c>
      <x:c r="BF153" s="10">
        <x:f>IF(P153="","",IF(MAX($P$2:$P$252)-MIN($P$2:$P$252)=0,"",(P153-MIN($P$2:$P$252))/(MAX($P$2:$P$252)-MIN($P$2:$P$252))*100))</x:f>
      </x:c>
      <x:c r="BG153">
        <x:f>IF(AF153="","",LOG10(AF153+1))</x:f>
      </x:c>
      <x:c r="BH153" s="10">
        <x:f>IF(BG153="","",IF(MAX($BG$2:$BG$252)-MIN($BG$2:$BG$252)=0,"",(BG153-MIN($BG$2:$BG$252))/(MAX($BG$2:$BG$252)-MIN($BG$2:$BG$252))*100))</x:f>
      </x:c>
      <x:c r="BI153">
        <x:f>IF(AC153="","",LOG10(AC153+1))</x:f>
      </x:c>
      <x:c r="BJ153" s="10">
        <x:f>IF(BI153="","",IF(MAX($BI$2:$BI$252)-MIN($BI$2:$BI$252)=0,"",(BI153-MIN($BI$2:$BI$252))/(MAX($BI$2:$BI$252)-MIN($BI$2:$BI$252))*100))</x:f>
      </x:c>
      <x:c r="BK153">
        <x:f>IF(AD153="","",(AD153*2)+(AE153*1))</x:f>
      </x:c>
      <x:c r="BL153" s="10">
        <x:f>IF(BK153="","",IF(MAX($BK$2:$BK$252)-MIN($BK$2:$BK$252)=0,"",(BK153-MIN($BK$2:$BK$252))/(MAX($BK$2:$BK$252)-MIN($BK$2:$BK$252))*100))</x:f>
      </x:c>
      <x:c r="BM153" s="10">
        <x:f>IF(AB153="","",IF(MAX($AB$2:$AB$252)-MIN($AB$2:$AB$252)=0,"",(AB153-MIN($AB$2:$AB$252))/(MAX($AB$2:$AB$252)-MIN($AB$2:$AB$252))*100))</x:f>
      </x:c>
      <x:c r="BN153" s="10">
        <x:f>IF(X153="","",X153)</x:f>
      </x:c>
      <x:c r="BO153" s="10">
        <x:f>IF(X153="","",100-X153)</x:f>
      </x:c>
      <x:c r="BP153" s="10">
        <x:f>IF((Weights!$C$2*IF(BH153="",0,1)+Weights!$C$3*IF(BJ153="",0,1)+Weights!$C$4*IF(BL153="",0,1))=0,"",(Weights!$C$2*IF(BH153="",0,BH153)+Weights!$C$3*IF(BJ153="",0,BJ153)+Weights!$C$4*IF(BL153="",0,BL153))/(Weights!$C$2*IF(BH153="",0,1)+Weights!$C$3*IF(BJ153="",0,1)+Weights!$C$4*IF(BL153="",0,1)))</x:f>
      </x:c>
      <x:c r="BQ153" s="10">
        <x:f>IF((Weights!$C$5*IF(BA153="",0,1)+Weights!$C$6*IF(AW153="",0,1)+Weights!$C$7*IF(AU153="",0,1))=0,"",(Weights!$C$5*IF(BA153="",0,BA153)+Weights!$C$6*IF(AW153="",0,AW153)+Weights!$C$7*IF(AU153="",0,AU153))/(Weights!$C$5*IF(BA153="",0,1)+Weights!$C$6*IF(AW153="",0,1)+Weights!$C$7*IF(AU153="",0,1)))</x:f>
      </x:c>
      <x:c r="BR153" s="10">
        <x:f>IF((Weights!$C$8*IF(AW153="",0,1)+Weights!$C$9*IF(BC153="",0,1)+Weights!$C$10*IF(BF153="",0,1))=0,"",(Weights!$C$8*IF(AW153="",0,AW153)+Weights!$C$9*IF(BC153="",0,BC153)+Weights!$C$10*IF(BF153="",0,BF153))/(Weights!$C$8*IF(AW153="",0,1)+Weights!$C$9*IF(BC153="",0,1)+Weights!$C$10*IF(BF153="",0,1)))</x:f>
      </x:c>
      <x:c r="BS153" s="10">
        <x:f>IF(Y153="","",Y153)</x:f>
      </x:c>
      <x:c r="BT153" s="10">
        <x:f>IF(AS153="","",AS153)</x:f>
      </x:c>
      <x:c r="BU153" s="10">
        <x:f>IF(AJ153&lt;&gt;"",(0.6*AJ153+0.4*AU153),IF((Weights!$C$11*IF(AU153="",0,1)+Weights!$C$12*IF(BM153="",0,1))=0,"",(Weights!$C$11*IF(AU153="",0,AU153)+Weights!$C$12*IF(BM153="",0,BM153))/(Weights!$C$11*IF(AU153="",0,1)+Weights!$C$12*IF(BM153="",0,1))))</x:f>
      </x:c>
      <x:c r="BV153" s="10">
        <x:f>IF(CG153="",0,CG153)</x:f>
      </x:c>
      <x:c r="BW153" s="10">
        <x:f>IF(AP153="","",AP153)</x:f>
      </x:c>
      <x:c r="BX153" s="10">
        <x:f>IF(AO153="","",AO153)</x:f>
      </x:c>
      <x:c r="BY153" s="10">
        <x:f>IF(AL153="","",AL153)</x:f>
      </x:c>
      <x:c r="BZ153" s="10">
        <x:f>IF(AM153="","",AM153)</x:f>
      </x:c>
      <x:c r="CA153" s="10">
        <x:f>IF(AK153&lt;&gt;"",AK153,AW153)</x:f>
      </x:c>
      <x:c r="CB153" s="10">
        <x:f>IF((Weights!$C$13*IF(BP153="",0,1)+Weights!$C$14*IF(BR153="",0,1)+Weights!$C$15*IF(BQ153="",0,1)+Weights!$C$16*IF(BS153="",0,1)+Weights!$C$17*IF(BU153="",0,1)+Weights!$C$18*IF(BT153="",0,1)+Weights!$C$19*IF(BW153="",0,1)+Weights!$C$20*IF(BZ153="",0,1)+Weights!$C$21*IF(BO153="",0,1)+Weights!$C$22)=0,"",(Weights!$C$13*IF(BP153="",0,BP153)+Weights!$C$14*IF(BR153="",0,BR153)+Weights!$C$15*IF(BQ153="",0,BQ153)+Weights!$C$16*IF(BS153="",0,BS153)+Weights!$C$17*IF(BU153="",0,BU153)+Weights!$C$18*IF(BT153="",0,BT153)+Weights!$C$19*IF(BW153="",0,BW153)+Weights!$C$20*IF(BZ153="",0,BZ153)+Weights!$C$21*IF(BO153="",0,BO153)+Weights!$C$22*BV153)/(Weights!$C$13*IF(BP153="",0,1)+Weights!$C$14*IF(BR153="",0,1)+Weights!$C$15*IF(BQ153="",0,1)+Weights!$C$16*IF(BS153="",0,1)+Weights!$C$17*IF(BU153="",0,1)+Weights!$C$18*IF(BT153="",0,1)+Weights!$C$19*IF(BW153="",0,1)+Weights!$C$20*IF(BZ153="",0,1)+Weights!$C$21*IF(BO153="",0,1)+Weights!$C$22))</x:f>
      </x:c>
      <x:c r="CC153" s="10">
        <x:f>IF((Weights!$C$23*IF(BQ153="",0,1)+Weights!$C$24*IF(BN153="",0,1)+Weights!$C$25*IF(BS153="",0,1)+Weights!$C$26*IF(BY153="",0,1)+Weights!$C$27*IF(BX153="",0,1)+Weights!$C$28*IF(BT153="",0,1)+Weights!$C$29*IF(CA153="",0,1)+Weights!$C$30+Weights!$C$31*IF(BU153="",0,1))=0,"",(Weights!$C$23*IF(BQ153="",0,BQ153)+Weights!$C$24*IF(BN153="",0,BN153)+Weights!$C$25*IF(BS153="",0,BS153)+Weights!$C$26*IF(BY153="",0,BY153)+Weights!$C$27*IF(BX153="",0,BX153)+Weights!$C$28*IF(BT153="",0,BT153)+Weights!$C$29*IF(CA153="",0,CA153)+Weights!$C$30*BV153+Weights!$C$31*IF(BU153="",0,BU153))/(Weights!$C$23*IF(BQ153="",0,1)+Weights!$C$24*IF(BN153="",0,1)+Weights!$C$25*IF(BS153="",0,1)+Weights!$C$26*IF(BY153="",0,1)+Weights!$C$27*IF(BX153="",0,1)+Weights!$C$28*IF(BT153="",0,1)+Weights!$C$29*IF(CA153="",0,1)+Weights!$C$30+Weights!$C$31*IF(BU153="",0,1)))</x:f>
      </x:c>
      <x:c r="CD153" s="10">
        <x:f>IF(AND(CB153="",CC153=""),"",IF(CB153="",CC153,IF(CC153="",CB153,AVERAGE(CB153,CC153))))</x:f>
      </x:c>
      <x:c r="CE153" s="7">
        <x:f>ROUND(100*((IF(BP153&lt;&gt;"",1,0)+IF(BQ153&lt;&gt;"",1,0)+IF(BR153&lt;&gt;"",1,0)+IF(BS153&lt;&gt;"",1,0)+IF(BU153&lt;&gt;"",1,0)+IF(BT153&lt;&gt;"",1,0)+IF(BN153&lt;&gt;"",1,0)+IF(AW153&lt;&gt;"",1,0))/8),0)</x:f>
      </x:c>
      <x:c r="CF153">
        <x:f>IF(V153="","",LOG10(V153+1))</x:f>
      </x:c>
      <x:c r="CG153">
        <x:f>IF(CF153="","",IF(MAX($CF$2:$CF$252)-MIN($CF$2:$CF$252)=0,"",(CF153-MIN($CF$2:$CF$252))/(MAX($CF$2:$CF$252)-MIN($CF$2:$CF$252))*100))</x:f>
      </x:c>
    </x:row>
    <x:row r="154">
      <x:c r="A154" t="inlineStr">
        <x:is>
          <x:t xml:space="preserve">ISL</x:t>
        </x:is>
      </x:c>
      <x:c r="B154" t="inlineStr">
        <x:is>
          <x:t xml:space="preserve">Iceland</x:t>
        </x:is>
      </x:c>
      <x:c r="C154" t="inlineStr">
        <x:is>
          <x:t xml:space="preserve">Europe &amp; Central Asia</x:t>
        </x:is>
      </x:c>
      <x:c r="D154" t="inlineStr">
        <x:is>
          <x:t xml:space="preserve">High income</x:t>
        </x:is>
      </x:c>
      <x:c r="E154" t="inlineStr">
        <x:is>
          <x:t xml:space="preserve">Europe</x:t>
        </x:is>
      </x:c>
      <x:c r="F154" t="n">
        <x:v>2024</x:v>
      </x:c>
      <x:c r="G154" t="n">
        <x:v>386506</x:v>
      </x:c>
      <x:c r="H154" t="n">
        <x:v>2020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2024</x:v>
      </x:c>
      <x:c r="N154" s="8" t="n">
        <x:v>0</x:v>
      </x:c>
      <x:c r="O154" s="9" t="n"/>
      <x:c r="P154" s="8" t="n"/>
      <x:c r="Q154" t="n">
        <x:v>2024</x:v>
      </x:c>
      <x:c r="R154" s="8" t="n">
        <x:v>33255181468.9382</x:v>
      </x:c>
      <x:c r="S154" t="n">
        <x:v>0</x:v>
      </x:c>
      <x:c r="T154" t="n">
        <x:v>0</x:v>
      </x:c>
      <x:c r="U154" t="inlineStr">
        <x:is>
          <x:t xml:space="preserve">No</x:t>
        </x:is>
      </x:c>
      <x:c r="W154" t="inlineStr">
        <x:is>
          <x:t xml:space="preserve">No</x:t>
        </x:is>
      </x:c>
      <x:c r="X154" t="n">
        <x:v>15.23132793747012</x:v>
      </x:c>
      <x:c r="Y154" t="n">
        <x:v>59.23633635899787</x:v>
      </x:c>
      <x:c r="Z154" t="n">
        <x:v>107735.7213630047</x:v>
      </x:c>
      <x:c r="AA154" t="n">
        <x:v>3.153522301625999</x:v>
      </x:c>
      <x:c r="AB154" s="8" t="n">
        <x:v>47535.37190909706</x:v>
      </x:c>
      <x:c r="AR154">
        <x:f>IF(G154="","",LOG10(G154+1))</x:f>
      </x:c>
      <x:c r="AS154" s="10">
        <x:f>IF(AR154="","",IF(MAX($AR$2:$AR$252)-MIN($AR$2:$AR$252)=0,"",(AR154-MIN($AR$2:$AR$252))/(MAX($AR$2:$AR$252)-MIN($AR$2:$AR$252))*100))</x:f>
      </x:c>
      <x:c r="AT154">
        <x:f>IF(R154="","",LOG10(R154+1))</x:f>
      </x:c>
      <x:c r="AU154" s="10">
        <x:f>IF(AT154="","",IF(MAX($AT$2:$AT$252)-MIN($AT$2:$AT$252)=0,"",(AT154-MIN($AT$2:$AT$252))/(MAX($AT$2:$AT$252)-MIN($AT$2:$AT$252))*100))</x:f>
      </x:c>
      <x:c r="AV154">
        <x:f>IF(N154="","",LOG10(N154+1))</x:f>
      </x:c>
      <x:c r="AW154" s="10">
        <x:f>IF(AV154="","",IF(MAX($AV$2:$AV$252)-MIN($AV$2:$AV$252)=0,"",(AV154-MIN($AV$2:$AV$252))/(MAX($AV$2:$AV$252)-MIN($AV$2:$AV$252))*100))</x:f>
      </x:c>
      <x:c r="AX154">
        <x:f>IF(I154="","",LOG10(I154+1))</x:f>
      </x:c>
      <x:c r="AY154" s="10">
        <x:f>IF(AX154="","",IF(MAX($AX$2:$AX$252)-MIN($AX$2:$AX$252)=0,"",(AX154-MIN($AX$2:$AX$252))/(MAX($AX$2:$AX$252)-MIN($AX$2:$AX$252))*100))</x:f>
      </x:c>
      <x:c r="AZ154">
        <x:f>IF(J154="","",LOG10(J154+1))</x:f>
      </x:c>
      <x:c r="BA154" s="10">
        <x:f>IF(AZ154="","",IF(MAX($AZ$2:$AZ$252)-MIN($AZ$2:$AZ$252)=0,"",(AZ154-MIN($AZ$2:$AZ$252))/(MAX($AZ$2:$AZ$252)-MIN($AZ$2:$AZ$252))*100))</x:f>
      </x:c>
      <x:c r="BB154">
        <x:f>IF(K154="","",LOG10(K154+1))</x:f>
      </x:c>
      <x:c r="BC154" s="10">
        <x:f>IF(BB154="","",IF(MAX($BB$2:$BB$252)-MIN($BB$2:$BB$252)=0,"",(BB154-MIN($BB$2:$BB$252))/(MAX($BB$2:$BB$252)-MIN($BB$2:$BB$252))*100))</x:f>
      </x:c>
      <x:c r="BD154">
        <x:f>IF(L154="","",LOG10(L154+1))</x:f>
      </x:c>
      <x:c r="BE154" s="10">
        <x:f>IF(BD154="","",IF(MAX($BD$2:$BD$252)-MIN($BD$2:$BD$252)=0,"",(BD154-MIN($BD$2:$BD$252))/(MAX($BD$2:$BD$252)-MIN($BD$2:$BD$252))*100))</x:f>
      </x:c>
      <x:c r="BF154" s="10">
        <x:f>IF(P154="","",IF(MAX($P$2:$P$252)-MIN($P$2:$P$252)=0,"",(P154-MIN($P$2:$P$252))/(MAX($P$2:$P$252)-MIN($P$2:$P$252))*100))</x:f>
      </x:c>
      <x:c r="BG154">
        <x:f>IF(AF154="","",LOG10(AF154+1))</x:f>
      </x:c>
      <x:c r="BH154" s="10">
        <x:f>IF(BG154="","",IF(MAX($BG$2:$BG$252)-MIN($BG$2:$BG$252)=0,"",(BG154-MIN($BG$2:$BG$252))/(MAX($BG$2:$BG$252)-MIN($BG$2:$BG$252))*100))</x:f>
      </x:c>
      <x:c r="BI154">
        <x:f>IF(AC154="","",LOG10(AC154+1))</x:f>
      </x:c>
      <x:c r="BJ154" s="10">
        <x:f>IF(BI154="","",IF(MAX($BI$2:$BI$252)-MIN($BI$2:$BI$252)=0,"",(BI154-MIN($BI$2:$BI$252))/(MAX($BI$2:$BI$252)-MIN($BI$2:$BI$252))*100))</x:f>
      </x:c>
      <x:c r="BK154">
        <x:f>IF(AD154="","",(AD154*2)+(AE154*1))</x:f>
      </x:c>
      <x:c r="BL154" s="10">
        <x:f>IF(BK154="","",IF(MAX($BK$2:$BK$252)-MIN($BK$2:$BK$252)=0,"",(BK154-MIN($BK$2:$BK$252))/(MAX($BK$2:$BK$252)-MIN($BK$2:$BK$252))*100))</x:f>
      </x:c>
      <x:c r="BM154" s="10">
        <x:f>IF(AB154="","",IF(MAX($AB$2:$AB$252)-MIN($AB$2:$AB$252)=0,"",(AB154-MIN($AB$2:$AB$252))/(MAX($AB$2:$AB$252)-MIN($AB$2:$AB$252))*100))</x:f>
      </x:c>
      <x:c r="BN154" s="10">
        <x:f>IF(X154="","",X154)</x:f>
      </x:c>
      <x:c r="BO154" s="10">
        <x:f>IF(X154="","",100-X154)</x:f>
      </x:c>
      <x:c r="BP154" s="10">
        <x:f>IF((Weights!$C$2*IF(BH154="",0,1)+Weights!$C$3*IF(BJ154="",0,1)+Weights!$C$4*IF(BL154="",0,1))=0,"",(Weights!$C$2*IF(BH154="",0,BH154)+Weights!$C$3*IF(BJ154="",0,BJ154)+Weights!$C$4*IF(BL154="",0,BL154))/(Weights!$C$2*IF(BH154="",0,1)+Weights!$C$3*IF(BJ154="",0,1)+Weights!$C$4*IF(BL154="",0,1)))</x:f>
      </x:c>
      <x:c r="BQ154" s="10">
        <x:f>IF((Weights!$C$5*IF(BA154="",0,1)+Weights!$C$6*IF(AW154="",0,1)+Weights!$C$7*IF(AU154="",0,1))=0,"",(Weights!$C$5*IF(BA154="",0,BA154)+Weights!$C$6*IF(AW154="",0,AW154)+Weights!$C$7*IF(AU154="",0,AU154))/(Weights!$C$5*IF(BA154="",0,1)+Weights!$C$6*IF(AW154="",0,1)+Weights!$C$7*IF(AU154="",0,1)))</x:f>
      </x:c>
      <x:c r="BR154" s="10">
        <x:f>IF((Weights!$C$8*IF(AW154="",0,1)+Weights!$C$9*IF(BC154="",0,1)+Weights!$C$10*IF(BF154="",0,1))=0,"",(Weights!$C$8*IF(AW154="",0,AW154)+Weights!$C$9*IF(BC154="",0,BC154)+Weights!$C$10*IF(BF154="",0,BF154))/(Weights!$C$8*IF(AW154="",0,1)+Weights!$C$9*IF(BC154="",0,1)+Weights!$C$10*IF(BF154="",0,1)))</x:f>
      </x:c>
      <x:c r="BS154" s="10">
        <x:f>IF(Y154="","",Y154)</x:f>
      </x:c>
      <x:c r="BT154" s="10">
        <x:f>IF(AS154="","",AS154)</x:f>
      </x:c>
      <x:c r="BU154" s="10">
        <x:f>IF(AJ154&lt;&gt;"",(0.6*AJ154+0.4*AU154),IF((Weights!$C$11*IF(AU154="",0,1)+Weights!$C$12*IF(BM154="",0,1))=0,"",(Weights!$C$11*IF(AU154="",0,AU154)+Weights!$C$12*IF(BM154="",0,BM154))/(Weights!$C$11*IF(AU154="",0,1)+Weights!$C$12*IF(BM154="",0,1))))</x:f>
      </x:c>
      <x:c r="BV154" s="10">
        <x:f>IF(CG154="",0,CG154)</x:f>
      </x:c>
      <x:c r="BW154" s="10">
        <x:f>IF(AP154="","",AP154)</x:f>
      </x:c>
      <x:c r="BX154" s="10">
        <x:f>IF(AO154="","",AO154)</x:f>
      </x:c>
      <x:c r="BY154" s="10">
        <x:f>IF(AL154="","",AL154)</x:f>
      </x:c>
      <x:c r="BZ154" s="10">
        <x:f>IF(AM154="","",AM154)</x:f>
      </x:c>
      <x:c r="CA154" s="10">
        <x:f>IF(AK154&lt;&gt;"",AK154,AW154)</x:f>
      </x:c>
      <x:c r="CB154" s="10">
        <x:f>IF((Weights!$C$13*IF(BP154="",0,1)+Weights!$C$14*IF(BR154="",0,1)+Weights!$C$15*IF(BQ154="",0,1)+Weights!$C$16*IF(BS154="",0,1)+Weights!$C$17*IF(BU154="",0,1)+Weights!$C$18*IF(BT154="",0,1)+Weights!$C$19*IF(BW154="",0,1)+Weights!$C$20*IF(BZ154="",0,1)+Weights!$C$21*IF(BO154="",0,1)+Weights!$C$22)=0,"",(Weights!$C$13*IF(BP154="",0,BP154)+Weights!$C$14*IF(BR154="",0,BR154)+Weights!$C$15*IF(BQ154="",0,BQ154)+Weights!$C$16*IF(BS154="",0,BS154)+Weights!$C$17*IF(BU154="",0,BU154)+Weights!$C$18*IF(BT154="",0,BT154)+Weights!$C$19*IF(BW154="",0,BW154)+Weights!$C$20*IF(BZ154="",0,BZ154)+Weights!$C$21*IF(BO154="",0,BO154)+Weights!$C$22*BV154)/(Weights!$C$13*IF(BP154="",0,1)+Weights!$C$14*IF(BR154="",0,1)+Weights!$C$15*IF(BQ154="",0,1)+Weights!$C$16*IF(BS154="",0,1)+Weights!$C$17*IF(BU154="",0,1)+Weights!$C$18*IF(BT154="",0,1)+Weights!$C$19*IF(BW154="",0,1)+Weights!$C$20*IF(BZ154="",0,1)+Weights!$C$21*IF(BO154="",0,1)+Weights!$C$22))</x:f>
      </x:c>
      <x:c r="CC154" s="10">
        <x:f>IF((Weights!$C$23*IF(BQ154="",0,1)+Weights!$C$24*IF(BN154="",0,1)+Weights!$C$25*IF(BS154="",0,1)+Weights!$C$26*IF(BY154="",0,1)+Weights!$C$27*IF(BX154="",0,1)+Weights!$C$28*IF(BT154="",0,1)+Weights!$C$29*IF(CA154="",0,1)+Weights!$C$30+Weights!$C$31*IF(BU154="",0,1))=0,"",(Weights!$C$23*IF(BQ154="",0,BQ154)+Weights!$C$24*IF(BN154="",0,BN154)+Weights!$C$25*IF(BS154="",0,BS154)+Weights!$C$26*IF(BY154="",0,BY154)+Weights!$C$27*IF(BX154="",0,BX154)+Weights!$C$28*IF(BT154="",0,BT154)+Weights!$C$29*IF(CA154="",0,CA154)+Weights!$C$30*BV154+Weights!$C$31*IF(BU154="",0,BU154))/(Weights!$C$23*IF(BQ154="",0,1)+Weights!$C$24*IF(BN154="",0,1)+Weights!$C$25*IF(BS154="",0,1)+Weights!$C$26*IF(BY154="",0,1)+Weights!$C$27*IF(BX154="",0,1)+Weights!$C$28*IF(BT154="",0,1)+Weights!$C$29*IF(CA154="",0,1)+Weights!$C$30+Weights!$C$31*IF(BU154="",0,1)))</x:f>
      </x:c>
      <x:c r="CD154" s="10">
        <x:f>IF(AND(CB154="",CC154=""),"",IF(CB154="",CC154,IF(CC154="",CB154,AVERAGE(CB154,CC154))))</x:f>
      </x:c>
      <x:c r="CE154" s="7">
        <x:f>ROUND(100*((IF(BP154&lt;&gt;"",1,0)+IF(BQ154&lt;&gt;"",1,0)+IF(BR154&lt;&gt;"",1,0)+IF(BS154&lt;&gt;"",1,0)+IF(BU154&lt;&gt;"",1,0)+IF(BT154&lt;&gt;"",1,0)+IF(BN154&lt;&gt;"",1,0)+IF(AW154&lt;&gt;"",1,0))/8),0)</x:f>
      </x:c>
      <x:c r="CF154">
        <x:f>IF(V154="","",LOG10(V154+1))</x:f>
      </x:c>
      <x:c r="CG154">
        <x:f>IF(CF154="","",IF(MAX($CF$2:$CF$252)-MIN($CF$2:$CF$252)=0,"",(CF154-MIN($CF$2:$CF$252))/(MAX($CF$2:$CF$252)-MIN($CF$2:$CF$252))*100))</x:f>
      </x:c>
    </x:row>
    <x:row r="155">
      <x:c r="A155" t="inlineStr">
        <x:is>
          <x:t xml:space="preserve">IND</x:t>
        </x:is>
      </x:c>
      <x:c r="B155" t="inlineStr">
        <x:is>
          <x:t xml:space="preserve">India</x:t>
        </x:is>
      </x:c>
      <x:c r="C155" t="inlineStr">
        <x:is>
          <x:t xml:space="preserve">South Asia</x:t>
        </x:is>
      </x:c>
      <x:c r="D155" t="inlineStr">
        <x:is>
          <x:t xml:space="preserve">Lower middle income</x:t>
        </x:is>
      </x:c>
      <x:c r="E155" t="inlineStr">
        <x:is>
          <x:t xml:space="preserve">Asia</x:t>
        </x:is>
      </x:c>
      <x:c r="F155" t="n">
        <x:v>2024</x:v>
      </x:c>
      <x:c r="G155" t="n">
        <x:v>1450935791</x:v>
      </x:c>
      <x:c r="H155" t="n">
        <x:v>2020</x:v>
      </x:c>
      <x:c r="I155" t="n">
        <x:v>3068000</x:v>
      </x:c>
      <x:c r="J155" t="n">
        <x:v>1994200</x:v>
      </x:c>
      <x:c r="K155" t="n">
        <x:v>613600</x:v>
      </x:c>
      <x:c r="L155" t="n">
        <x:v>368160</x:v>
      </x:c>
      <x:c r="M155" t="n">
        <x:v>2024</x:v>
      </x:c>
      <x:c r="N155" s="8" t="n">
        <x:v>86125976248.5524</x:v>
      </x:c>
      <x:c r="O155" s="9" t="n">
        <x:v>2.2712033218142</x:v>
      </x:c>
      <x:c r="P155" s="8" t="n">
        <x:v>28072.35210187497</x:v>
      </x:c>
      <x:c r="Q155" t="n">
        <x:v>2024</x:v>
      </x:c>
      <x:c r="R155" s="8" t="n">
        <x:v>3909891533858.08</x:v>
      </x:c>
      <x:c r="S155" t="n">
        <x:v>63</x:v>
      </x:c>
      <x:c r="T155" t="n">
        <x:v>8</x:v>
      </x:c>
      <x:c r="U155" t="inlineStr">
        <x:is>
          <x:t xml:space="preserve">Yes</x:t>
        </x:is>
      </x:c>
      <x:c r="V155" t="n">
        <x:v>180</x:v>
      </x:c>
      <x:c r="W155" t="inlineStr">
        <x:is>
          <x:t xml:space="preserve">Yes</x:t>
        </x:is>
      </x:c>
      <x:c r="X155" t="n">
        <x:v>33.65729104968565</x:v>
      </x:c>
      <x:c r="Y155" t="n">
        <x:v>59.57030514165326</x:v>
      </x:c>
      <x:c r="Z155" t="n">
        <x:v>3142892.097692822</x:v>
      </x:c>
      <x:c r="AA155" t="n">
        <x:v>407.884162469676</x:v>
      </x:c>
      <x:c r="AB155" s="8" t="n">
        <x:v>6802.992197322102</x:v>
      </x:c>
      <x:c r="AC155" t="n">
        <x:v>294</x:v>
      </x:c>
      <x:c r="AD155" t="n">
        <x:v>2</x:v>
      </x:c>
      <x:c r="AE155" t="n">
        <x:v>0</x:v>
      </x:c>
      <x:c r="AF155" t="n">
        <x:v>100.5</x:v>
      </x:c>
      <x:c r="AG155" t="n">
        <x:v>100</x:v>
      </x:c>
      <x:c r="AH155" t="n">
        <x:v>7</x:v>
      </x:c>
      <x:c r="AI155" t="n">
        <x:v>40</x:v>
      </x:c>
      <x:c r="AJ155" t="n">
        <x:v>27.1</x:v>
      </x:c>
      <x:c r="AK155" t="n">
        <x:v>48</x:v>
      </x:c>
      <x:c r="AL155" t="n">
        <x:v>55.5</x:v>
      </x:c>
      <x:c r="AM155" t="n">
        <x:v>55.1</x:v>
      </x:c>
      <x:c r="AN155" t="n">
        <x:v>19.7</x:v>
      </x:c>
      <x:c r="AO155" t="n">
        <x:v>16.4</x:v>
      </x:c>
      <x:c r="AP155" t="n">
        <x:v>70.8</x:v>
      </x:c>
      <x:c r="AQ155" t="n">
        <x:v>41.5</x:v>
      </x:c>
      <x:c r="AR155">
        <x:f>IF(G155="","",LOG10(G155+1))</x:f>
      </x:c>
      <x:c r="AS155" s="10">
        <x:f>IF(AR155="","",IF(MAX($AR$2:$AR$252)-MIN($AR$2:$AR$252)=0,"",(AR155-MIN($AR$2:$AR$252))/(MAX($AR$2:$AR$252)-MIN($AR$2:$AR$252))*100))</x:f>
      </x:c>
      <x:c r="AT155">
        <x:f>IF(R155="","",LOG10(R155+1))</x:f>
      </x:c>
      <x:c r="AU155" s="10">
        <x:f>IF(AT155="","",IF(MAX($AT$2:$AT$252)-MIN($AT$2:$AT$252)=0,"",(AT155-MIN($AT$2:$AT$252))/(MAX($AT$2:$AT$252)-MIN($AT$2:$AT$252))*100))</x:f>
      </x:c>
      <x:c r="AV155">
        <x:f>IF(N155="","",LOG10(N155+1))</x:f>
      </x:c>
      <x:c r="AW155" s="10">
        <x:f>IF(AV155="","",IF(MAX($AV$2:$AV$252)-MIN($AV$2:$AV$252)=0,"",(AV155-MIN($AV$2:$AV$252))/(MAX($AV$2:$AV$252)-MIN($AV$2:$AV$252))*100))</x:f>
      </x:c>
      <x:c r="AX155">
        <x:f>IF(I155="","",LOG10(I155+1))</x:f>
      </x:c>
      <x:c r="AY155" s="10">
        <x:f>IF(AX155="","",IF(MAX($AX$2:$AX$252)-MIN($AX$2:$AX$252)=0,"",(AX155-MIN($AX$2:$AX$252))/(MAX($AX$2:$AX$252)-MIN($AX$2:$AX$252))*100))</x:f>
      </x:c>
      <x:c r="AZ155">
        <x:f>IF(J155="","",LOG10(J155+1))</x:f>
      </x:c>
      <x:c r="BA155" s="10">
        <x:f>IF(AZ155="","",IF(MAX($AZ$2:$AZ$252)-MIN($AZ$2:$AZ$252)=0,"",(AZ155-MIN($AZ$2:$AZ$252))/(MAX($AZ$2:$AZ$252)-MIN($AZ$2:$AZ$252))*100))</x:f>
      </x:c>
      <x:c r="BB155">
        <x:f>IF(K155="","",LOG10(K155+1))</x:f>
      </x:c>
      <x:c r="BC155" s="10">
        <x:f>IF(BB155="","",IF(MAX($BB$2:$BB$252)-MIN($BB$2:$BB$252)=0,"",(BB155-MIN($BB$2:$BB$252))/(MAX($BB$2:$BB$252)-MIN($BB$2:$BB$252))*100))</x:f>
      </x:c>
      <x:c r="BD155">
        <x:f>IF(L155="","",LOG10(L155+1))</x:f>
      </x:c>
      <x:c r="BE155" s="10">
        <x:f>IF(BD155="","",IF(MAX($BD$2:$BD$252)-MIN($BD$2:$BD$252)=0,"",(BD155-MIN($BD$2:$BD$252))/(MAX($BD$2:$BD$252)-MIN($BD$2:$BD$252))*100))</x:f>
      </x:c>
      <x:c r="BF155" s="10">
        <x:f>IF(P155="","",IF(MAX($P$2:$P$252)-MIN($P$2:$P$252)=0,"",(P155-MIN($P$2:$P$252))/(MAX($P$2:$P$252)-MIN($P$2:$P$252))*100))</x:f>
      </x:c>
      <x:c r="BG155">
        <x:f>IF(AF155="","",LOG10(AF155+1))</x:f>
      </x:c>
      <x:c r="BH155" s="10">
        <x:f>IF(BG155="","",IF(MAX($BG$2:$BG$252)-MIN($BG$2:$BG$252)=0,"",(BG155-MIN($BG$2:$BG$252))/(MAX($BG$2:$BG$252)-MIN($BG$2:$BG$252))*100))</x:f>
      </x:c>
      <x:c r="BI155">
        <x:f>IF(AC155="","",LOG10(AC155+1))</x:f>
      </x:c>
      <x:c r="BJ155" s="10">
        <x:f>IF(BI155="","",IF(MAX($BI$2:$BI$252)-MIN($BI$2:$BI$252)=0,"",(BI155-MIN($BI$2:$BI$252))/(MAX($BI$2:$BI$252)-MIN($BI$2:$BI$252))*100))</x:f>
      </x:c>
      <x:c r="BK155">
        <x:f>IF(AD155="","",(AD155*2)+(AE155*1))</x:f>
      </x:c>
      <x:c r="BL155" s="10">
        <x:f>IF(BK155="","",IF(MAX($BK$2:$BK$252)-MIN($BK$2:$BK$252)=0,"",(BK155-MIN($BK$2:$BK$252))/(MAX($BK$2:$BK$252)-MIN($BK$2:$BK$252))*100))</x:f>
      </x:c>
      <x:c r="BM155" s="10">
        <x:f>IF(AB155="","",IF(MAX($AB$2:$AB$252)-MIN($AB$2:$AB$252)=0,"",(AB155-MIN($AB$2:$AB$252))/(MAX($AB$2:$AB$252)-MIN($AB$2:$AB$252))*100))</x:f>
      </x:c>
      <x:c r="BN155" s="10">
        <x:f>IF(X155="","",X155)</x:f>
      </x:c>
      <x:c r="BO155" s="10">
        <x:f>IF(X155="","",100-X155)</x:f>
      </x:c>
      <x:c r="BP155" s="10">
        <x:f>IF((Weights!$C$2*IF(BH155="",0,1)+Weights!$C$3*IF(BJ155="",0,1)+Weights!$C$4*IF(BL155="",0,1))=0,"",(Weights!$C$2*IF(BH155="",0,BH155)+Weights!$C$3*IF(BJ155="",0,BJ155)+Weights!$C$4*IF(BL155="",0,BL155))/(Weights!$C$2*IF(BH155="",0,1)+Weights!$C$3*IF(BJ155="",0,1)+Weights!$C$4*IF(BL155="",0,1)))</x:f>
      </x:c>
      <x:c r="BQ155" s="10">
        <x:f>IF((Weights!$C$5*IF(BA155="",0,1)+Weights!$C$6*IF(AW155="",0,1)+Weights!$C$7*IF(AU155="",0,1))=0,"",(Weights!$C$5*IF(BA155="",0,BA155)+Weights!$C$6*IF(AW155="",0,AW155)+Weights!$C$7*IF(AU155="",0,AU155))/(Weights!$C$5*IF(BA155="",0,1)+Weights!$C$6*IF(AW155="",0,1)+Weights!$C$7*IF(AU155="",0,1)))</x:f>
      </x:c>
      <x:c r="BR155" s="10">
        <x:f>IF((Weights!$C$8*IF(AW155="",0,1)+Weights!$C$9*IF(BC155="",0,1)+Weights!$C$10*IF(BF155="",0,1))=0,"",(Weights!$C$8*IF(AW155="",0,AW155)+Weights!$C$9*IF(BC155="",0,BC155)+Weights!$C$10*IF(BF155="",0,BF155))/(Weights!$C$8*IF(AW155="",0,1)+Weights!$C$9*IF(BC155="",0,1)+Weights!$C$10*IF(BF155="",0,1)))</x:f>
      </x:c>
      <x:c r="BS155" s="10">
        <x:f>IF(Y155="","",Y155)</x:f>
      </x:c>
      <x:c r="BT155" s="10">
        <x:f>IF(AS155="","",AS155)</x:f>
      </x:c>
      <x:c r="BU155" s="10">
        <x:f>IF(AJ155&lt;&gt;"",(0.6*AJ155+0.4*AU155),IF((Weights!$C$11*IF(AU155="",0,1)+Weights!$C$12*IF(BM155="",0,1))=0,"",(Weights!$C$11*IF(AU155="",0,AU155)+Weights!$C$12*IF(BM155="",0,BM155))/(Weights!$C$11*IF(AU155="",0,1)+Weights!$C$12*IF(BM155="",0,1))))</x:f>
      </x:c>
      <x:c r="BV155" s="10">
        <x:f>IF(CG155="",0,CG155)</x:f>
      </x:c>
      <x:c r="BW155" s="10">
        <x:f>IF(AP155="","",AP155)</x:f>
      </x:c>
      <x:c r="BX155" s="10">
        <x:f>IF(AO155="","",AO155)</x:f>
      </x:c>
      <x:c r="BY155" s="10">
        <x:f>IF(AL155="","",AL155)</x:f>
      </x:c>
      <x:c r="BZ155" s="10">
        <x:f>IF(AM155="","",AM155)</x:f>
      </x:c>
      <x:c r="CA155" s="10">
        <x:f>IF(AK155&lt;&gt;"",AK155,AW155)</x:f>
      </x:c>
      <x:c r="CB155" s="10">
        <x:f>IF((Weights!$C$13*IF(BP155="",0,1)+Weights!$C$14*IF(BR155="",0,1)+Weights!$C$15*IF(BQ155="",0,1)+Weights!$C$16*IF(BS155="",0,1)+Weights!$C$17*IF(BU155="",0,1)+Weights!$C$18*IF(BT155="",0,1)+Weights!$C$19*IF(BW155="",0,1)+Weights!$C$20*IF(BZ155="",0,1)+Weights!$C$21*IF(BO155="",0,1)+Weights!$C$22)=0,"",(Weights!$C$13*IF(BP155="",0,BP155)+Weights!$C$14*IF(BR155="",0,BR155)+Weights!$C$15*IF(BQ155="",0,BQ155)+Weights!$C$16*IF(BS155="",0,BS155)+Weights!$C$17*IF(BU155="",0,BU155)+Weights!$C$18*IF(BT155="",0,BT155)+Weights!$C$19*IF(BW155="",0,BW155)+Weights!$C$20*IF(BZ155="",0,BZ155)+Weights!$C$21*IF(BO155="",0,BO155)+Weights!$C$22*BV155)/(Weights!$C$13*IF(BP155="",0,1)+Weights!$C$14*IF(BR155="",0,1)+Weights!$C$15*IF(BQ155="",0,1)+Weights!$C$16*IF(BS155="",0,1)+Weights!$C$17*IF(BU155="",0,1)+Weights!$C$18*IF(BT155="",0,1)+Weights!$C$19*IF(BW155="",0,1)+Weights!$C$20*IF(BZ155="",0,1)+Weights!$C$21*IF(BO155="",0,1)+Weights!$C$22))</x:f>
      </x:c>
      <x:c r="CC155" s="10">
        <x:f>IF((Weights!$C$23*IF(BQ155="",0,1)+Weights!$C$24*IF(BN155="",0,1)+Weights!$C$25*IF(BS155="",0,1)+Weights!$C$26*IF(BY155="",0,1)+Weights!$C$27*IF(BX155="",0,1)+Weights!$C$28*IF(BT155="",0,1)+Weights!$C$29*IF(CA155="",0,1)+Weights!$C$30+Weights!$C$31*IF(BU155="",0,1))=0,"",(Weights!$C$23*IF(BQ155="",0,BQ155)+Weights!$C$24*IF(BN155="",0,BN155)+Weights!$C$25*IF(BS155="",0,BS155)+Weights!$C$26*IF(BY155="",0,BY155)+Weights!$C$27*IF(BX155="",0,BX155)+Weights!$C$28*IF(BT155="",0,BT155)+Weights!$C$29*IF(CA155="",0,CA155)+Weights!$C$30*BV155+Weights!$C$31*IF(BU155="",0,BU155))/(Weights!$C$23*IF(BQ155="",0,1)+Weights!$C$24*IF(BN155="",0,1)+Weights!$C$25*IF(BS155="",0,1)+Weights!$C$26*IF(BY155="",0,1)+Weights!$C$27*IF(BX155="",0,1)+Weights!$C$28*IF(BT155="",0,1)+Weights!$C$29*IF(CA155="",0,1)+Weights!$C$30+Weights!$C$31*IF(BU155="",0,1)))</x:f>
      </x:c>
      <x:c r="CD155" s="10">
        <x:f>IF(AND(CB155="",CC155=""),"",IF(CB155="",CC155,IF(CC155="",CB155,AVERAGE(CB155,CC155))))</x:f>
      </x:c>
      <x:c r="CE155" s="7">
        <x:f>ROUND(100*((IF(BP155&lt;&gt;"",1,0)+IF(BQ155&lt;&gt;"",1,0)+IF(BR155&lt;&gt;"",1,0)+IF(BS155&lt;&gt;"",1,0)+IF(BU155&lt;&gt;"",1,0)+IF(BT155&lt;&gt;"",1,0)+IF(BN155&lt;&gt;"",1,0)+IF(AW155&lt;&gt;"",1,0))/8),0)</x:f>
      </x:c>
      <x:c r="CF155">
        <x:f>IF(V155="","",LOG10(V155+1))</x:f>
      </x:c>
      <x:c r="CG155">
        <x:f>IF(CF155="","",IF(MAX($CF$2:$CF$252)-MIN($CF$2:$CF$252)=0,"",(CF155-MIN($CF$2:$CF$252))/(MAX($CF$2:$CF$252)-MIN($CF$2:$CF$252))*100))</x:f>
      </x:c>
    </x:row>
    <x:row r="156">
      <x:c r="A156" t="inlineStr">
        <x:is>
          <x:t xml:space="preserve">IDN</x:t>
        </x:is>
      </x:c>
      <x:c r="B156" t="inlineStr">
        <x:is>
          <x:t xml:space="preserve">Indonesia</x:t>
        </x:is>
      </x:c>
      <x:c r="C156" t="inlineStr">
        <x:is>
          <x:t xml:space="preserve">East Asia &amp; Pacific</x:t>
        </x:is>
      </x:c>
      <x:c r="D156" t="inlineStr">
        <x:is>
          <x:t xml:space="preserve">Upper middle income</x:t>
        </x:is>
      </x:c>
      <x:c r="E156" t="inlineStr">
        <x:is>
          <x:t xml:space="preserve">Asia</x:t>
        </x:is>
      </x:c>
      <x:c r="F156" t="n">
        <x:v>2024</x:v>
      </x:c>
      <x:c r="G156" t="n">
        <x:v>283487931</x:v>
      </x:c>
      <x:c r="H156" t="n">
        <x:v>2020</x:v>
      </x:c>
      <x:c r="I156" t="n">
        <x:v>676000</x:v>
      </x:c>
      <x:c r="J156" t="n">
        <x:v>439400</x:v>
      </x:c>
      <x:c r="K156" t="n">
        <x:v>135200</x:v>
      </x:c>
      <x:c r="L156" t="n">
        <x:v>81120</x:v>
      </x:c>
      <x:c r="M156" t="n">
        <x:v>2024</x:v>
      </x:c>
      <x:c r="N156" s="8" t="n">
        <x:v>11042843809.9082</x:v>
      </x:c>
      <x:c r="O156" s="9" t="n">
        <x:v>0.779216788275608</x:v>
      </x:c>
      <x:c r="P156" s="8" t="n">
        <x:v>16335.56776613639</x:v>
      </x:c>
      <x:c r="Q156" t="n">
        <x:v>2024</x:v>
      </x:c>
      <x:c r="R156" s="8" t="n">
        <x:v>1396300098190.97</x:v>
      </x:c>
      <x:c r="S156" t="n">
        <x:v>7</x:v>
      </x:c>
      <x:c r="T156" t="n">
        <x:v>0</x:v>
      </x:c>
      <x:c r="U156" t="inlineStr">
        <x:is>
          <x:t xml:space="preserve">No</x:t>
        </x:is>
      </x:c>
      <x:c r="W156" t="inlineStr">
        <x:is>
          <x:t xml:space="preserve">No</x:t>
        </x:is>
      </x:c>
      <x:c r="X156" t="n">
        <x:v>96.34831988223721</x:v>
      </x:c>
      <x:c r="Y156" t="n">
        <x:v>60.87090383486352</x:v>
      </x:c>
      <x:c r="Z156" t="n">
        <x:v>1819251.328987314</x:v>
      </x:c>
      <x:c r="AA156" t="n">
        <x:v>143.2351511019933</x:v>
      </x:c>
      <x:c r="AB156" s="8" t="n">
        <x:v>11620.19883595464</x:v>
      </x:c>
      <x:c r="AC156" t="n">
        <x:v>333</x:v>
      </x:c>
      <x:c r="AD156" t="n">
        <x:v>0</x:v>
      </x:c>
      <x:c r="AE156" t="n">
        <x:v>0</x:v>
      </x:c>
      <x:c r="AF156" t="n">
        <x:v>137.3</x:v>
      </x:c>
      <x:c r="AG156" t="n">
        <x:v>245</x:v>
      </x:c>
      <x:c r="AH156" t="n">
        <x:v>4</x:v>
      </x:c>
      <x:c r="AI156" t="n">
        <x:v>22.5</x:v>
      </x:c>
      <x:c r="AJ156" t="n">
        <x:v>10.1</x:v>
      </x:c>
      <x:c r="AK156" t="n">
        <x:v>15.9</x:v>
      </x:c>
      <x:c r="AL156" t="n">
        <x:v>34.5</x:v>
      </x:c>
      <x:c r="AM156" t="n">
        <x:v>12.8</x:v>
      </x:c>
      <x:c r="AN156" t="n">
        <x:v>18.5</x:v>
      </x:c>
      <x:c r="AO156" t="n">
        <x:v>14.8</x:v>
      </x:c>
      <x:c r="AP156" t="n">
        <x:v>67.2</x:v>
      </x:c>
      <x:c r="AQ156" t="n">
        <x:v>22.1</x:v>
      </x:c>
      <x:c r="AR156">
        <x:f>IF(G156="","",LOG10(G156+1))</x:f>
      </x:c>
      <x:c r="AS156" s="10">
        <x:f>IF(AR156="","",IF(MAX($AR$2:$AR$252)-MIN($AR$2:$AR$252)=0,"",(AR156-MIN($AR$2:$AR$252))/(MAX($AR$2:$AR$252)-MIN($AR$2:$AR$252))*100))</x:f>
      </x:c>
      <x:c r="AT156">
        <x:f>IF(R156="","",LOG10(R156+1))</x:f>
      </x:c>
      <x:c r="AU156" s="10">
        <x:f>IF(AT156="","",IF(MAX($AT$2:$AT$252)-MIN($AT$2:$AT$252)=0,"",(AT156-MIN($AT$2:$AT$252))/(MAX($AT$2:$AT$252)-MIN($AT$2:$AT$252))*100))</x:f>
      </x:c>
      <x:c r="AV156">
        <x:f>IF(N156="","",LOG10(N156+1))</x:f>
      </x:c>
      <x:c r="AW156" s="10">
        <x:f>IF(AV156="","",IF(MAX($AV$2:$AV$252)-MIN($AV$2:$AV$252)=0,"",(AV156-MIN($AV$2:$AV$252))/(MAX($AV$2:$AV$252)-MIN($AV$2:$AV$252))*100))</x:f>
      </x:c>
      <x:c r="AX156">
        <x:f>IF(I156="","",LOG10(I156+1))</x:f>
      </x:c>
      <x:c r="AY156" s="10">
        <x:f>IF(AX156="","",IF(MAX($AX$2:$AX$252)-MIN($AX$2:$AX$252)=0,"",(AX156-MIN($AX$2:$AX$252))/(MAX($AX$2:$AX$252)-MIN($AX$2:$AX$252))*100))</x:f>
      </x:c>
      <x:c r="AZ156">
        <x:f>IF(J156="","",LOG10(J156+1))</x:f>
      </x:c>
      <x:c r="BA156" s="10">
        <x:f>IF(AZ156="","",IF(MAX($AZ$2:$AZ$252)-MIN($AZ$2:$AZ$252)=0,"",(AZ156-MIN($AZ$2:$AZ$252))/(MAX($AZ$2:$AZ$252)-MIN($AZ$2:$AZ$252))*100))</x:f>
      </x:c>
      <x:c r="BB156">
        <x:f>IF(K156="","",LOG10(K156+1))</x:f>
      </x:c>
      <x:c r="BC156" s="10">
        <x:f>IF(BB156="","",IF(MAX($BB$2:$BB$252)-MIN($BB$2:$BB$252)=0,"",(BB156-MIN($BB$2:$BB$252))/(MAX($BB$2:$BB$252)-MIN($BB$2:$BB$252))*100))</x:f>
      </x:c>
      <x:c r="BD156">
        <x:f>IF(L156="","",LOG10(L156+1))</x:f>
      </x:c>
      <x:c r="BE156" s="10">
        <x:f>IF(BD156="","",IF(MAX($BD$2:$BD$252)-MIN($BD$2:$BD$252)=0,"",(BD156-MIN($BD$2:$BD$252))/(MAX($BD$2:$BD$252)-MIN($BD$2:$BD$252))*100))</x:f>
      </x:c>
      <x:c r="BF156" s="10">
        <x:f>IF(P156="","",IF(MAX($P$2:$P$252)-MIN($P$2:$P$252)=0,"",(P156-MIN($P$2:$P$252))/(MAX($P$2:$P$252)-MIN($P$2:$P$252))*100))</x:f>
      </x:c>
      <x:c r="BG156">
        <x:f>IF(AF156="","",LOG10(AF156+1))</x:f>
      </x:c>
      <x:c r="BH156" s="10">
        <x:f>IF(BG156="","",IF(MAX($BG$2:$BG$252)-MIN($BG$2:$BG$252)=0,"",(BG156-MIN($BG$2:$BG$252))/(MAX($BG$2:$BG$252)-MIN($BG$2:$BG$252))*100))</x:f>
      </x:c>
      <x:c r="BI156">
        <x:f>IF(AC156="","",LOG10(AC156+1))</x:f>
      </x:c>
      <x:c r="BJ156" s="10">
        <x:f>IF(BI156="","",IF(MAX($BI$2:$BI$252)-MIN($BI$2:$BI$252)=0,"",(BI156-MIN($BI$2:$BI$252))/(MAX($BI$2:$BI$252)-MIN($BI$2:$BI$252))*100))</x:f>
      </x:c>
      <x:c r="BK156">
        <x:f>IF(AD156="","",(AD156*2)+(AE156*1))</x:f>
      </x:c>
      <x:c r="BL156" s="10">
        <x:f>IF(BK156="","",IF(MAX($BK$2:$BK$252)-MIN($BK$2:$BK$252)=0,"",(BK156-MIN($BK$2:$BK$252))/(MAX($BK$2:$BK$252)-MIN($BK$2:$BK$252))*100))</x:f>
      </x:c>
      <x:c r="BM156" s="10">
        <x:f>IF(AB156="","",IF(MAX($AB$2:$AB$252)-MIN($AB$2:$AB$252)=0,"",(AB156-MIN($AB$2:$AB$252))/(MAX($AB$2:$AB$252)-MIN($AB$2:$AB$252))*100))</x:f>
      </x:c>
      <x:c r="BN156" s="10">
        <x:f>IF(X156="","",X156)</x:f>
      </x:c>
      <x:c r="BO156" s="10">
        <x:f>IF(X156="","",100-X156)</x:f>
      </x:c>
      <x:c r="BP156" s="10">
        <x:f>IF((Weights!$C$2*IF(BH156="",0,1)+Weights!$C$3*IF(BJ156="",0,1)+Weights!$C$4*IF(BL156="",0,1))=0,"",(Weights!$C$2*IF(BH156="",0,BH156)+Weights!$C$3*IF(BJ156="",0,BJ156)+Weights!$C$4*IF(BL156="",0,BL156))/(Weights!$C$2*IF(BH156="",0,1)+Weights!$C$3*IF(BJ156="",0,1)+Weights!$C$4*IF(BL156="",0,1)))</x:f>
      </x:c>
      <x:c r="BQ156" s="10">
        <x:f>IF((Weights!$C$5*IF(BA156="",0,1)+Weights!$C$6*IF(AW156="",0,1)+Weights!$C$7*IF(AU156="",0,1))=0,"",(Weights!$C$5*IF(BA156="",0,BA156)+Weights!$C$6*IF(AW156="",0,AW156)+Weights!$C$7*IF(AU156="",0,AU156))/(Weights!$C$5*IF(BA156="",0,1)+Weights!$C$6*IF(AW156="",0,1)+Weights!$C$7*IF(AU156="",0,1)))</x:f>
      </x:c>
      <x:c r="BR156" s="10">
        <x:f>IF((Weights!$C$8*IF(AW156="",0,1)+Weights!$C$9*IF(BC156="",0,1)+Weights!$C$10*IF(BF156="",0,1))=0,"",(Weights!$C$8*IF(AW156="",0,AW156)+Weights!$C$9*IF(BC156="",0,BC156)+Weights!$C$10*IF(BF156="",0,BF156))/(Weights!$C$8*IF(AW156="",0,1)+Weights!$C$9*IF(BC156="",0,1)+Weights!$C$10*IF(BF156="",0,1)))</x:f>
      </x:c>
      <x:c r="BS156" s="10">
        <x:f>IF(Y156="","",Y156)</x:f>
      </x:c>
      <x:c r="BT156" s="10">
        <x:f>IF(AS156="","",AS156)</x:f>
      </x:c>
      <x:c r="BU156" s="10">
        <x:f>IF(AJ156&lt;&gt;"",(0.6*AJ156+0.4*AU156),IF((Weights!$C$11*IF(AU156="",0,1)+Weights!$C$12*IF(BM156="",0,1))=0,"",(Weights!$C$11*IF(AU156="",0,AU156)+Weights!$C$12*IF(BM156="",0,BM156))/(Weights!$C$11*IF(AU156="",0,1)+Weights!$C$12*IF(BM156="",0,1))))</x:f>
      </x:c>
      <x:c r="BV156" s="10">
        <x:f>IF(CG156="",0,CG156)</x:f>
      </x:c>
      <x:c r="BW156" s="10">
        <x:f>IF(AP156="","",AP156)</x:f>
      </x:c>
      <x:c r="BX156" s="10">
        <x:f>IF(AO156="","",AO156)</x:f>
      </x:c>
      <x:c r="BY156" s="10">
        <x:f>IF(AL156="","",AL156)</x:f>
      </x:c>
      <x:c r="BZ156" s="10">
        <x:f>IF(AM156="","",AM156)</x:f>
      </x:c>
      <x:c r="CA156" s="10">
        <x:f>IF(AK156&lt;&gt;"",AK156,AW156)</x:f>
      </x:c>
      <x:c r="CB156" s="10">
        <x:f>IF((Weights!$C$13*IF(BP156="",0,1)+Weights!$C$14*IF(BR156="",0,1)+Weights!$C$15*IF(BQ156="",0,1)+Weights!$C$16*IF(BS156="",0,1)+Weights!$C$17*IF(BU156="",0,1)+Weights!$C$18*IF(BT156="",0,1)+Weights!$C$19*IF(BW156="",0,1)+Weights!$C$20*IF(BZ156="",0,1)+Weights!$C$21*IF(BO156="",0,1)+Weights!$C$22)=0,"",(Weights!$C$13*IF(BP156="",0,BP156)+Weights!$C$14*IF(BR156="",0,BR156)+Weights!$C$15*IF(BQ156="",0,BQ156)+Weights!$C$16*IF(BS156="",0,BS156)+Weights!$C$17*IF(BU156="",0,BU156)+Weights!$C$18*IF(BT156="",0,BT156)+Weights!$C$19*IF(BW156="",0,BW156)+Weights!$C$20*IF(BZ156="",0,BZ156)+Weights!$C$21*IF(BO156="",0,BO156)+Weights!$C$22*BV156)/(Weights!$C$13*IF(BP156="",0,1)+Weights!$C$14*IF(BR156="",0,1)+Weights!$C$15*IF(BQ156="",0,1)+Weights!$C$16*IF(BS156="",0,1)+Weights!$C$17*IF(BU156="",0,1)+Weights!$C$18*IF(BT156="",0,1)+Weights!$C$19*IF(BW156="",0,1)+Weights!$C$20*IF(BZ156="",0,1)+Weights!$C$21*IF(BO156="",0,1)+Weights!$C$22))</x:f>
      </x:c>
      <x:c r="CC156" s="10">
        <x:f>IF((Weights!$C$23*IF(BQ156="",0,1)+Weights!$C$24*IF(BN156="",0,1)+Weights!$C$25*IF(BS156="",0,1)+Weights!$C$26*IF(BY156="",0,1)+Weights!$C$27*IF(BX156="",0,1)+Weights!$C$28*IF(BT156="",0,1)+Weights!$C$29*IF(CA156="",0,1)+Weights!$C$30+Weights!$C$31*IF(BU156="",0,1))=0,"",(Weights!$C$23*IF(BQ156="",0,BQ156)+Weights!$C$24*IF(BN156="",0,BN156)+Weights!$C$25*IF(BS156="",0,BS156)+Weights!$C$26*IF(BY156="",0,BY156)+Weights!$C$27*IF(BX156="",0,BX156)+Weights!$C$28*IF(BT156="",0,BT156)+Weights!$C$29*IF(CA156="",0,CA156)+Weights!$C$30*BV156+Weights!$C$31*IF(BU156="",0,BU156))/(Weights!$C$23*IF(BQ156="",0,1)+Weights!$C$24*IF(BN156="",0,1)+Weights!$C$25*IF(BS156="",0,1)+Weights!$C$26*IF(BY156="",0,1)+Weights!$C$27*IF(BX156="",0,1)+Weights!$C$28*IF(BT156="",0,1)+Weights!$C$29*IF(CA156="",0,1)+Weights!$C$30+Weights!$C$31*IF(BU156="",0,1)))</x:f>
      </x:c>
      <x:c r="CD156" s="10">
        <x:f>IF(AND(CB156="",CC156=""),"",IF(CB156="",CC156,IF(CC156="",CB156,AVERAGE(CB156,CC156))))</x:f>
      </x:c>
      <x:c r="CE156" s="7">
        <x:f>ROUND(100*((IF(BP156&lt;&gt;"",1,0)+IF(BQ156&lt;&gt;"",1,0)+IF(BR156&lt;&gt;"",1,0)+IF(BS156&lt;&gt;"",1,0)+IF(BU156&lt;&gt;"",1,0)+IF(BT156&lt;&gt;"",1,0)+IF(BN156&lt;&gt;"",1,0)+IF(AW156&lt;&gt;"",1,0))/8),0)</x:f>
      </x:c>
      <x:c r="CF156">
        <x:f>IF(V156="","",LOG10(V156+1))</x:f>
      </x:c>
      <x:c r="CG156">
        <x:f>IF(CF156="","",IF(MAX($CF$2:$CF$252)-MIN($CF$2:$CF$252)=0,"",(CF156-MIN($CF$2:$CF$252))/(MAX($CF$2:$CF$252)-MIN($CF$2:$CF$252))*100))</x:f>
      </x:c>
    </x:row>
    <x:row r="157">
      <x:c r="A157" t="inlineStr">
        <x:is>
          <x:t xml:space="preserve">IRQ</x:t>
        </x:is>
      </x:c>
      <x:c r="B157" t="inlineStr">
        <x:is>
          <x:t xml:space="preserve">Iraq</x:t>
        </x:is>
      </x:c>
      <x:c r="C157" t="inlineStr">
        <x:is>
          <x:t xml:space="preserve">Middle East &amp; North Africa</x:t>
        </x:is>
      </x:c>
      <x:c r="D157" t="inlineStr">
        <x:is>
          <x:t xml:space="preserve">Upper middle income</x:t>
        </x:is>
      </x:c>
      <x:c r="E157" t="inlineStr">
        <x:is>
          <x:t xml:space="preserve">Asia</x:t>
        </x:is>
      </x:c>
      <x:c r="F157" t="n">
        <x:v>2024</x:v>
      </x:c>
      <x:c r="G157" t="n">
        <x:v>46042015</x:v>
      </x:c>
      <x:c r="H157" t="n">
        <x:v>2020</x:v>
      </x:c>
      <x:c r="I157" t="n">
        <x:v>459000</x:v>
      </x:c>
      <x:c r="J157" t="n">
        <x:v>298350</x:v>
      </x:c>
      <x:c r="K157" t="n">
        <x:v>91800</x:v>
      </x:c>
      <x:c r="L157" t="n">
        <x:v>55080</x:v>
      </x:c>
      <x:c r="M157" t="n">
        <x:v>2024</x:v>
      </x:c>
      <x:c r="N157" s="8" t="n">
        <x:v>6178546529.67549</x:v>
      </x:c>
      <x:c r="O157" s="9" t="n">
        <x:v>2.35714058035714</x:v>
      </x:c>
      <x:c r="P157" s="8" t="n">
        <x:v>13460.88568556752</x:v>
      </x:c>
      <x:c r="Q157" t="n">
        <x:v>2024</x:v>
      </x:c>
      <x:c r="R157" s="8" t="n">
        <x:v>279641257615.385</x:v>
      </x:c>
      <x:c r="S157" t="n">
        <x:v>1</x:v>
      </x:c>
      <x:c r="T157" t="n">
        <x:v>0</x:v>
      </x:c>
      <x:c r="U157" t="inlineStr">
        <x:is>
          <x:t xml:space="preserve">No</x:t>
        </x:is>
      </x:c>
      <x:c r="W157" t="inlineStr">
        <x:is>
          <x:t xml:space="preserve">No</x:t>
        </x:is>
      </x:c>
      <x:c r="X157" t="n">
        <x:v>10.48342399376057</x:v>
      </x:c>
      <x:c r="Y157" t="n">
        <x:v>61.91566563409657</x:v>
      </x:c>
      <x:c r="Z157" t="n">
        <x:v>436965.0341682605</x:v>
      </x:c>
      <x:c r="AA157" t="n">
        <x:v>89.6916410591069</x:v>
      </x:c>
      <x:c r="AB157" s="8" t="n">
        <x:v>15225.00280732518</x:v>
      </x:c>
      <x:c r="AC157" t="n">
        <x:v>68</x:v>
      </x:c>
      <x:c r="AD157" t="n">
        <x:v>0</x:v>
      </x:c>
      <x:c r="AE157" t="n">
        <x:v>0</x:v>
      </x:c>
      <x:c r="AR157">
        <x:f>IF(G157="","",LOG10(G157+1))</x:f>
      </x:c>
      <x:c r="AS157" s="10">
        <x:f>IF(AR157="","",IF(MAX($AR$2:$AR$252)-MIN($AR$2:$AR$252)=0,"",(AR157-MIN($AR$2:$AR$252))/(MAX($AR$2:$AR$252)-MIN($AR$2:$AR$252))*100))</x:f>
      </x:c>
      <x:c r="AT157">
        <x:f>IF(R157="","",LOG10(R157+1))</x:f>
      </x:c>
      <x:c r="AU157" s="10">
        <x:f>IF(AT157="","",IF(MAX($AT$2:$AT$252)-MIN($AT$2:$AT$252)=0,"",(AT157-MIN($AT$2:$AT$252))/(MAX($AT$2:$AT$252)-MIN($AT$2:$AT$252))*100))</x:f>
      </x:c>
      <x:c r="AV157">
        <x:f>IF(N157="","",LOG10(N157+1))</x:f>
      </x:c>
      <x:c r="AW157" s="10">
        <x:f>IF(AV157="","",IF(MAX($AV$2:$AV$252)-MIN($AV$2:$AV$252)=0,"",(AV157-MIN($AV$2:$AV$252))/(MAX($AV$2:$AV$252)-MIN($AV$2:$AV$252))*100))</x:f>
      </x:c>
      <x:c r="AX157">
        <x:f>IF(I157="","",LOG10(I157+1))</x:f>
      </x:c>
      <x:c r="AY157" s="10">
        <x:f>IF(AX157="","",IF(MAX($AX$2:$AX$252)-MIN($AX$2:$AX$252)=0,"",(AX157-MIN($AX$2:$AX$252))/(MAX($AX$2:$AX$252)-MIN($AX$2:$AX$252))*100))</x:f>
      </x:c>
      <x:c r="AZ157">
        <x:f>IF(J157="","",LOG10(J157+1))</x:f>
      </x:c>
      <x:c r="BA157" s="10">
        <x:f>IF(AZ157="","",IF(MAX($AZ$2:$AZ$252)-MIN($AZ$2:$AZ$252)=0,"",(AZ157-MIN($AZ$2:$AZ$252))/(MAX($AZ$2:$AZ$252)-MIN($AZ$2:$AZ$252))*100))</x:f>
      </x:c>
      <x:c r="BB157">
        <x:f>IF(K157="","",LOG10(K157+1))</x:f>
      </x:c>
      <x:c r="BC157" s="10">
        <x:f>IF(BB157="","",IF(MAX($BB$2:$BB$252)-MIN($BB$2:$BB$252)=0,"",(BB157-MIN($BB$2:$BB$252))/(MAX($BB$2:$BB$252)-MIN($BB$2:$BB$252))*100))</x:f>
      </x:c>
      <x:c r="BD157">
        <x:f>IF(L157="","",LOG10(L157+1))</x:f>
      </x:c>
      <x:c r="BE157" s="10">
        <x:f>IF(BD157="","",IF(MAX($BD$2:$BD$252)-MIN($BD$2:$BD$252)=0,"",(BD157-MIN($BD$2:$BD$252))/(MAX($BD$2:$BD$252)-MIN($BD$2:$BD$252))*100))</x:f>
      </x:c>
      <x:c r="BF157" s="10">
        <x:f>IF(P157="","",IF(MAX($P$2:$P$252)-MIN($P$2:$P$252)=0,"",(P157-MIN($P$2:$P$252))/(MAX($P$2:$P$252)-MIN($P$2:$P$252))*100))</x:f>
      </x:c>
      <x:c r="BG157">
        <x:f>IF(AF157="","",LOG10(AF157+1))</x:f>
      </x:c>
      <x:c r="BH157" s="10">
        <x:f>IF(BG157="","",IF(MAX($BG$2:$BG$252)-MIN($BG$2:$BG$252)=0,"",(BG157-MIN($BG$2:$BG$252))/(MAX($BG$2:$BG$252)-MIN($BG$2:$BG$252))*100))</x:f>
      </x:c>
      <x:c r="BI157">
        <x:f>IF(AC157="","",LOG10(AC157+1))</x:f>
      </x:c>
      <x:c r="BJ157" s="10">
        <x:f>IF(BI157="","",IF(MAX($BI$2:$BI$252)-MIN($BI$2:$BI$252)=0,"",(BI157-MIN($BI$2:$BI$252))/(MAX($BI$2:$BI$252)-MIN($BI$2:$BI$252))*100))</x:f>
      </x:c>
      <x:c r="BK157">
        <x:f>IF(AD157="","",(AD157*2)+(AE157*1))</x:f>
      </x:c>
      <x:c r="BL157" s="10">
        <x:f>IF(BK157="","",IF(MAX($BK$2:$BK$252)-MIN($BK$2:$BK$252)=0,"",(BK157-MIN($BK$2:$BK$252))/(MAX($BK$2:$BK$252)-MIN($BK$2:$BK$252))*100))</x:f>
      </x:c>
      <x:c r="BM157" s="10">
        <x:f>IF(AB157="","",IF(MAX($AB$2:$AB$252)-MIN($AB$2:$AB$252)=0,"",(AB157-MIN($AB$2:$AB$252))/(MAX($AB$2:$AB$252)-MIN($AB$2:$AB$252))*100))</x:f>
      </x:c>
      <x:c r="BN157" s="10">
        <x:f>IF(X157="","",X157)</x:f>
      </x:c>
      <x:c r="BO157" s="10">
        <x:f>IF(X157="","",100-X157)</x:f>
      </x:c>
      <x:c r="BP157" s="10">
        <x:f>IF((Weights!$C$2*IF(BH157="",0,1)+Weights!$C$3*IF(BJ157="",0,1)+Weights!$C$4*IF(BL157="",0,1))=0,"",(Weights!$C$2*IF(BH157="",0,BH157)+Weights!$C$3*IF(BJ157="",0,BJ157)+Weights!$C$4*IF(BL157="",0,BL157))/(Weights!$C$2*IF(BH157="",0,1)+Weights!$C$3*IF(BJ157="",0,1)+Weights!$C$4*IF(BL157="",0,1)))</x:f>
      </x:c>
      <x:c r="BQ157" s="10">
        <x:f>IF((Weights!$C$5*IF(BA157="",0,1)+Weights!$C$6*IF(AW157="",0,1)+Weights!$C$7*IF(AU157="",0,1))=0,"",(Weights!$C$5*IF(BA157="",0,BA157)+Weights!$C$6*IF(AW157="",0,AW157)+Weights!$C$7*IF(AU157="",0,AU157))/(Weights!$C$5*IF(BA157="",0,1)+Weights!$C$6*IF(AW157="",0,1)+Weights!$C$7*IF(AU157="",0,1)))</x:f>
      </x:c>
      <x:c r="BR157" s="10">
        <x:f>IF((Weights!$C$8*IF(AW157="",0,1)+Weights!$C$9*IF(BC157="",0,1)+Weights!$C$10*IF(BF157="",0,1))=0,"",(Weights!$C$8*IF(AW157="",0,AW157)+Weights!$C$9*IF(BC157="",0,BC157)+Weights!$C$10*IF(BF157="",0,BF157))/(Weights!$C$8*IF(AW157="",0,1)+Weights!$C$9*IF(BC157="",0,1)+Weights!$C$10*IF(BF157="",0,1)))</x:f>
      </x:c>
      <x:c r="BS157" s="10">
        <x:f>IF(Y157="","",Y157)</x:f>
      </x:c>
      <x:c r="BT157" s="10">
        <x:f>IF(AS157="","",AS157)</x:f>
      </x:c>
      <x:c r="BU157" s="10">
        <x:f>IF(AJ157&lt;&gt;"",(0.6*AJ157+0.4*AU157),IF((Weights!$C$11*IF(AU157="",0,1)+Weights!$C$12*IF(BM157="",0,1))=0,"",(Weights!$C$11*IF(AU157="",0,AU157)+Weights!$C$12*IF(BM157="",0,BM157))/(Weights!$C$11*IF(AU157="",0,1)+Weights!$C$12*IF(BM157="",0,1))))</x:f>
      </x:c>
      <x:c r="BV157" s="10">
        <x:f>IF(CG157="",0,CG157)</x:f>
      </x:c>
      <x:c r="BW157" s="10">
        <x:f>IF(AP157="","",AP157)</x:f>
      </x:c>
      <x:c r="BX157" s="10">
        <x:f>IF(AO157="","",AO157)</x:f>
      </x:c>
      <x:c r="BY157" s="10">
        <x:f>IF(AL157="","",AL157)</x:f>
      </x:c>
      <x:c r="BZ157" s="10">
        <x:f>IF(AM157="","",AM157)</x:f>
      </x:c>
      <x:c r="CA157" s="10">
        <x:f>IF(AK157&lt;&gt;"",AK157,AW157)</x:f>
      </x:c>
      <x:c r="CB157" s="10">
        <x:f>IF((Weights!$C$13*IF(BP157="",0,1)+Weights!$C$14*IF(BR157="",0,1)+Weights!$C$15*IF(BQ157="",0,1)+Weights!$C$16*IF(BS157="",0,1)+Weights!$C$17*IF(BU157="",0,1)+Weights!$C$18*IF(BT157="",0,1)+Weights!$C$19*IF(BW157="",0,1)+Weights!$C$20*IF(BZ157="",0,1)+Weights!$C$21*IF(BO157="",0,1)+Weights!$C$22)=0,"",(Weights!$C$13*IF(BP157="",0,BP157)+Weights!$C$14*IF(BR157="",0,BR157)+Weights!$C$15*IF(BQ157="",0,BQ157)+Weights!$C$16*IF(BS157="",0,BS157)+Weights!$C$17*IF(BU157="",0,BU157)+Weights!$C$18*IF(BT157="",0,BT157)+Weights!$C$19*IF(BW157="",0,BW157)+Weights!$C$20*IF(BZ157="",0,BZ157)+Weights!$C$21*IF(BO157="",0,BO157)+Weights!$C$22*BV157)/(Weights!$C$13*IF(BP157="",0,1)+Weights!$C$14*IF(BR157="",0,1)+Weights!$C$15*IF(BQ157="",0,1)+Weights!$C$16*IF(BS157="",0,1)+Weights!$C$17*IF(BU157="",0,1)+Weights!$C$18*IF(BT157="",0,1)+Weights!$C$19*IF(BW157="",0,1)+Weights!$C$20*IF(BZ157="",0,1)+Weights!$C$21*IF(BO157="",0,1)+Weights!$C$22))</x:f>
      </x:c>
      <x:c r="CC157" s="10">
        <x:f>IF((Weights!$C$23*IF(BQ157="",0,1)+Weights!$C$24*IF(BN157="",0,1)+Weights!$C$25*IF(BS157="",0,1)+Weights!$C$26*IF(BY157="",0,1)+Weights!$C$27*IF(BX157="",0,1)+Weights!$C$28*IF(BT157="",0,1)+Weights!$C$29*IF(CA157="",0,1)+Weights!$C$30+Weights!$C$31*IF(BU157="",0,1))=0,"",(Weights!$C$23*IF(BQ157="",0,BQ157)+Weights!$C$24*IF(BN157="",0,BN157)+Weights!$C$25*IF(BS157="",0,BS157)+Weights!$C$26*IF(BY157="",0,BY157)+Weights!$C$27*IF(BX157="",0,BX157)+Weights!$C$28*IF(BT157="",0,BT157)+Weights!$C$29*IF(CA157="",0,CA157)+Weights!$C$30*BV157+Weights!$C$31*IF(BU157="",0,BU157))/(Weights!$C$23*IF(BQ157="",0,1)+Weights!$C$24*IF(BN157="",0,1)+Weights!$C$25*IF(BS157="",0,1)+Weights!$C$26*IF(BY157="",0,1)+Weights!$C$27*IF(BX157="",0,1)+Weights!$C$28*IF(BT157="",0,1)+Weights!$C$29*IF(CA157="",0,1)+Weights!$C$30+Weights!$C$31*IF(BU157="",0,1)))</x:f>
      </x:c>
      <x:c r="CD157" s="10">
        <x:f>IF(AND(CB157="",CC157=""),"",IF(CB157="",CC157,IF(CC157="",CB157,AVERAGE(CB157,CC157))))</x:f>
      </x:c>
      <x:c r="CE157" s="7">
        <x:f>ROUND(100*((IF(BP157&lt;&gt;"",1,0)+IF(BQ157&lt;&gt;"",1,0)+IF(BR157&lt;&gt;"",1,0)+IF(BS157&lt;&gt;"",1,0)+IF(BU157&lt;&gt;"",1,0)+IF(BT157&lt;&gt;"",1,0)+IF(BN157&lt;&gt;"",1,0)+IF(AW157&lt;&gt;"",1,0))/8),0)</x:f>
      </x:c>
      <x:c r="CF157">
        <x:f>IF(V157="","",LOG10(V157+1))</x:f>
      </x:c>
      <x:c r="CG157">
        <x:f>IF(CF157="","",IF(MAX($CF$2:$CF$252)-MIN($CF$2:$CF$252)=0,"",(CF157-MIN($CF$2:$CF$252))/(MAX($CF$2:$CF$252)-MIN($CF$2:$CF$252))*100))</x:f>
      </x:c>
    </x:row>
    <x:row r="158">
      <x:c r="A158" t="inlineStr">
        <x:is>
          <x:t xml:space="preserve">KAZ</x:t>
        </x:is>
      </x:c>
      <x:c r="B158" t="inlineStr">
        <x:is>
          <x:t xml:space="preserve">Kazakhstan</x:t>
        </x:is>
      </x:c>
      <x:c r="C158" t="inlineStr">
        <x:is>
          <x:t xml:space="preserve">Europe &amp; Central Asia</x:t>
        </x:is>
      </x:c>
      <x:c r="D158" t="inlineStr">
        <x:is>
          <x:t xml:space="preserve">Upper middle income</x:t>
        </x:is>
      </x:c>
      <x:c r="E158" t="inlineStr">
        <x:is>
          <x:t xml:space="preserve">Asia</x:t>
        </x:is>
      </x:c>
      <x:c r="F158" t="n">
        <x:v>2024</x:v>
      </x:c>
      <x:c r="G158" t="n">
        <x:v>20592571</x:v>
      </x:c>
      <x:c r="H158" t="n">
        <x:v>2020</x:v>
      </x:c>
      <x:c r="I158" t="n">
        <x:v>71000</x:v>
      </x:c>
      <x:c r="J158" t="n">
        <x:v>46150</x:v>
      </x:c>
      <x:c r="K158" t="n">
        <x:v>14200</x:v>
      </x:c>
      <x:c r="L158" t="n">
        <x:v>8520</x:v>
      </x:c>
      <x:c r="M158" t="n">
        <x:v>2024</x:v>
      </x:c>
      <x:c r="N158" s="8" t="n">
        <x:v>1208967905.89819</x:v>
      </x:c>
      <x:c r="O158" s="9" t="n">
        <x:v>0.42842846956594</x:v>
      </x:c>
      <x:c r="P158" s="8" t="n">
        <x:v>17027.71698448155</x:v>
      </x:c>
      <x:c r="Q158" t="n">
        <x:v>2024</x:v>
      </x:c>
      <x:c r="R158" s="8" t="n">
        <x:v>291480274648.826</x:v>
      </x:c>
      <x:c r="S158" t="n">
        <x:v>6</x:v>
      </x:c>
      <x:c r="T158" t="n">
        <x:v>0</x:v>
      </x:c>
      <x:c r="U158" t="inlineStr">
        <x:is>
          <x:t xml:space="preserve">No</x:t>
        </x:is>
      </x:c>
      <x:c r="W158" t="inlineStr">
        <x:is>
          <x:t xml:space="preserve">No</x:t>
        </x:is>
      </x:c>
      <x:c r="X158" t="n">
        <x:v>26.26098424378572</x:v>
      </x:c>
      <x:c r="Y158" t="n">
        <x:v>53.67749500286516</x:v>
      </x:c>
      <x:c r="Z158" t="n">
        <x:v>2729810.512987814</x:v>
      </x:c>
      <x:c r="AA158" t="n">
        <x:v>6.797797104125534</x:v>
      </x:c>
      <x:c r="AB158" s="8" t="n">
        <x:v>24826.61516612492</x:v>
      </x:c>
      <x:c r="AC158" t="n">
        <x:v>18</x:v>
      </x:c>
      <x:c r="AD158" t="n">
        <x:v>0</x:v>
      </x:c>
      <x:c r="AE158" t="n">
        <x:v>0</x:v>
      </x:c>
      <x:c r="AR158">
        <x:f>IF(G158="","",LOG10(G158+1))</x:f>
      </x:c>
      <x:c r="AS158" s="10">
        <x:f>IF(AR158="","",IF(MAX($AR$2:$AR$252)-MIN($AR$2:$AR$252)=0,"",(AR158-MIN($AR$2:$AR$252))/(MAX($AR$2:$AR$252)-MIN($AR$2:$AR$252))*100))</x:f>
      </x:c>
      <x:c r="AT158">
        <x:f>IF(R158="","",LOG10(R158+1))</x:f>
      </x:c>
      <x:c r="AU158" s="10">
        <x:f>IF(AT158="","",IF(MAX($AT$2:$AT$252)-MIN($AT$2:$AT$252)=0,"",(AT158-MIN($AT$2:$AT$252))/(MAX($AT$2:$AT$252)-MIN($AT$2:$AT$252))*100))</x:f>
      </x:c>
      <x:c r="AV158">
        <x:f>IF(N158="","",LOG10(N158+1))</x:f>
      </x:c>
      <x:c r="AW158" s="10">
        <x:f>IF(AV158="","",IF(MAX($AV$2:$AV$252)-MIN($AV$2:$AV$252)=0,"",(AV158-MIN($AV$2:$AV$252))/(MAX($AV$2:$AV$252)-MIN($AV$2:$AV$252))*100))</x:f>
      </x:c>
      <x:c r="AX158">
        <x:f>IF(I158="","",LOG10(I158+1))</x:f>
      </x:c>
      <x:c r="AY158" s="10">
        <x:f>IF(AX158="","",IF(MAX($AX$2:$AX$252)-MIN($AX$2:$AX$252)=0,"",(AX158-MIN($AX$2:$AX$252))/(MAX($AX$2:$AX$252)-MIN($AX$2:$AX$252))*100))</x:f>
      </x:c>
      <x:c r="AZ158">
        <x:f>IF(J158="","",LOG10(J158+1))</x:f>
      </x:c>
      <x:c r="BA158" s="10">
        <x:f>IF(AZ158="","",IF(MAX($AZ$2:$AZ$252)-MIN($AZ$2:$AZ$252)=0,"",(AZ158-MIN($AZ$2:$AZ$252))/(MAX($AZ$2:$AZ$252)-MIN($AZ$2:$AZ$252))*100))</x:f>
      </x:c>
      <x:c r="BB158">
        <x:f>IF(K158="","",LOG10(K158+1))</x:f>
      </x:c>
      <x:c r="BC158" s="10">
        <x:f>IF(BB158="","",IF(MAX($BB$2:$BB$252)-MIN($BB$2:$BB$252)=0,"",(BB158-MIN($BB$2:$BB$252))/(MAX($BB$2:$BB$252)-MIN($BB$2:$BB$252))*100))</x:f>
      </x:c>
      <x:c r="BD158">
        <x:f>IF(L158="","",LOG10(L158+1))</x:f>
      </x:c>
      <x:c r="BE158" s="10">
        <x:f>IF(BD158="","",IF(MAX($BD$2:$BD$252)-MIN($BD$2:$BD$252)=0,"",(BD158-MIN($BD$2:$BD$252))/(MAX($BD$2:$BD$252)-MIN($BD$2:$BD$252))*100))</x:f>
      </x:c>
      <x:c r="BF158" s="10">
        <x:f>IF(P158="","",IF(MAX($P$2:$P$252)-MIN($P$2:$P$252)=0,"",(P158-MIN($P$2:$P$252))/(MAX($P$2:$P$252)-MIN($P$2:$P$252))*100))</x:f>
      </x:c>
      <x:c r="BG158">
        <x:f>IF(AF158="","",LOG10(AF158+1))</x:f>
      </x:c>
      <x:c r="BH158" s="10">
        <x:f>IF(BG158="","",IF(MAX($BG$2:$BG$252)-MIN($BG$2:$BG$252)=0,"",(BG158-MIN($BG$2:$BG$252))/(MAX($BG$2:$BG$252)-MIN($BG$2:$BG$252))*100))</x:f>
      </x:c>
      <x:c r="BI158">
        <x:f>IF(AC158="","",LOG10(AC158+1))</x:f>
      </x:c>
      <x:c r="BJ158" s="10">
        <x:f>IF(BI158="","",IF(MAX($BI$2:$BI$252)-MIN($BI$2:$BI$252)=0,"",(BI158-MIN($BI$2:$BI$252))/(MAX($BI$2:$BI$252)-MIN($BI$2:$BI$252))*100))</x:f>
      </x:c>
      <x:c r="BK158">
        <x:f>IF(AD158="","",(AD158*2)+(AE158*1))</x:f>
      </x:c>
      <x:c r="BL158" s="10">
        <x:f>IF(BK158="","",IF(MAX($BK$2:$BK$252)-MIN($BK$2:$BK$252)=0,"",(BK158-MIN($BK$2:$BK$252))/(MAX($BK$2:$BK$252)-MIN($BK$2:$BK$252))*100))</x:f>
      </x:c>
      <x:c r="BM158" s="10">
        <x:f>IF(AB158="","",IF(MAX($AB$2:$AB$252)-MIN($AB$2:$AB$252)=0,"",(AB158-MIN($AB$2:$AB$252))/(MAX($AB$2:$AB$252)-MIN($AB$2:$AB$252))*100))</x:f>
      </x:c>
      <x:c r="BN158" s="10">
        <x:f>IF(X158="","",X158)</x:f>
      </x:c>
      <x:c r="BO158" s="10">
        <x:f>IF(X158="","",100-X158)</x:f>
      </x:c>
      <x:c r="BP158" s="10">
        <x:f>IF((Weights!$C$2*IF(BH158="",0,1)+Weights!$C$3*IF(BJ158="",0,1)+Weights!$C$4*IF(BL158="",0,1))=0,"",(Weights!$C$2*IF(BH158="",0,BH158)+Weights!$C$3*IF(BJ158="",0,BJ158)+Weights!$C$4*IF(BL158="",0,BL158))/(Weights!$C$2*IF(BH158="",0,1)+Weights!$C$3*IF(BJ158="",0,1)+Weights!$C$4*IF(BL158="",0,1)))</x:f>
      </x:c>
      <x:c r="BQ158" s="10">
        <x:f>IF((Weights!$C$5*IF(BA158="",0,1)+Weights!$C$6*IF(AW158="",0,1)+Weights!$C$7*IF(AU158="",0,1))=0,"",(Weights!$C$5*IF(BA158="",0,BA158)+Weights!$C$6*IF(AW158="",0,AW158)+Weights!$C$7*IF(AU158="",0,AU158))/(Weights!$C$5*IF(BA158="",0,1)+Weights!$C$6*IF(AW158="",0,1)+Weights!$C$7*IF(AU158="",0,1)))</x:f>
      </x:c>
      <x:c r="BR158" s="10">
        <x:f>IF((Weights!$C$8*IF(AW158="",0,1)+Weights!$C$9*IF(BC158="",0,1)+Weights!$C$10*IF(BF158="",0,1))=0,"",(Weights!$C$8*IF(AW158="",0,AW158)+Weights!$C$9*IF(BC158="",0,BC158)+Weights!$C$10*IF(BF158="",0,BF158))/(Weights!$C$8*IF(AW158="",0,1)+Weights!$C$9*IF(BC158="",0,1)+Weights!$C$10*IF(BF158="",0,1)))</x:f>
      </x:c>
      <x:c r="BS158" s="10">
        <x:f>IF(Y158="","",Y158)</x:f>
      </x:c>
      <x:c r="BT158" s="10">
        <x:f>IF(AS158="","",AS158)</x:f>
      </x:c>
      <x:c r="BU158" s="10">
        <x:f>IF(AJ158&lt;&gt;"",(0.6*AJ158+0.4*AU158),IF((Weights!$C$11*IF(AU158="",0,1)+Weights!$C$12*IF(BM158="",0,1))=0,"",(Weights!$C$11*IF(AU158="",0,AU158)+Weights!$C$12*IF(BM158="",0,BM158))/(Weights!$C$11*IF(AU158="",0,1)+Weights!$C$12*IF(BM158="",0,1))))</x:f>
      </x:c>
      <x:c r="BV158" s="10">
        <x:f>IF(CG158="",0,CG158)</x:f>
      </x:c>
      <x:c r="BW158" s="10">
        <x:f>IF(AP158="","",AP158)</x:f>
      </x:c>
      <x:c r="BX158" s="10">
        <x:f>IF(AO158="","",AO158)</x:f>
      </x:c>
      <x:c r="BY158" s="10">
        <x:f>IF(AL158="","",AL158)</x:f>
      </x:c>
      <x:c r="BZ158" s="10">
        <x:f>IF(AM158="","",AM158)</x:f>
      </x:c>
      <x:c r="CA158" s="10">
        <x:f>IF(AK158&lt;&gt;"",AK158,AW158)</x:f>
      </x:c>
      <x:c r="CB158" s="10">
        <x:f>IF((Weights!$C$13*IF(BP158="",0,1)+Weights!$C$14*IF(BR158="",0,1)+Weights!$C$15*IF(BQ158="",0,1)+Weights!$C$16*IF(BS158="",0,1)+Weights!$C$17*IF(BU158="",0,1)+Weights!$C$18*IF(BT158="",0,1)+Weights!$C$19*IF(BW158="",0,1)+Weights!$C$20*IF(BZ158="",0,1)+Weights!$C$21*IF(BO158="",0,1)+Weights!$C$22)=0,"",(Weights!$C$13*IF(BP158="",0,BP158)+Weights!$C$14*IF(BR158="",0,BR158)+Weights!$C$15*IF(BQ158="",0,BQ158)+Weights!$C$16*IF(BS158="",0,BS158)+Weights!$C$17*IF(BU158="",0,BU158)+Weights!$C$18*IF(BT158="",0,BT158)+Weights!$C$19*IF(BW158="",0,BW158)+Weights!$C$20*IF(BZ158="",0,BZ158)+Weights!$C$21*IF(BO158="",0,BO158)+Weights!$C$22*BV158)/(Weights!$C$13*IF(BP158="",0,1)+Weights!$C$14*IF(BR158="",0,1)+Weights!$C$15*IF(BQ158="",0,1)+Weights!$C$16*IF(BS158="",0,1)+Weights!$C$17*IF(BU158="",0,1)+Weights!$C$18*IF(BT158="",0,1)+Weights!$C$19*IF(BW158="",0,1)+Weights!$C$20*IF(BZ158="",0,1)+Weights!$C$21*IF(BO158="",0,1)+Weights!$C$22))</x:f>
      </x:c>
      <x:c r="CC158" s="10">
        <x:f>IF((Weights!$C$23*IF(BQ158="",0,1)+Weights!$C$24*IF(BN158="",0,1)+Weights!$C$25*IF(BS158="",0,1)+Weights!$C$26*IF(BY158="",0,1)+Weights!$C$27*IF(BX158="",0,1)+Weights!$C$28*IF(BT158="",0,1)+Weights!$C$29*IF(CA158="",0,1)+Weights!$C$30+Weights!$C$31*IF(BU158="",0,1))=0,"",(Weights!$C$23*IF(BQ158="",0,BQ158)+Weights!$C$24*IF(BN158="",0,BN158)+Weights!$C$25*IF(BS158="",0,BS158)+Weights!$C$26*IF(BY158="",0,BY158)+Weights!$C$27*IF(BX158="",0,BX158)+Weights!$C$28*IF(BT158="",0,BT158)+Weights!$C$29*IF(CA158="",0,CA158)+Weights!$C$30*BV158+Weights!$C$31*IF(BU158="",0,BU158))/(Weights!$C$23*IF(BQ158="",0,1)+Weights!$C$24*IF(BN158="",0,1)+Weights!$C$25*IF(BS158="",0,1)+Weights!$C$26*IF(BY158="",0,1)+Weights!$C$27*IF(BX158="",0,1)+Weights!$C$28*IF(BT158="",0,1)+Weights!$C$29*IF(CA158="",0,1)+Weights!$C$30+Weights!$C$31*IF(BU158="",0,1)))</x:f>
      </x:c>
      <x:c r="CD158" s="10">
        <x:f>IF(AND(CB158="",CC158=""),"",IF(CB158="",CC158,IF(CC158="",CB158,AVERAGE(CB158,CC158))))</x:f>
      </x:c>
      <x:c r="CE158" s="7">
        <x:f>ROUND(100*((IF(BP158&lt;&gt;"",1,0)+IF(BQ158&lt;&gt;"",1,0)+IF(BR158&lt;&gt;"",1,0)+IF(BS158&lt;&gt;"",1,0)+IF(BU158&lt;&gt;"",1,0)+IF(BT158&lt;&gt;"",1,0)+IF(BN158&lt;&gt;"",1,0)+IF(AW158&lt;&gt;"",1,0))/8),0)</x:f>
      </x:c>
      <x:c r="CF158">
        <x:f>IF(V158="","",LOG10(V158+1))</x:f>
      </x:c>
      <x:c r="CG158">
        <x:f>IF(CF158="","",IF(MAX($CF$2:$CF$252)-MIN($CF$2:$CF$252)=0,"",(CF158-MIN($CF$2:$CF$252))/(MAX($CF$2:$CF$252)-MIN($CF$2:$CF$252))*100))</x:f>
      </x:c>
    </x:row>
    <x:row r="159">
      <x:c r="A159" t="inlineStr">
        <x:is>
          <x:t xml:space="preserve">KEN</x:t>
        </x:is>
      </x:c>
      <x:c r="B159" t="inlineStr">
        <x:is>
          <x:t xml:space="preserve">Kenya</x:t>
        </x:is>
      </x:c>
      <x:c r="C159" t="inlineStr">
        <x:is>
          <x:t xml:space="preserve">Sub-Saharan Africa</x:t>
        </x:is>
      </x:c>
      <x:c r="D159" t="inlineStr">
        <x:is>
          <x:t xml:space="preserve">Lower middle income</x:t>
        </x:is>
      </x:c>
      <x:c r="E159" t="inlineStr">
        <x:is>
          <x:t xml:space="preserve">Africa</x:t>
        </x:is>
      </x:c>
      <x:c r="F159" t="n">
        <x:v>2024</x:v>
      </x:c>
      <x:c r="G159" t="n">
        <x:v>56432944</x:v>
      </x:c>
      <x:c r="H159" t="n">
        <x:v>2020</x:v>
      </x:c>
      <x:c r="I159" t="n">
        <x:v>24000</x:v>
      </x:c>
      <x:c r="J159" t="n">
        <x:v>15600</x:v>
      </x:c>
      <x:c r="K159" t="n">
        <x:v>4800</x:v>
      </x:c>
      <x:c r="L159" t="n">
        <x:v>2880</x:v>
      </x:c>
      <x:c r="M159" t="n">
        <x:v>2024</x:v>
      </x:c>
      <x:c r="N159" s="8" t="n">
        <x:v>1231306436.54642</x:v>
      </x:c>
      <x:c r="O159" s="9" t="n">
        <x:v>0.999546585264659</x:v>
      </x:c>
      <x:c r="P159" s="8" t="n">
        <x:v>51304.43485610084</x:v>
      </x:c>
      <x:c r="Q159" t="n">
        <x:v>2024</x:v>
      </x:c>
      <x:c r="R159" s="8" t="n">
        <x:v>120339557905.932</x:v>
      </x:c>
      <x:c r="S159" t="n">
        <x:v>1</x:v>
      </x:c>
      <x:c r="T159" t="n">
        <x:v>0</x:v>
      </x:c>
      <x:c r="U159" t="inlineStr">
        <x:is>
          <x:t xml:space="preserve">No</x:t>
        </x:is>
      </x:c>
      <x:c r="W159" t="inlineStr">
        <x:is>
          <x:t xml:space="preserve">No</x:t>
        </x:is>
      </x:c>
      <x:c r="X159" t="n">
        <x:v>11.08554936161737</x:v>
      </x:c>
      <x:c r="Y159" t="n">
        <x:v>38.44259965127875</x:v>
      </x:c>
      <x:c r="Z159" t="n">
        <x:v>590836.9141957334</x:v>
      </x:c>
      <x:c r="AA159" t="n">
        <x:v>80.59032510657549</x:v>
      </x:c>
      <x:c r="AB159" s="8" t="n">
        <x:v>3206.922820204471</x:v>
      </x:c>
      <x:c r="AC159" t="n">
        <x:v>19</x:v>
      </x:c>
      <x:c r="AD159" t="n">
        <x:v>0</x:v>
      </x:c>
      <x:c r="AE159" t="n">
        <x:v>0</x:v>
      </x:c>
      <x:c r="AR159">
        <x:f>IF(G159="","",LOG10(G159+1))</x:f>
      </x:c>
      <x:c r="AS159" s="10">
        <x:f>IF(AR159="","",IF(MAX($AR$2:$AR$252)-MIN($AR$2:$AR$252)=0,"",(AR159-MIN($AR$2:$AR$252))/(MAX($AR$2:$AR$252)-MIN($AR$2:$AR$252))*100))</x:f>
      </x:c>
      <x:c r="AT159">
        <x:f>IF(R159="","",LOG10(R159+1))</x:f>
      </x:c>
      <x:c r="AU159" s="10">
        <x:f>IF(AT159="","",IF(MAX($AT$2:$AT$252)-MIN($AT$2:$AT$252)=0,"",(AT159-MIN($AT$2:$AT$252))/(MAX($AT$2:$AT$252)-MIN($AT$2:$AT$252))*100))</x:f>
      </x:c>
      <x:c r="AV159">
        <x:f>IF(N159="","",LOG10(N159+1))</x:f>
      </x:c>
      <x:c r="AW159" s="10">
        <x:f>IF(AV159="","",IF(MAX($AV$2:$AV$252)-MIN($AV$2:$AV$252)=0,"",(AV159-MIN($AV$2:$AV$252))/(MAX($AV$2:$AV$252)-MIN($AV$2:$AV$252))*100))</x:f>
      </x:c>
      <x:c r="AX159">
        <x:f>IF(I159="","",LOG10(I159+1))</x:f>
      </x:c>
      <x:c r="AY159" s="10">
        <x:f>IF(AX159="","",IF(MAX($AX$2:$AX$252)-MIN($AX$2:$AX$252)=0,"",(AX159-MIN($AX$2:$AX$252))/(MAX($AX$2:$AX$252)-MIN($AX$2:$AX$252))*100))</x:f>
      </x:c>
      <x:c r="AZ159">
        <x:f>IF(J159="","",LOG10(J159+1))</x:f>
      </x:c>
      <x:c r="BA159" s="10">
        <x:f>IF(AZ159="","",IF(MAX($AZ$2:$AZ$252)-MIN($AZ$2:$AZ$252)=0,"",(AZ159-MIN($AZ$2:$AZ$252))/(MAX($AZ$2:$AZ$252)-MIN($AZ$2:$AZ$252))*100))</x:f>
      </x:c>
      <x:c r="BB159">
        <x:f>IF(K159="","",LOG10(K159+1))</x:f>
      </x:c>
      <x:c r="BC159" s="10">
        <x:f>IF(BB159="","",IF(MAX($BB$2:$BB$252)-MIN($BB$2:$BB$252)=0,"",(BB159-MIN($BB$2:$BB$252))/(MAX($BB$2:$BB$252)-MIN($BB$2:$BB$252))*100))</x:f>
      </x:c>
      <x:c r="BD159">
        <x:f>IF(L159="","",LOG10(L159+1))</x:f>
      </x:c>
      <x:c r="BE159" s="10">
        <x:f>IF(BD159="","",IF(MAX($BD$2:$BD$252)-MIN($BD$2:$BD$252)=0,"",(BD159-MIN($BD$2:$BD$252))/(MAX($BD$2:$BD$252)-MIN($BD$2:$BD$252))*100))</x:f>
      </x:c>
      <x:c r="BF159" s="10">
        <x:f>IF(P159="","",IF(MAX($P$2:$P$252)-MIN($P$2:$P$252)=0,"",(P159-MIN($P$2:$P$252))/(MAX($P$2:$P$252)-MIN($P$2:$P$252))*100))</x:f>
      </x:c>
      <x:c r="BG159">
        <x:f>IF(AF159="","",LOG10(AF159+1))</x:f>
      </x:c>
      <x:c r="BH159" s="10">
        <x:f>IF(BG159="","",IF(MAX($BG$2:$BG$252)-MIN($BG$2:$BG$252)=0,"",(BG159-MIN($BG$2:$BG$252))/(MAX($BG$2:$BG$252)-MIN($BG$2:$BG$252))*100))</x:f>
      </x:c>
      <x:c r="BI159">
        <x:f>IF(AC159="","",LOG10(AC159+1))</x:f>
      </x:c>
      <x:c r="BJ159" s="10">
        <x:f>IF(BI159="","",IF(MAX($BI$2:$BI$252)-MIN($BI$2:$BI$252)=0,"",(BI159-MIN($BI$2:$BI$252))/(MAX($BI$2:$BI$252)-MIN($BI$2:$BI$252))*100))</x:f>
      </x:c>
      <x:c r="BK159">
        <x:f>IF(AD159="","",(AD159*2)+(AE159*1))</x:f>
      </x:c>
      <x:c r="BL159" s="10">
        <x:f>IF(BK159="","",IF(MAX($BK$2:$BK$252)-MIN($BK$2:$BK$252)=0,"",(BK159-MIN($BK$2:$BK$252))/(MAX($BK$2:$BK$252)-MIN($BK$2:$BK$252))*100))</x:f>
      </x:c>
      <x:c r="BM159" s="10">
        <x:f>IF(AB159="","",IF(MAX($AB$2:$AB$252)-MIN($AB$2:$AB$252)=0,"",(AB159-MIN($AB$2:$AB$252))/(MAX($AB$2:$AB$252)-MIN($AB$2:$AB$252))*100))</x:f>
      </x:c>
      <x:c r="BN159" s="10">
        <x:f>IF(X159="","",X159)</x:f>
      </x:c>
      <x:c r="BO159" s="10">
        <x:f>IF(X159="","",100-X159)</x:f>
      </x:c>
      <x:c r="BP159" s="10">
        <x:f>IF((Weights!$C$2*IF(BH159="",0,1)+Weights!$C$3*IF(BJ159="",0,1)+Weights!$C$4*IF(BL159="",0,1))=0,"",(Weights!$C$2*IF(BH159="",0,BH159)+Weights!$C$3*IF(BJ159="",0,BJ159)+Weights!$C$4*IF(BL159="",0,BL159))/(Weights!$C$2*IF(BH159="",0,1)+Weights!$C$3*IF(BJ159="",0,1)+Weights!$C$4*IF(BL159="",0,1)))</x:f>
      </x:c>
      <x:c r="BQ159" s="10">
        <x:f>IF((Weights!$C$5*IF(BA159="",0,1)+Weights!$C$6*IF(AW159="",0,1)+Weights!$C$7*IF(AU159="",0,1))=0,"",(Weights!$C$5*IF(BA159="",0,BA159)+Weights!$C$6*IF(AW159="",0,AW159)+Weights!$C$7*IF(AU159="",0,AU159))/(Weights!$C$5*IF(BA159="",0,1)+Weights!$C$6*IF(AW159="",0,1)+Weights!$C$7*IF(AU159="",0,1)))</x:f>
      </x:c>
      <x:c r="BR159" s="10">
        <x:f>IF((Weights!$C$8*IF(AW159="",0,1)+Weights!$C$9*IF(BC159="",0,1)+Weights!$C$10*IF(BF159="",0,1))=0,"",(Weights!$C$8*IF(AW159="",0,AW159)+Weights!$C$9*IF(BC159="",0,BC159)+Weights!$C$10*IF(BF159="",0,BF159))/(Weights!$C$8*IF(AW159="",0,1)+Weights!$C$9*IF(BC159="",0,1)+Weights!$C$10*IF(BF159="",0,1)))</x:f>
      </x:c>
      <x:c r="BS159" s="10">
        <x:f>IF(Y159="","",Y159)</x:f>
      </x:c>
      <x:c r="BT159" s="10">
        <x:f>IF(AS159="","",AS159)</x:f>
      </x:c>
      <x:c r="BU159" s="10">
        <x:f>IF(AJ159&lt;&gt;"",(0.6*AJ159+0.4*AU159),IF((Weights!$C$11*IF(AU159="",0,1)+Weights!$C$12*IF(BM159="",0,1))=0,"",(Weights!$C$11*IF(AU159="",0,AU159)+Weights!$C$12*IF(BM159="",0,BM159))/(Weights!$C$11*IF(AU159="",0,1)+Weights!$C$12*IF(BM159="",0,1))))</x:f>
      </x:c>
      <x:c r="BV159" s="10">
        <x:f>IF(CG159="",0,CG159)</x:f>
      </x:c>
      <x:c r="BW159" s="10">
        <x:f>IF(AP159="","",AP159)</x:f>
      </x:c>
      <x:c r="BX159" s="10">
        <x:f>IF(AO159="","",AO159)</x:f>
      </x:c>
      <x:c r="BY159" s="10">
        <x:f>IF(AL159="","",AL159)</x:f>
      </x:c>
      <x:c r="BZ159" s="10">
        <x:f>IF(AM159="","",AM159)</x:f>
      </x:c>
      <x:c r="CA159" s="10">
        <x:f>IF(AK159&lt;&gt;"",AK159,AW159)</x:f>
      </x:c>
      <x:c r="CB159" s="10">
        <x:f>IF((Weights!$C$13*IF(BP159="",0,1)+Weights!$C$14*IF(BR159="",0,1)+Weights!$C$15*IF(BQ159="",0,1)+Weights!$C$16*IF(BS159="",0,1)+Weights!$C$17*IF(BU159="",0,1)+Weights!$C$18*IF(BT159="",0,1)+Weights!$C$19*IF(BW159="",0,1)+Weights!$C$20*IF(BZ159="",0,1)+Weights!$C$21*IF(BO159="",0,1)+Weights!$C$22)=0,"",(Weights!$C$13*IF(BP159="",0,BP159)+Weights!$C$14*IF(BR159="",0,BR159)+Weights!$C$15*IF(BQ159="",0,BQ159)+Weights!$C$16*IF(BS159="",0,BS159)+Weights!$C$17*IF(BU159="",0,BU159)+Weights!$C$18*IF(BT159="",0,BT159)+Weights!$C$19*IF(BW159="",0,BW159)+Weights!$C$20*IF(BZ159="",0,BZ159)+Weights!$C$21*IF(BO159="",0,BO159)+Weights!$C$22*BV159)/(Weights!$C$13*IF(BP159="",0,1)+Weights!$C$14*IF(BR159="",0,1)+Weights!$C$15*IF(BQ159="",0,1)+Weights!$C$16*IF(BS159="",0,1)+Weights!$C$17*IF(BU159="",0,1)+Weights!$C$18*IF(BT159="",0,1)+Weights!$C$19*IF(BW159="",0,1)+Weights!$C$20*IF(BZ159="",0,1)+Weights!$C$21*IF(BO159="",0,1)+Weights!$C$22))</x:f>
      </x:c>
      <x:c r="CC159" s="10">
        <x:f>IF((Weights!$C$23*IF(BQ159="",0,1)+Weights!$C$24*IF(BN159="",0,1)+Weights!$C$25*IF(BS159="",0,1)+Weights!$C$26*IF(BY159="",0,1)+Weights!$C$27*IF(BX159="",0,1)+Weights!$C$28*IF(BT159="",0,1)+Weights!$C$29*IF(CA159="",0,1)+Weights!$C$30+Weights!$C$31*IF(BU159="",0,1))=0,"",(Weights!$C$23*IF(BQ159="",0,BQ159)+Weights!$C$24*IF(BN159="",0,BN159)+Weights!$C$25*IF(BS159="",0,BS159)+Weights!$C$26*IF(BY159="",0,BY159)+Weights!$C$27*IF(BX159="",0,BX159)+Weights!$C$28*IF(BT159="",0,BT159)+Weights!$C$29*IF(CA159="",0,CA159)+Weights!$C$30*BV159+Weights!$C$31*IF(BU159="",0,BU159))/(Weights!$C$23*IF(BQ159="",0,1)+Weights!$C$24*IF(BN159="",0,1)+Weights!$C$25*IF(BS159="",0,1)+Weights!$C$26*IF(BY159="",0,1)+Weights!$C$27*IF(BX159="",0,1)+Weights!$C$28*IF(BT159="",0,1)+Weights!$C$29*IF(CA159="",0,1)+Weights!$C$30+Weights!$C$31*IF(BU159="",0,1)))</x:f>
      </x:c>
      <x:c r="CD159" s="10">
        <x:f>IF(AND(CB159="",CC159=""),"",IF(CB159="",CC159,IF(CC159="",CB159,AVERAGE(CB159,CC159))))</x:f>
      </x:c>
      <x:c r="CE159" s="7">
        <x:f>ROUND(100*((IF(BP159&lt;&gt;"",1,0)+IF(BQ159&lt;&gt;"",1,0)+IF(BR159&lt;&gt;"",1,0)+IF(BS159&lt;&gt;"",1,0)+IF(BU159&lt;&gt;"",1,0)+IF(BT159&lt;&gt;"",1,0)+IF(BN159&lt;&gt;"",1,0)+IF(AW159&lt;&gt;"",1,0))/8),0)</x:f>
      </x:c>
      <x:c r="CF159">
        <x:f>IF(V159="","",LOG10(V159+1))</x:f>
      </x:c>
      <x:c r="CG159">
        <x:f>IF(CF159="","",IF(MAX($CF$2:$CF$252)-MIN($CF$2:$CF$252)=0,"",(CF159-MIN($CF$2:$CF$252))/(MAX($CF$2:$CF$252)-MIN($CF$2:$CF$252))*100))</x:f>
      </x:c>
    </x:row>
    <x:row r="160">
      <x:c r="A160" t="inlineStr">
        <x:is>
          <x:t xml:space="preserve">KIR</x:t>
        </x:is>
      </x:c>
      <x:c r="B160" t="inlineStr">
        <x:is>
          <x:t xml:space="preserve">Kiribati</x:t>
        </x:is>
      </x:c>
      <x:c r="C160" t="inlineStr">
        <x:is>
          <x:t xml:space="preserve">East Asia &amp; Pacific</x:t>
        </x:is>
      </x:c>
      <x:c r="D160" t="inlineStr">
        <x:is>
          <x:t xml:space="preserve">Lower middle income</x:t>
        </x:is>
      </x:c>
      <x:c r="F160" t="n">
        <x:v>2024</x:v>
      </x:c>
      <x:c r="G160" t="n">
        <x:v>134518</x:v>
      </x:c>
      <x:c r="N160" s="8" t="n"/>
      <x:c r="O160" s="9" t="n"/>
      <x:c r="P160" s="8" t="n"/>
      <x:c r="Q160" t="n">
        <x:v>2024</x:v>
      </x:c>
      <x:c r="R160" s="8" t="n">
        <x:v>307862564.489711</x:v>
      </x:c>
      <x:c r="S160" t="n">
        <x:v>0</x:v>
      </x:c>
      <x:c r="T160" t="n">
        <x:v>0</x:v>
      </x:c>
      <x:c r="U160" t="inlineStr">
        <x:is>
          <x:t xml:space="preserve">No</x:t>
        </x:is>
      </x:c>
      <x:c r="W160" t="inlineStr">
        <x:is>
          <x:t xml:space="preserve">No</x:t>
        </x:is>
      </x:c>
      <x:c r="AB160" s="8" t="n"/>
      <x:c r="AR160">
        <x:f>IF(G160="","",LOG10(G160+1))</x:f>
      </x:c>
      <x:c r="AS160" s="10">
        <x:f>IF(AR160="","",IF(MAX($AR$2:$AR$252)-MIN($AR$2:$AR$252)=0,"",(AR160-MIN($AR$2:$AR$252))/(MAX($AR$2:$AR$252)-MIN($AR$2:$AR$252))*100))</x:f>
      </x:c>
      <x:c r="AT160">
        <x:f>IF(R160="","",LOG10(R160+1))</x:f>
      </x:c>
      <x:c r="AU160" s="10">
        <x:f>IF(AT160="","",IF(MAX($AT$2:$AT$252)-MIN($AT$2:$AT$252)=0,"",(AT160-MIN($AT$2:$AT$252))/(MAX($AT$2:$AT$252)-MIN($AT$2:$AT$252))*100))</x:f>
      </x:c>
      <x:c r="AV160">
        <x:f>IF(N160="","",LOG10(N160+1))</x:f>
      </x:c>
      <x:c r="AW160" s="10">
        <x:f>IF(AV160="","",IF(MAX($AV$2:$AV$252)-MIN($AV$2:$AV$252)=0,"",(AV160-MIN($AV$2:$AV$252))/(MAX($AV$2:$AV$252)-MIN($AV$2:$AV$252))*100))</x:f>
      </x:c>
      <x:c r="AX160">
        <x:f>IF(I160="","",LOG10(I160+1))</x:f>
      </x:c>
      <x:c r="AY160" s="10">
        <x:f>IF(AX160="","",IF(MAX($AX$2:$AX$252)-MIN($AX$2:$AX$252)=0,"",(AX160-MIN($AX$2:$AX$252))/(MAX($AX$2:$AX$252)-MIN($AX$2:$AX$252))*100))</x:f>
      </x:c>
      <x:c r="AZ160">
        <x:f>IF(J160="","",LOG10(J160+1))</x:f>
      </x:c>
      <x:c r="BA160" s="10">
        <x:f>IF(AZ160="","",IF(MAX($AZ$2:$AZ$252)-MIN($AZ$2:$AZ$252)=0,"",(AZ160-MIN($AZ$2:$AZ$252))/(MAX($AZ$2:$AZ$252)-MIN($AZ$2:$AZ$252))*100))</x:f>
      </x:c>
      <x:c r="BB160">
        <x:f>IF(K160="","",LOG10(K160+1))</x:f>
      </x:c>
      <x:c r="BC160" s="10">
        <x:f>IF(BB160="","",IF(MAX($BB$2:$BB$252)-MIN($BB$2:$BB$252)=0,"",(BB160-MIN($BB$2:$BB$252))/(MAX($BB$2:$BB$252)-MIN($BB$2:$BB$252))*100))</x:f>
      </x:c>
      <x:c r="BD160">
        <x:f>IF(L160="","",LOG10(L160+1))</x:f>
      </x:c>
      <x:c r="BE160" s="10">
        <x:f>IF(BD160="","",IF(MAX($BD$2:$BD$252)-MIN($BD$2:$BD$252)=0,"",(BD160-MIN($BD$2:$BD$252))/(MAX($BD$2:$BD$252)-MIN($BD$2:$BD$252))*100))</x:f>
      </x:c>
      <x:c r="BF160" s="10">
        <x:f>IF(P160="","",IF(MAX($P$2:$P$252)-MIN($P$2:$P$252)=0,"",(P160-MIN($P$2:$P$252))/(MAX($P$2:$P$252)-MIN($P$2:$P$252))*100))</x:f>
      </x:c>
      <x:c r="BG160">
        <x:f>IF(AF160="","",LOG10(AF160+1))</x:f>
      </x:c>
      <x:c r="BH160" s="10">
        <x:f>IF(BG160="","",IF(MAX($BG$2:$BG$252)-MIN($BG$2:$BG$252)=0,"",(BG160-MIN($BG$2:$BG$252))/(MAX($BG$2:$BG$252)-MIN($BG$2:$BG$252))*100))</x:f>
      </x:c>
      <x:c r="BI160">
        <x:f>IF(AC160="","",LOG10(AC160+1))</x:f>
      </x:c>
      <x:c r="BJ160" s="10">
        <x:f>IF(BI160="","",IF(MAX($BI$2:$BI$252)-MIN($BI$2:$BI$252)=0,"",(BI160-MIN($BI$2:$BI$252))/(MAX($BI$2:$BI$252)-MIN($BI$2:$BI$252))*100))</x:f>
      </x:c>
      <x:c r="BK160">
        <x:f>IF(AD160="","",(AD160*2)+(AE160*1))</x:f>
      </x:c>
      <x:c r="BL160" s="10">
        <x:f>IF(BK160="","",IF(MAX($BK$2:$BK$252)-MIN($BK$2:$BK$252)=0,"",(BK160-MIN($BK$2:$BK$252))/(MAX($BK$2:$BK$252)-MIN($BK$2:$BK$252))*100))</x:f>
      </x:c>
      <x:c r="BM160" s="10">
        <x:f>IF(AB160="","",IF(MAX($AB$2:$AB$252)-MIN($AB$2:$AB$252)=0,"",(AB160-MIN($AB$2:$AB$252))/(MAX($AB$2:$AB$252)-MIN($AB$2:$AB$252))*100))</x:f>
      </x:c>
      <x:c r="BN160" s="10">
        <x:f>IF(X160="","",X160)</x:f>
      </x:c>
      <x:c r="BO160" s="10">
        <x:f>IF(X160="","",100-X160)</x:f>
      </x:c>
      <x:c r="BP160" s="10">
        <x:f>IF((Weights!$C$2*IF(BH160="",0,1)+Weights!$C$3*IF(BJ160="",0,1)+Weights!$C$4*IF(BL160="",0,1))=0,"",(Weights!$C$2*IF(BH160="",0,BH160)+Weights!$C$3*IF(BJ160="",0,BJ160)+Weights!$C$4*IF(BL160="",0,BL160))/(Weights!$C$2*IF(BH160="",0,1)+Weights!$C$3*IF(BJ160="",0,1)+Weights!$C$4*IF(BL160="",0,1)))</x:f>
      </x:c>
      <x:c r="BQ160" s="10">
        <x:f>IF((Weights!$C$5*IF(BA160="",0,1)+Weights!$C$6*IF(AW160="",0,1)+Weights!$C$7*IF(AU160="",0,1))=0,"",(Weights!$C$5*IF(BA160="",0,BA160)+Weights!$C$6*IF(AW160="",0,AW160)+Weights!$C$7*IF(AU160="",0,AU160))/(Weights!$C$5*IF(BA160="",0,1)+Weights!$C$6*IF(AW160="",0,1)+Weights!$C$7*IF(AU160="",0,1)))</x:f>
      </x:c>
      <x:c r="BR160" s="10">
        <x:f>IF((Weights!$C$8*IF(AW160="",0,1)+Weights!$C$9*IF(BC160="",0,1)+Weights!$C$10*IF(BF160="",0,1))=0,"",(Weights!$C$8*IF(AW160="",0,AW160)+Weights!$C$9*IF(BC160="",0,BC160)+Weights!$C$10*IF(BF160="",0,BF160))/(Weights!$C$8*IF(AW160="",0,1)+Weights!$C$9*IF(BC160="",0,1)+Weights!$C$10*IF(BF160="",0,1)))</x:f>
      </x:c>
      <x:c r="BS160" s="10">
        <x:f>IF(Y160="","",Y160)</x:f>
      </x:c>
      <x:c r="BT160" s="10">
        <x:f>IF(AS160="","",AS160)</x:f>
      </x:c>
      <x:c r="BU160" s="10">
        <x:f>IF(AJ160&lt;&gt;"",(0.6*AJ160+0.4*AU160),IF((Weights!$C$11*IF(AU160="",0,1)+Weights!$C$12*IF(BM160="",0,1))=0,"",(Weights!$C$11*IF(AU160="",0,AU160)+Weights!$C$12*IF(BM160="",0,BM160))/(Weights!$C$11*IF(AU160="",0,1)+Weights!$C$12*IF(BM160="",0,1))))</x:f>
      </x:c>
      <x:c r="BV160" s="10">
        <x:f>IF(CG160="",0,CG160)</x:f>
      </x:c>
      <x:c r="BW160" s="10">
        <x:f>IF(AP160="","",AP160)</x:f>
      </x:c>
      <x:c r="BX160" s="10">
        <x:f>IF(AO160="","",AO160)</x:f>
      </x:c>
      <x:c r="BY160" s="10">
        <x:f>IF(AL160="","",AL160)</x:f>
      </x:c>
      <x:c r="BZ160" s="10">
        <x:f>IF(AM160="","",AM160)</x:f>
      </x:c>
      <x:c r="CA160" s="10">
        <x:f>IF(AK160&lt;&gt;"",AK160,AW160)</x:f>
      </x:c>
      <x:c r="CB160" s="10">
        <x:f>IF((Weights!$C$13*IF(BP160="",0,1)+Weights!$C$14*IF(BR160="",0,1)+Weights!$C$15*IF(BQ160="",0,1)+Weights!$C$16*IF(BS160="",0,1)+Weights!$C$17*IF(BU160="",0,1)+Weights!$C$18*IF(BT160="",0,1)+Weights!$C$19*IF(BW160="",0,1)+Weights!$C$20*IF(BZ160="",0,1)+Weights!$C$21*IF(BO160="",0,1)+Weights!$C$22)=0,"",(Weights!$C$13*IF(BP160="",0,BP160)+Weights!$C$14*IF(BR160="",0,BR160)+Weights!$C$15*IF(BQ160="",0,BQ160)+Weights!$C$16*IF(BS160="",0,BS160)+Weights!$C$17*IF(BU160="",0,BU160)+Weights!$C$18*IF(BT160="",0,BT160)+Weights!$C$19*IF(BW160="",0,BW160)+Weights!$C$20*IF(BZ160="",0,BZ160)+Weights!$C$21*IF(BO160="",0,BO160)+Weights!$C$22*BV160)/(Weights!$C$13*IF(BP160="",0,1)+Weights!$C$14*IF(BR160="",0,1)+Weights!$C$15*IF(BQ160="",0,1)+Weights!$C$16*IF(BS160="",0,1)+Weights!$C$17*IF(BU160="",0,1)+Weights!$C$18*IF(BT160="",0,1)+Weights!$C$19*IF(BW160="",0,1)+Weights!$C$20*IF(BZ160="",0,1)+Weights!$C$21*IF(BO160="",0,1)+Weights!$C$22))</x:f>
      </x:c>
      <x:c r="CC160" s="10">
        <x:f>IF((Weights!$C$23*IF(BQ160="",0,1)+Weights!$C$24*IF(BN160="",0,1)+Weights!$C$25*IF(BS160="",0,1)+Weights!$C$26*IF(BY160="",0,1)+Weights!$C$27*IF(BX160="",0,1)+Weights!$C$28*IF(BT160="",0,1)+Weights!$C$29*IF(CA160="",0,1)+Weights!$C$30+Weights!$C$31*IF(BU160="",0,1))=0,"",(Weights!$C$23*IF(BQ160="",0,BQ160)+Weights!$C$24*IF(BN160="",0,BN160)+Weights!$C$25*IF(BS160="",0,BS160)+Weights!$C$26*IF(BY160="",0,BY160)+Weights!$C$27*IF(BX160="",0,BX160)+Weights!$C$28*IF(BT160="",0,BT160)+Weights!$C$29*IF(CA160="",0,CA160)+Weights!$C$30*BV160+Weights!$C$31*IF(BU160="",0,BU160))/(Weights!$C$23*IF(BQ160="",0,1)+Weights!$C$24*IF(BN160="",0,1)+Weights!$C$25*IF(BS160="",0,1)+Weights!$C$26*IF(BY160="",0,1)+Weights!$C$27*IF(BX160="",0,1)+Weights!$C$28*IF(BT160="",0,1)+Weights!$C$29*IF(CA160="",0,1)+Weights!$C$30+Weights!$C$31*IF(BU160="",0,1)))</x:f>
      </x:c>
      <x:c r="CD160" s="10">
        <x:f>IF(AND(CB160="",CC160=""),"",IF(CB160="",CC160,IF(CC160="",CB160,AVERAGE(CB160,CC160))))</x:f>
      </x:c>
      <x:c r="CE160" s="7">
        <x:f>ROUND(100*((IF(BP160&lt;&gt;"",1,0)+IF(BQ160&lt;&gt;"",1,0)+IF(BR160&lt;&gt;"",1,0)+IF(BS160&lt;&gt;"",1,0)+IF(BU160&lt;&gt;"",1,0)+IF(BT160&lt;&gt;"",1,0)+IF(BN160&lt;&gt;"",1,0)+IF(AW160&lt;&gt;"",1,0))/8),0)</x:f>
      </x:c>
      <x:c r="CF160">
        <x:f>IF(V160="","",LOG10(V160+1))</x:f>
      </x:c>
      <x:c r="CG160">
        <x:f>IF(CF160="","",IF(MAX($CF$2:$CF$252)-MIN($CF$2:$CF$252)=0,"",(CF160-MIN($CF$2:$CF$252))/(MAX($CF$2:$CF$252)-MIN($CF$2:$CF$252))*100))</x:f>
      </x:c>
    </x:row>
    <x:row r="161">
      <x:c r="A161" t="inlineStr">
        <x:is>
          <x:t xml:space="preserve">LVA</x:t>
        </x:is>
      </x:c>
      <x:c r="B161" t="inlineStr">
        <x:is>
          <x:t xml:space="preserve">Latvia</x:t>
        </x:is>
      </x:c>
      <x:c r="C161" t="inlineStr">
        <x:is>
          <x:t xml:space="preserve">Europe &amp; Central Asia</x:t>
        </x:is>
      </x:c>
      <x:c r="D161" t="inlineStr">
        <x:is>
          <x:t xml:space="preserve">High income</x:t>
        </x:is>
      </x:c>
      <x:c r="E161" t="inlineStr">
        <x:is>
          <x:t xml:space="preserve">Europe</x:t>
        </x:is>
      </x:c>
      <x:c r="F161" t="n">
        <x:v>2024</x:v>
      </x:c>
      <x:c r="G161" t="n">
        <x:v>1866124</x:v>
      </x:c>
      <x:c r="H161" t="n">
        <x:v>2020</x:v>
      </x:c>
      <x:c r="I161" t="n">
        <x:v>9000</x:v>
      </x:c>
      <x:c r="J161" t="n">
        <x:v>5850</x:v>
      </x:c>
      <x:c r="K161" t="n">
        <x:v>1800</x:v>
      </x:c>
      <x:c r="L161" t="n">
        <x:v>1080</x:v>
      </x:c>
      <x:c r="M161" t="n">
        <x:v>2024</x:v>
      </x:c>
      <x:c r="N161" s="8" t="n">
        <x:v>1425694079.36724</x:v>
      </x:c>
      <x:c r="O161" s="9" t="n">
        <x:v>3.25799154535171</x:v>
      </x:c>
      <x:c r="P161" s="8" t="n">
        <x:v>158410.4532630267</x:v>
      </x:c>
      <x:c r="Q161" t="n">
        <x:v>2024</x:v>
      </x:c>
      <x:c r="R161" s="8" t="n">
        <x:v>43684254432.3609</x:v>
      </x:c>
      <x:c r="S161" t="n">
        <x:v>0</x:v>
      </x:c>
      <x:c r="T161" t="n">
        <x:v>0</x:v>
      </x:c>
      <x:c r="U161" t="inlineStr">
        <x:is>
          <x:t xml:space="preserve">No</x:t>
        </x:is>
      </x:c>
      <x:c r="W161" t="inlineStr">
        <x:is>
          <x:t xml:space="preserve">No</x:t>
        </x:is>
      </x:c>
      <x:c r="X161" t="n">
        <x:v>16.70409077224599</x:v>
      </x:c>
      <x:c r="Y161" t="n">
        <x:v>63.12591032196207</x:v>
      </x:c>
      <x:c r="Z161" t="n">
        <x:v>63923.53301360167</x:v>
      </x:c>
      <x:c r="AA161" t="n">
        <x:v>30.42139425532406</x:v>
      </x:c>
      <x:c r="AB161" s="8" t="n">
        <x:v>26045.91176889537</x:v>
      </x:c>
      <x:c r="AC161" t="n">
        <x:v>18</x:v>
      </x:c>
      <x:c r="AD161" t="n">
        <x:v>0</x:v>
      </x:c>
      <x:c r="AE161" t="n">
        <x:v>0</x:v>
      </x:c>
      <x:c r="AR161">
        <x:f>IF(G161="","",LOG10(G161+1))</x:f>
      </x:c>
      <x:c r="AS161" s="10">
        <x:f>IF(AR161="","",IF(MAX($AR$2:$AR$252)-MIN($AR$2:$AR$252)=0,"",(AR161-MIN($AR$2:$AR$252))/(MAX($AR$2:$AR$252)-MIN($AR$2:$AR$252))*100))</x:f>
      </x:c>
      <x:c r="AT161">
        <x:f>IF(R161="","",LOG10(R161+1))</x:f>
      </x:c>
      <x:c r="AU161" s="10">
        <x:f>IF(AT161="","",IF(MAX($AT$2:$AT$252)-MIN($AT$2:$AT$252)=0,"",(AT161-MIN($AT$2:$AT$252))/(MAX($AT$2:$AT$252)-MIN($AT$2:$AT$252))*100))</x:f>
      </x:c>
      <x:c r="AV161">
        <x:f>IF(N161="","",LOG10(N161+1))</x:f>
      </x:c>
      <x:c r="AW161" s="10">
        <x:f>IF(AV161="","",IF(MAX($AV$2:$AV$252)-MIN($AV$2:$AV$252)=0,"",(AV161-MIN($AV$2:$AV$252))/(MAX($AV$2:$AV$252)-MIN($AV$2:$AV$252))*100))</x:f>
      </x:c>
      <x:c r="AX161">
        <x:f>IF(I161="","",LOG10(I161+1))</x:f>
      </x:c>
      <x:c r="AY161" s="10">
        <x:f>IF(AX161="","",IF(MAX($AX$2:$AX$252)-MIN($AX$2:$AX$252)=0,"",(AX161-MIN($AX$2:$AX$252))/(MAX($AX$2:$AX$252)-MIN($AX$2:$AX$252))*100))</x:f>
      </x:c>
      <x:c r="AZ161">
        <x:f>IF(J161="","",LOG10(J161+1))</x:f>
      </x:c>
      <x:c r="BA161" s="10">
        <x:f>IF(AZ161="","",IF(MAX($AZ$2:$AZ$252)-MIN($AZ$2:$AZ$252)=0,"",(AZ161-MIN($AZ$2:$AZ$252))/(MAX($AZ$2:$AZ$252)-MIN($AZ$2:$AZ$252))*100))</x:f>
      </x:c>
      <x:c r="BB161">
        <x:f>IF(K161="","",LOG10(K161+1))</x:f>
      </x:c>
      <x:c r="BC161" s="10">
        <x:f>IF(BB161="","",IF(MAX($BB$2:$BB$252)-MIN($BB$2:$BB$252)=0,"",(BB161-MIN($BB$2:$BB$252))/(MAX($BB$2:$BB$252)-MIN($BB$2:$BB$252))*100))</x:f>
      </x:c>
      <x:c r="BD161">
        <x:f>IF(L161="","",LOG10(L161+1))</x:f>
      </x:c>
      <x:c r="BE161" s="10">
        <x:f>IF(BD161="","",IF(MAX($BD$2:$BD$252)-MIN($BD$2:$BD$252)=0,"",(BD161-MIN($BD$2:$BD$252))/(MAX($BD$2:$BD$252)-MIN($BD$2:$BD$252))*100))</x:f>
      </x:c>
      <x:c r="BF161" s="10">
        <x:f>IF(P161="","",IF(MAX($P$2:$P$252)-MIN($P$2:$P$252)=0,"",(P161-MIN($P$2:$P$252))/(MAX($P$2:$P$252)-MIN($P$2:$P$252))*100))</x:f>
      </x:c>
      <x:c r="BG161">
        <x:f>IF(AF161="","",LOG10(AF161+1))</x:f>
      </x:c>
      <x:c r="BH161" s="10">
        <x:f>IF(BG161="","",IF(MAX($BG$2:$BG$252)-MIN($BG$2:$BG$252)=0,"",(BG161-MIN($BG$2:$BG$252))/(MAX($BG$2:$BG$252)-MIN($BG$2:$BG$252))*100))</x:f>
      </x:c>
      <x:c r="BI161">
        <x:f>IF(AC161="","",LOG10(AC161+1))</x:f>
      </x:c>
      <x:c r="BJ161" s="10">
        <x:f>IF(BI161="","",IF(MAX($BI$2:$BI$252)-MIN($BI$2:$BI$252)=0,"",(BI161-MIN($BI$2:$BI$252))/(MAX($BI$2:$BI$252)-MIN($BI$2:$BI$252))*100))</x:f>
      </x:c>
      <x:c r="BK161">
        <x:f>IF(AD161="","",(AD161*2)+(AE161*1))</x:f>
      </x:c>
      <x:c r="BL161" s="10">
        <x:f>IF(BK161="","",IF(MAX($BK$2:$BK$252)-MIN($BK$2:$BK$252)=0,"",(BK161-MIN($BK$2:$BK$252))/(MAX($BK$2:$BK$252)-MIN($BK$2:$BK$252))*100))</x:f>
      </x:c>
      <x:c r="BM161" s="10">
        <x:f>IF(AB161="","",IF(MAX($AB$2:$AB$252)-MIN($AB$2:$AB$252)=0,"",(AB161-MIN($AB$2:$AB$252))/(MAX($AB$2:$AB$252)-MIN($AB$2:$AB$252))*100))</x:f>
      </x:c>
      <x:c r="BN161" s="10">
        <x:f>IF(X161="","",X161)</x:f>
      </x:c>
      <x:c r="BO161" s="10">
        <x:f>IF(X161="","",100-X161)</x:f>
      </x:c>
      <x:c r="BP161" s="10">
        <x:f>IF((Weights!$C$2*IF(BH161="",0,1)+Weights!$C$3*IF(BJ161="",0,1)+Weights!$C$4*IF(BL161="",0,1))=0,"",(Weights!$C$2*IF(BH161="",0,BH161)+Weights!$C$3*IF(BJ161="",0,BJ161)+Weights!$C$4*IF(BL161="",0,BL161))/(Weights!$C$2*IF(BH161="",0,1)+Weights!$C$3*IF(BJ161="",0,1)+Weights!$C$4*IF(BL161="",0,1)))</x:f>
      </x:c>
      <x:c r="BQ161" s="10">
        <x:f>IF((Weights!$C$5*IF(BA161="",0,1)+Weights!$C$6*IF(AW161="",0,1)+Weights!$C$7*IF(AU161="",0,1))=0,"",(Weights!$C$5*IF(BA161="",0,BA161)+Weights!$C$6*IF(AW161="",0,AW161)+Weights!$C$7*IF(AU161="",0,AU161))/(Weights!$C$5*IF(BA161="",0,1)+Weights!$C$6*IF(AW161="",0,1)+Weights!$C$7*IF(AU161="",0,1)))</x:f>
      </x:c>
      <x:c r="BR161" s="10">
        <x:f>IF((Weights!$C$8*IF(AW161="",0,1)+Weights!$C$9*IF(BC161="",0,1)+Weights!$C$10*IF(BF161="",0,1))=0,"",(Weights!$C$8*IF(AW161="",0,AW161)+Weights!$C$9*IF(BC161="",0,BC161)+Weights!$C$10*IF(BF161="",0,BF161))/(Weights!$C$8*IF(AW161="",0,1)+Weights!$C$9*IF(BC161="",0,1)+Weights!$C$10*IF(BF161="",0,1)))</x:f>
      </x:c>
      <x:c r="BS161" s="10">
        <x:f>IF(Y161="","",Y161)</x:f>
      </x:c>
      <x:c r="BT161" s="10">
        <x:f>IF(AS161="","",AS161)</x:f>
      </x:c>
      <x:c r="BU161" s="10">
        <x:f>IF(AJ161&lt;&gt;"",(0.6*AJ161+0.4*AU161),IF((Weights!$C$11*IF(AU161="",0,1)+Weights!$C$12*IF(BM161="",0,1))=0,"",(Weights!$C$11*IF(AU161="",0,AU161)+Weights!$C$12*IF(BM161="",0,BM161))/(Weights!$C$11*IF(AU161="",0,1)+Weights!$C$12*IF(BM161="",0,1))))</x:f>
      </x:c>
      <x:c r="BV161" s="10">
        <x:f>IF(CG161="",0,CG161)</x:f>
      </x:c>
      <x:c r="BW161" s="10">
        <x:f>IF(AP161="","",AP161)</x:f>
      </x:c>
      <x:c r="BX161" s="10">
        <x:f>IF(AO161="","",AO161)</x:f>
      </x:c>
      <x:c r="BY161" s="10">
        <x:f>IF(AL161="","",AL161)</x:f>
      </x:c>
      <x:c r="BZ161" s="10">
        <x:f>IF(AM161="","",AM161)</x:f>
      </x:c>
      <x:c r="CA161" s="10">
        <x:f>IF(AK161&lt;&gt;"",AK161,AW161)</x:f>
      </x:c>
      <x:c r="CB161" s="10">
        <x:f>IF((Weights!$C$13*IF(BP161="",0,1)+Weights!$C$14*IF(BR161="",0,1)+Weights!$C$15*IF(BQ161="",0,1)+Weights!$C$16*IF(BS161="",0,1)+Weights!$C$17*IF(BU161="",0,1)+Weights!$C$18*IF(BT161="",0,1)+Weights!$C$19*IF(BW161="",0,1)+Weights!$C$20*IF(BZ161="",0,1)+Weights!$C$21*IF(BO161="",0,1)+Weights!$C$22)=0,"",(Weights!$C$13*IF(BP161="",0,BP161)+Weights!$C$14*IF(BR161="",0,BR161)+Weights!$C$15*IF(BQ161="",0,BQ161)+Weights!$C$16*IF(BS161="",0,BS161)+Weights!$C$17*IF(BU161="",0,BU161)+Weights!$C$18*IF(BT161="",0,BT161)+Weights!$C$19*IF(BW161="",0,BW161)+Weights!$C$20*IF(BZ161="",0,BZ161)+Weights!$C$21*IF(BO161="",0,BO161)+Weights!$C$22*BV161)/(Weights!$C$13*IF(BP161="",0,1)+Weights!$C$14*IF(BR161="",0,1)+Weights!$C$15*IF(BQ161="",0,1)+Weights!$C$16*IF(BS161="",0,1)+Weights!$C$17*IF(BU161="",0,1)+Weights!$C$18*IF(BT161="",0,1)+Weights!$C$19*IF(BW161="",0,1)+Weights!$C$20*IF(BZ161="",0,1)+Weights!$C$21*IF(BO161="",0,1)+Weights!$C$22))</x:f>
      </x:c>
      <x:c r="CC161" s="10">
        <x:f>IF((Weights!$C$23*IF(BQ161="",0,1)+Weights!$C$24*IF(BN161="",0,1)+Weights!$C$25*IF(BS161="",0,1)+Weights!$C$26*IF(BY161="",0,1)+Weights!$C$27*IF(BX161="",0,1)+Weights!$C$28*IF(BT161="",0,1)+Weights!$C$29*IF(CA161="",0,1)+Weights!$C$30+Weights!$C$31*IF(BU161="",0,1))=0,"",(Weights!$C$23*IF(BQ161="",0,BQ161)+Weights!$C$24*IF(BN161="",0,BN161)+Weights!$C$25*IF(BS161="",0,BS161)+Weights!$C$26*IF(BY161="",0,BY161)+Weights!$C$27*IF(BX161="",0,BX161)+Weights!$C$28*IF(BT161="",0,BT161)+Weights!$C$29*IF(CA161="",0,CA161)+Weights!$C$30*BV161+Weights!$C$31*IF(BU161="",0,BU161))/(Weights!$C$23*IF(BQ161="",0,1)+Weights!$C$24*IF(BN161="",0,1)+Weights!$C$25*IF(BS161="",0,1)+Weights!$C$26*IF(BY161="",0,1)+Weights!$C$27*IF(BX161="",0,1)+Weights!$C$28*IF(BT161="",0,1)+Weights!$C$29*IF(CA161="",0,1)+Weights!$C$30+Weights!$C$31*IF(BU161="",0,1)))</x:f>
      </x:c>
      <x:c r="CD161" s="10">
        <x:f>IF(AND(CB161="",CC161=""),"",IF(CB161="",CC161,IF(CC161="",CB161,AVERAGE(CB161,CC161))))</x:f>
      </x:c>
      <x:c r="CE161" s="7">
        <x:f>ROUND(100*((IF(BP161&lt;&gt;"",1,0)+IF(BQ161&lt;&gt;"",1,0)+IF(BR161&lt;&gt;"",1,0)+IF(BS161&lt;&gt;"",1,0)+IF(BU161&lt;&gt;"",1,0)+IF(BT161&lt;&gt;"",1,0)+IF(BN161&lt;&gt;"",1,0)+IF(AW161&lt;&gt;"",1,0))/8),0)</x:f>
      </x:c>
      <x:c r="CF161">
        <x:f>IF(V161="","",LOG10(V161+1))</x:f>
      </x:c>
      <x:c r="CG161">
        <x:f>IF(CF161="","",IF(MAX($CF$2:$CF$252)-MIN($CF$2:$CF$252)=0,"",(CF161-MIN($CF$2:$CF$252))/(MAX($CF$2:$CF$252)-MIN($CF$2:$CF$252))*100))</x:f>
      </x:c>
    </x:row>
    <x:row r="162">
      <x:c r="A162" t="inlineStr">
        <x:is>
          <x:t xml:space="preserve">LBR</x:t>
        </x:is>
      </x:c>
      <x:c r="B162" t="inlineStr">
        <x:is>
          <x:t xml:space="preserve">Liberia</x:t>
        </x:is>
      </x:c>
      <x:c r="C162" t="inlineStr">
        <x:is>
          <x:t xml:space="preserve">Sub-Saharan Africa</x:t>
        </x:is>
      </x:c>
      <x:c r="D162" t="inlineStr">
        <x:is>
          <x:t xml:space="preserve">Low income</x:t>
        </x:is>
      </x:c>
      <x:c r="E162" t="inlineStr">
        <x:is>
          <x:t xml:space="preserve">Africa</x:t>
        </x:is>
      </x:c>
      <x:c r="F162" t="n">
        <x:v>2024</x:v>
      </x:c>
      <x:c r="G162" t="n">
        <x:v>5612817</x:v>
      </x:c>
      <x:c r="H162" t="n">
        <x:v>2020</x:v>
      </x:c>
      <x:c r="I162" t="n">
        <x:v>2000</x:v>
      </x:c>
      <x:c r="J162" t="n">
        <x:v>1300</x:v>
      </x:c>
      <x:c r="K162" t="n">
        <x:v>400</x:v>
      </x:c>
      <x:c r="L162" t="n">
        <x:v>240</x:v>
      </x:c>
      <x:c r="M162" t="n">
        <x:v>2024</x:v>
      </x:c>
      <x:c r="N162" s="8" t="n">
        <x:v>33825000</x:v>
      </x:c>
      <x:c r="O162" s="9" t="n">
        <x:v>0.711206896551724</x:v>
      </x:c>
      <x:c r="P162" s="8" t="n">
        <x:v>16912.5</x:v>
      </x:c>
      <x:c r="Q162" t="n">
        <x:v>2024</x:v>
      </x:c>
      <x:c r="R162" s="8" t="n">
        <x:v>4779300900</x:v>
      </x:c>
      <x:c r="S162" t="n">
        <x:v>0</x:v>
      </x:c>
      <x:c r="T162" t="n">
        <x:v>0</x:v>
      </x:c>
      <x:c r="U162" t="inlineStr">
        <x:is>
          <x:t xml:space="preserve">No</x:t>
        </x:is>
      </x:c>
      <x:c r="W162" t="inlineStr">
        <x:is>
          <x:t xml:space="preserve">No</x:t>
        </x:is>
      </x:c>
      <x:c r="X162" t="n">
        <x:v>12.02650867087682</x:v>
      </x:c>
      <x:c r="Y162" t="n">
        <x:v>15.37603369485641</x:v>
      </x:c>
      <x:c r="Z162" t="n">
        <x:v>98206.78296208284</x:v>
      </x:c>
      <x:c r="AA162" t="n">
        <x:v>47.74640669993648</x:v>
      </x:c>
      <x:c r="AB162" s="8" t="n">
        <x:v>827.6781016762347</x:v>
      </x:c>
      <x:c r="AC162" t="n">
        <x:v>6</x:v>
      </x:c>
      <x:c r="AD162" t="n">
        <x:v>0</x:v>
      </x:c>
      <x:c r="AE162" t="n">
        <x:v>0</x:v>
      </x:c>
      <x:c r="AR162">
        <x:f>IF(G162="","",LOG10(G162+1))</x:f>
      </x:c>
      <x:c r="AS162" s="10">
        <x:f>IF(AR162="","",IF(MAX($AR$2:$AR$252)-MIN($AR$2:$AR$252)=0,"",(AR162-MIN($AR$2:$AR$252))/(MAX($AR$2:$AR$252)-MIN($AR$2:$AR$252))*100))</x:f>
      </x:c>
      <x:c r="AT162">
        <x:f>IF(R162="","",LOG10(R162+1))</x:f>
      </x:c>
      <x:c r="AU162" s="10">
        <x:f>IF(AT162="","",IF(MAX($AT$2:$AT$252)-MIN($AT$2:$AT$252)=0,"",(AT162-MIN($AT$2:$AT$252))/(MAX($AT$2:$AT$252)-MIN($AT$2:$AT$252))*100))</x:f>
      </x:c>
      <x:c r="AV162">
        <x:f>IF(N162="","",LOG10(N162+1))</x:f>
      </x:c>
      <x:c r="AW162" s="10">
        <x:f>IF(AV162="","",IF(MAX($AV$2:$AV$252)-MIN($AV$2:$AV$252)=0,"",(AV162-MIN($AV$2:$AV$252))/(MAX($AV$2:$AV$252)-MIN($AV$2:$AV$252))*100))</x:f>
      </x:c>
      <x:c r="AX162">
        <x:f>IF(I162="","",LOG10(I162+1))</x:f>
      </x:c>
      <x:c r="AY162" s="10">
        <x:f>IF(AX162="","",IF(MAX($AX$2:$AX$252)-MIN($AX$2:$AX$252)=0,"",(AX162-MIN($AX$2:$AX$252))/(MAX($AX$2:$AX$252)-MIN($AX$2:$AX$252))*100))</x:f>
      </x:c>
      <x:c r="AZ162">
        <x:f>IF(J162="","",LOG10(J162+1))</x:f>
      </x:c>
      <x:c r="BA162" s="10">
        <x:f>IF(AZ162="","",IF(MAX($AZ$2:$AZ$252)-MIN($AZ$2:$AZ$252)=0,"",(AZ162-MIN($AZ$2:$AZ$252))/(MAX($AZ$2:$AZ$252)-MIN($AZ$2:$AZ$252))*100))</x:f>
      </x:c>
      <x:c r="BB162">
        <x:f>IF(K162="","",LOG10(K162+1))</x:f>
      </x:c>
      <x:c r="BC162" s="10">
        <x:f>IF(BB162="","",IF(MAX($BB$2:$BB$252)-MIN($BB$2:$BB$252)=0,"",(BB162-MIN($BB$2:$BB$252))/(MAX($BB$2:$BB$252)-MIN($BB$2:$BB$252))*100))</x:f>
      </x:c>
      <x:c r="BD162">
        <x:f>IF(L162="","",LOG10(L162+1))</x:f>
      </x:c>
      <x:c r="BE162" s="10">
        <x:f>IF(BD162="","",IF(MAX($BD$2:$BD$252)-MIN($BD$2:$BD$252)=0,"",(BD162-MIN($BD$2:$BD$252))/(MAX($BD$2:$BD$252)-MIN($BD$2:$BD$252))*100))</x:f>
      </x:c>
      <x:c r="BF162" s="10">
        <x:f>IF(P162="","",IF(MAX($P$2:$P$252)-MIN($P$2:$P$252)=0,"",(P162-MIN($P$2:$P$252))/(MAX($P$2:$P$252)-MIN($P$2:$P$252))*100))</x:f>
      </x:c>
      <x:c r="BG162">
        <x:f>IF(AF162="","",LOG10(AF162+1))</x:f>
      </x:c>
      <x:c r="BH162" s="10">
        <x:f>IF(BG162="","",IF(MAX($BG$2:$BG$252)-MIN($BG$2:$BG$252)=0,"",(BG162-MIN($BG$2:$BG$252))/(MAX($BG$2:$BG$252)-MIN($BG$2:$BG$252))*100))</x:f>
      </x:c>
      <x:c r="BI162">
        <x:f>IF(AC162="","",LOG10(AC162+1))</x:f>
      </x:c>
      <x:c r="BJ162" s="10">
        <x:f>IF(BI162="","",IF(MAX($BI$2:$BI$252)-MIN($BI$2:$BI$252)=0,"",(BI162-MIN($BI$2:$BI$252))/(MAX($BI$2:$BI$252)-MIN($BI$2:$BI$252))*100))</x:f>
      </x:c>
      <x:c r="BK162">
        <x:f>IF(AD162="","",(AD162*2)+(AE162*1))</x:f>
      </x:c>
      <x:c r="BL162" s="10">
        <x:f>IF(BK162="","",IF(MAX($BK$2:$BK$252)-MIN($BK$2:$BK$252)=0,"",(BK162-MIN($BK$2:$BK$252))/(MAX($BK$2:$BK$252)-MIN($BK$2:$BK$252))*100))</x:f>
      </x:c>
      <x:c r="BM162" s="10">
        <x:f>IF(AB162="","",IF(MAX($AB$2:$AB$252)-MIN($AB$2:$AB$252)=0,"",(AB162-MIN($AB$2:$AB$252))/(MAX($AB$2:$AB$252)-MIN($AB$2:$AB$252))*100))</x:f>
      </x:c>
      <x:c r="BN162" s="10">
        <x:f>IF(X162="","",X162)</x:f>
      </x:c>
      <x:c r="BO162" s="10">
        <x:f>IF(X162="","",100-X162)</x:f>
      </x:c>
      <x:c r="BP162" s="10">
        <x:f>IF((Weights!$C$2*IF(BH162="",0,1)+Weights!$C$3*IF(BJ162="",0,1)+Weights!$C$4*IF(BL162="",0,1))=0,"",(Weights!$C$2*IF(BH162="",0,BH162)+Weights!$C$3*IF(BJ162="",0,BJ162)+Weights!$C$4*IF(BL162="",0,BL162))/(Weights!$C$2*IF(BH162="",0,1)+Weights!$C$3*IF(BJ162="",0,1)+Weights!$C$4*IF(BL162="",0,1)))</x:f>
      </x:c>
      <x:c r="BQ162" s="10">
        <x:f>IF((Weights!$C$5*IF(BA162="",0,1)+Weights!$C$6*IF(AW162="",0,1)+Weights!$C$7*IF(AU162="",0,1))=0,"",(Weights!$C$5*IF(BA162="",0,BA162)+Weights!$C$6*IF(AW162="",0,AW162)+Weights!$C$7*IF(AU162="",0,AU162))/(Weights!$C$5*IF(BA162="",0,1)+Weights!$C$6*IF(AW162="",0,1)+Weights!$C$7*IF(AU162="",0,1)))</x:f>
      </x:c>
      <x:c r="BR162" s="10">
        <x:f>IF((Weights!$C$8*IF(AW162="",0,1)+Weights!$C$9*IF(BC162="",0,1)+Weights!$C$10*IF(BF162="",0,1))=0,"",(Weights!$C$8*IF(AW162="",0,AW162)+Weights!$C$9*IF(BC162="",0,BC162)+Weights!$C$10*IF(BF162="",0,BF162))/(Weights!$C$8*IF(AW162="",0,1)+Weights!$C$9*IF(BC162="",0,1)+Weights!$C$10*IF(BF162="",0,1)))</x:f>
      </x:c>
      <x:c r="BS162" s="10">
        <x:f>IF(Y162="","",Y162)</x:f>
      </x:c>
      <x:c r="BT162" s="10">
        <x:f>IF(AS162="","",AS162)</x:f>
      </x:c>
      <x:c r="BU162" s="10">
        <x:f>IF(AJ162&lt;&gt;"",(0.6*AJ162+0.4*AU162),IF((Weights!$C$11*IF(AU162="",0,1)+Weights!$C$12*IF(BM162="",0,1))=0,"",(Weights!$C$11*IF(AU162="",0,AU162)+Weights!$C$12*IF(BM162="",0,BM162))/(Weights!$C$11*IF(AU162="",0,1)+Weights!$C$12*IF(BM162="",0,1))))</x:f>
      </x:c>
      <x:c r="BV162" s="10">
        <x:f>IF(CG162="",0,CG162)</x:f>
      </x:c>
      <x:c r="BW162" s="10">
        <x:f>IF(AP162="","",AP162)</x:f>
      </x:c>
      <x:c r="BX162" s="10">
        <x:f>IF(AO162="","",AO162)</x:f>
      </x:c>
      <x:c r="BY162" s="10">
        <x:f>IF(AL162="","",AL162)</x:f>
      </x:c>
      <x:c r="BZ162" s="10">
        <x:f>IF(AM162="","",AM162)</x:f>
      </x:c>
      <x:c r="CA162" s="10">
        <x:f>IF(AK162&lt;&gt;"",AK162,AW162)</x:f>
      </x:c>
      <x:c r="CB162" s="10">
        <x:f>IF((Weights!$C$13*IF(BP162="",0,1)+Weights!$C$14*IF(BR162="",0,1)+Weights!$C$15*IF(BQ162="",0,1)+Weights!$C$16*IF(BS162="",0,1)+Weights!$C$17*IF(BU162="",0,1)+Weights!$C$18*IF(BT162="",0,1)+Weights!$C$19*IF(BW162="",0,1)+Weights!$C$20*IF(BZ162="",0,1)+Weights!$C$21*IF(BO162="",0,1)+Weights!$C$22)=0,"",(Weights!$C$13*IF(BP162="",0,BP162)+Weights!$C$14*IF(BR162="",0,BR162)+Weights!$C$15*IF(BQ162="",0,BQ162)+Weights!$C$16*IF(BS162="",0,BS162)+Weights!$C$17*IF(BU162="",0,BU162)+Weights!$C$18*IF(BT162="",0,BT162)+Weights!$C$19*IF(BW162="",0,BW162)+Weights!$C$20*IF(BZ162="",0,BZ162)+Weights!$C$21*IF(BO162="",0,BO162)+Weights!$C$22*BV162)/(Weights!$C$13*IF(BP162="",0,1)+Weights!$C$14*IF(BR162="",0,1)+Weights!$C$15*IF(BQ162="",0,1)+Weights!$C$16*IF(BS162="",0,1)+Weights!$C$17*IF(BU162="",0,1)+Weights!$C$18*IF(BT162="",0,1)+Weights!$C$19*IF(BW162="",0,1)+Weights!$C$20*IF(BZ162="",0,1)+Weights!$C$21*IF(BO162="",0,1)+Weights!$C$22))</x:f>
      </x:c>
      <x:c r="CC162" s="10">
        <x:f>IF((Weights!$C$23*IF(BQ162="",0,1)+Weights!$C$24*IF(BN162="",0,1)+Weights!$C$25*IF(BS162="",0,1)+Weights!$C$26*IF(BY162="",0,1)+Weights!$C$27*IF(BX162="",0,1)+Weights!$C$28*IF(BT162="",0,1)+Weights!$C$29*IF(CA162="",0,1)+Weights!$C$30+Weights!$C$31*IF(BU162="",0,1))=0,"",(Weights!$C$23*IF(BQ162="",0,BQ162)+Weights!$C$24*IF(BN162="",0,BN162)+Weights!$C$25*IF(BS162="",0,BS162)+Weights!$C$26*IF(BY162="",0,BY162)+Weights!$C$27*IF(BX162="",0,BX162)+Weights!$C$28*IF(BT162="",0,BT162)+Weights!$C$29*IF(CA162="",0,CA162)+Weights!$C$30*BV162+Weights!$C$31*IF(BU162="",0,BU162))/(Weights!$C$23*IF(BQ162="",0,1)+Weights!$C$24*IF(BN162="",0,1)+Weights!$C$25*IF(BS162="",0,1)+Weights!$C$26*IF(BY162="",0,1)+Weights!$C$27*IF(BX162="",0,1)+Weights!$C$28*IF(BT162="",0,1)+Weights!$C$29*IF(CA162="",0,1)+Weights!$C$30+Weights!$C$31*IF(BU162="",0,1)))</x:f>
      </x:c>
      <x:c r="CD162" s="10">
        <x:f>IF(AND(CB162="",CC162=""),"",IF(CB162="",CC162,IF(CC162="",CB162,AVERAGE(CB162,CC162))))</x:f>
      </x:c>
      <x:c r="CE162" s="7">
        <x:f>ROUND(100*((IF(BP162&lt;&gt;"",1,0)+IF(BQ162&lt;&gt;"",1,0)+IF(BR162&lt;&gt;"",1,0)+IF(BS162&lt;&gt;"",1,0)+IF(BU162&lt;&gt;"",1,0)+IF(BT162&lt;&gt;"",1,0)+IF(BN162&lt;&gt;"",1,0)+IF(AW162&lt;&gt;"",1,0))/8),0)</x:f>
      </x:c>
      <x:c r="CF162">
        <x:f>IF(V162="","",LOG10(V162+1))</x:f>
      </x:c>
      <x:c r="CG162">
        <x:f>IF(CF162="","",IF(MAX($CF$2:$CF$252)-MIN($CF$2:$CF$252)=0,"",(CF162-MIN($CF$2:$CF$252))/(MAX($CF$2:$CF$252)-MIN($CF$2:$CF$252))*100))</x:f>
      </x:c>
    </x:row>
    <x:row r="163">
      <x:c r="A163" t="inlineStr">
        <x:is>
          <x:t xml:space="preserve">LTU</x:t>
        </x:is>
      </x:c>
      <x:c r="B163" t="inlineStr">
        <x:is>
          <x:t xml:space="preserve">Lithuania</x:t>
        </x:is>
      </x:c>
      <x:c r="C163" t="inlineStr">
        <x:is>
          <x:t xml:space="preserve">Europe &amp; Central Asia</x:t>
        </x:is>
      </x:c>
      <x:c r="D163" t="inlineStr">
        <x:is>
          <x:t xml:space="preserve">High income</x:t>
        </x:is>
      </x:c>
      <x:c r="E163" t="inlineStr">
        <x:is>
          <x:t xml:space="preserve">Europe</x:t>
        </x:is>
      </x:c>
      <x:c r="F163" t="n">
        <x:v>2024</x:v>
      </x:c>
      <x:c r="G163" t="n">
        <x:v>2888278</x:v>
      </x:c>
      <x:c r="H163" t="n">
        <x:v>2020</x:v>
      </x:c>
      <x:c r="I163" t="n">
        <x:v>37000</x:v>
      </x:c>
      <x:c r="J163" t="n">
        <x:v>24050</x:v>
      </x:c>
      <x:c r="K163" t="n">
        <x:v>7400</x:v>
      </x:c>
      <x:c r="L163" t="n">
        <x:v>4440</x:v>
      </x:c>
      <x:c r="M163" t="n">
        <x:v>2024</x:v>
      </x:c>
      <x:c r="N163" s="8" t="n">
        <x:v>2627474141.71702</x:v>
      </x:c>
      <x:c r="O163" s="9" t="n">
        <x:v>3.11817486440289</x:v>
      </x:c>
      <x:c r="P163" s="8" t="n">
        <x:v>71012.81464100054</x:v>
      </x:c>
      <x:c r="Q163" t="n">
        <x:v>2024</x:v>
      </x:c>
      <x:c r="R163" s="8" t="n">
        <x:v>84869215513.36481</x:v>
      </x:c>
      <x:c r="S163" t="n">
        <x:v>5</x:v>
      </x:c>
      <x:c r="T163" t="n">
        <x:v>0</x:v>
      </x:c>
      <x:c r="U163" t="inlineStr">
        <x:is>
          <x:t xml:space="preserve">No</x:t>
        </x:is>
      </x:c>
      <x:c r="W163" t="inlineStr">
        <x:is>
          <x:t xml:space="preserve">No</x:t>
        </x:is>
      </x:c>
      <x:c r="X163" t="n">
        <x:v>4.623497463798858</x:v>
      </x:c>
      <x:c r="Y163" t="n">
        <x:v>67.63851009786673</x:v>
      </x:c>
      <x:c r="Z163" t="n">
        <x:v>63831.0914781958</x:v>
      </x:c>
      <x:c r="AA163" t="n">
        <x:v>44.23955371285807</x:v>
      </x:c>
      <x:c r="AB163" s="8" t="n">
        <x:v>30320.21074706634</x:v>
      </x:c>
      <x:c r="AC163" t="n">
        <x:v>11</x:v>
      </x:c>
      <x:c r="AD163" t="n">
        <x:v>0</x:v>
      </x:c>
      <x:c r="AE163" t="n">
        <x:v>0</x:v>
      </x:c>
      <x:c r="AR163">
        <x:f>IF(G163="","",LOG10(G163+1))</x:f>
      </x:c>
      <x:c r="AS163" s="10">
        <x:f>IF(AR163="","",IF(MAX($AR$2:$AR$252)-MIN($AR$2:$AR$252)=0,"",(AR163-MIN($AR$2:$AR$252))/(MAX($AR$2:$AR$252)-MIN($AR$2:$AR$252))*100))</x:f>
      </x:c>
      <x:c r="AT163">
        <x:f>IF(R163="","",LOG10(R163+1))</x:f>
      </x:c>
      <x:c r="AU163" s="10">
        <x:f>IF(AT163="","",IF(MAX($AT$2:$AT$252)-MIN($AT$2:$AT$252)=0,"",(AT163-MIN($AT$2:$AT$252))/(MAX($AT$2:$AT$252)-MIN($AT$2:$AT$252))*100))</x:f>
      </x:c>
      <x:c r="AV163">
        <x:f>IF(N163="","",LOG10(N163+1))</x:f>
      </x:c>
      <x:c r="AW163" s="10">
        <x:f>IF(AV163="","",IF(MAX($AV$2:$AV$252)-MIN($AV$2:$AV$252)=0,"",(AV163-MIN($AV$2:$AV$252))/(MAX($AV$2:$AV$252)-MIN($AV$2:$AV$252))*100))</x:f>
      </x:c>
      <x:c r="AX163">
        <x:f>IF(I163="","",LOG10(I163+1))</x:f>
      </x:c>
      <x:c r="AY163" s="10">
        <x:f>IF(AX163="","",IF(MAX($AX$2:$AX$252)-MIN($AX$2:$AX$252)=0,"",(AX163-MIN($AX$2:$AX$252))/(MAX($AX$2:$AX$252)-MIN($AX$2:$AX$252))*100))</x:f>
      </x:c>
      <x:c r="AZ163">
        <x:f>IF(J163="","",LOG10(J163+1))</x:f>
      </x:c>
      <x:c r="BA163" s="10">
        <x:f>IF(AZ163="","",IF(MAX($AZ$2:$AZ$252)-MIN($AZ$2:$AZ$252)=0,"",(AZ163-MIN($AZ$2:$AZ$252))/(MAX($AZ$2:$AZ$252)-MIN($AZ$2:$AZ$252))*100))</x:f>
      </x:c>
      <x:c r="BB163">
        <x:f>IF(K163="","",LOG10(K163+1))</x:f>
      </x:c>
      <x:c r="BC163" s="10">
        <x:f>IF(BB163="","",IF(MAX($BB$2:$BB$252)-MIN($BB$2:$BB$252)=0,"",(BB163-MIN($BB$2:$BB$252))/(MAX($BB$2:$BB$252)-MIN($BB$2:$BB$252))*100))</x:f>
      </x:c>
      <x:c r="BD163">
        <x:f>IF(L163="","",LOG10(L163+1))</x:f>
      </x:c>
      <x:c r="BE163" s="10">
        <x:f>IF(BD163="","",IF(MAX($BD$2:$BD$252)-MIN($BD$2:$BD$252)=0,"",(BD163-MIN($BD$2:$BD$252))/(MAX($BD$2:$BD$252)-MIN($BD$2:$BD$252))*100))</x:f>
      </x:c>
      <x:c r="BF163" s="10">
        <x:f>IF(P163="","",IF(MAX($P$2:$P$252)-MIN($P$2:$P$252)=0,"",(P163-MIN($P$2:$P$252))/(MAX($P$2:$P$252)-MIN($P$2:$P$252))*100))</x:f>
      </x:c>
      <x:c r="BG163">
        <x:f>IF(AF163="","",LOG10(AF163+1))</x:f>
      </x:c>
      <x:c r="BH163" s="10">
        <x:f>IF(BG163="","",IF(MAX($BG$2:$BG$252)-MIN($BG$2:$BG$252)=0,"",(BG163-MIN($BG$2:$BG$252))/(MAX($BG$2:$BG$252)-MIN($BG$2:$BG$252))*100))</x:f>
      </x:c>
      <x:c r="BI163">
        <x:f>IF(AC163="","",LOG10(AC163+1))</x:f>
      </x:c>
      <x:c r="BJ163" s="10">
        <x:f>IF(BI163="","",IF(MAX($BI$2:$BI$252)-MIN($BI$2:$BI$252)=0,"",(BI163-MIN($BI$2:$BI$252))/(MAX($BI$2:$BI$252)-MIN($BI$2:$BI$252))*100))</x:f>
      </x:c>
      <x:c r="BK163">
        <x:f>IF(AD163="","",(AD163*2)+(AE163*1))</x:f>
      </x:c>
      <x:c r="BL163" s="10">
        <x:f>IF(BK163="","",IF(MAX($BK$2:$BK$252)-MIN($BK$2:$BK$252)=0,"",(BK163-MIN($BK$2:$BK$252))/(MAX($BK$2:$BK$252)-MIN($BK$2:$BK$252))*100))</x:f>
      </x:c>
      <x:c r="BM163" s="10">
        <x:f>IF(AB163="","",IF(MAX($AB$2:$AB$252)-MIN($AB$2:$AB$252)=0,"",(AB163-MIN($AB$2:$AB$252))/(MAX($AB$2:$AB$252)-MIN($AB$2:$AB$252))*100))</x:f>
      </x:c>
      <x:c r="BN163" s="10">
        <x:f>IF(X163="","",X163)</x:f>
      </x:c>
      <x:c r="BO163" s="10">
        <x:f>IF(X163="","",100-X163)</x:f>
      </x:c>
      <x:c r="BP163" s="10">
        <x:f>IF((Weights!$C$2*IF(BH163="",0,1)+Weights!$C$3*IF(BJ163="",0,1)+Weights!$C$4*IF(BL163="",0,1))=0,"",(Weights!$C$2*IF(BH163="",0,BH163)+Weights!$C$3*IF(BJ163="",0,BJ163)+Weights!$C$4*IF(BL163="",0,BL163))/(Weights!$C$2*IF(BH163="",0,1)+Weights!$C$3*IF(BJ163="",0,1)+Weights!$C$4*IF(BL163="",0,1)))</x:f>
      </x:c>
      <x:c r="BQ163" s="10">
        <x:f>IF((Weights!$C$5*IF(BA163="",0,1)+Weights!$C$6*IF(AW163="",0,1)+Weights!$C$7*IF(AU163="",0,1))=0,"",(Weights!$C$5*IF(BA163="",0,BA163)+Weights!$C$6*IF(AW163="",0,AW163)+Weights!$C$7*IF(AU163="",0,AU163))/(Weights!$C$5*IF(BA163="",0,1)+Weights!$C$6*IF(AW163="",0,1)+Weights!$C$7*IF(AU163="",0,1)))</x:f>
      </x:c>
      <x:c r="BR163" s="10">
        <x:f>IF((Weights!$C$8*IF(AW163="",0,1)+Weights!$C$9*IF(BC163="",0,1)+Weights!$C$10*IF(BF163="",0,1))=0,"",(Weights!$C$8*IF(AW163="",0,AW163)+Weights!$C$9*IF(BC163="",0,BC163)+Weights!$C$10*IF(BF163="",0,BF163))/(Weights!$C$8*IF(AW163="",0,1)+Weights!$C$9*IF(BC163="",0,1)+Weights!$C$10*IF(BF163="",0,1)))</x:f>
      </x:c>
      <x:c r="BS163" s="10">
        <x:f>IF(Y163="","",Y163)</x:f>
      </x:c>
      <x:c r="BT163" s="10">
        <x:f>IF(AS163="","",AS163)</x:f>
      </x:c>
      <x:c r="BU163" s="10">
        <x:f>IF(AJ163&lt;&gt;"",(0.6*AJ163+0.4*AU163),IF((Weights!$C$11*IF(AU163="",0,1)+Weights!$C$12*IF(BM163="",0,1))=0,"",(Weights!$C$11*IF(AU163="",0,AU163)+Weights!$C$12*IF(BM163="",0,BM163))/(Weights!$C$11*IF(AU163="",0,1)+Weights!$C$12*IF(BM163="",0,1))))</x:f>
      </x:c>
      <x:c r="BV163" s="10">
        <x:f>IF(CG163="",0,CG163)</x:f>
      </x:c>
      <x:c r="BW163" s="10">
        <x:f>IF(AP163="","",AP163)</x:f>
      </x:c>
      <x:c r="BX163" s="10">
        <x:f>IF(AO163="","",AO163)</x:f>
      </x:c>
      <x:c r="BY163" s="10">
        <x:f>IF(AL163="","",AL163)</x:f>
      </x:c>
      <x:c r="BZ163" s="10">
        <x:f>IF(AM163="","",AM163)</x:f>
      </x:c>
      <x:c r="CA163" s="10">
        <x:f>IF(AK163&lt;&gt;"",AK163,AW163)</x:f>
      </x:c>
      <x:c r="CB163" s="10">
        <x:f>IF((Weights!$C$13*IF(BP163="",0,1)+Weights!$C$14*IF(BR163="",0,1)+Weights!$C$15*IF(BQ163="",0,1)+Weights!$C$16*IF(BS163="",0,1)+Weights!$C$17*IF(BU163="",0,1)+Weights!$C$18*IF(BT163="",0,1)+Weights!$C$19*IF(BW163="",0,1)+Weights!$C$20*IF(BZ163="",0,1)+Weights!$C$21*IF(BO163="",0,1)+Weights!$C$22)=0,"",(Weights!$C$13*IF(BP163="",0,BP163)+Weights!$C$14*IF(BR163="",0,BR163)+Weights!$C$15*IF(BQ163="",0,BQ163)+Weights!$C$16*IF(BS163="",0,BS163)+Weights!$C$17*IF(BU163="",0,BU163)+Weights!$C$18*IF(BT163="",0,BT163)+Weights!$C$19*IF(BW163="",0,BW163)+Weights!$C$20*IF(BZ163="",0,BZ163)+Weights!$C$21*IF(BO163="",0,BO163)+Weights!$C$22*BV163)/(Weights!$C$13*IF(BP163="",0,1)+Weights!$C$14*IF(BR163="",0,1)+Weights!$C$15*IF(BQ163="",0,1)+Weights!$C$16*IF(BS163="",0,1)+Weights!$C$17*IF(BU163="",0,1)+Weights!$C$18*IF(BT163="",0,1)+Weights!$C$19*IF(BW163="",0,1)+Weights!$C$20*IF(BZ163="",0,1)+Weights!$C$21*IF(BO163="",0,1)+Weights!$C$22))</x:f>
      </x:c>
      <x:c r="CC163" s="10">
        <x:f>IF((Weights!$C$23*IF(BQ163="",0,1)+Weights!$C$24*IF(BN163="",0,1)+Weights!$C$25*IF(BS163="",0,1)+Weights!$C$26*IF(BY163="",0,1)+Weights!$C$27*IF(BX163="",0,1)+Weights!$C$28*IF(BT163="",0,1)+Weights!$C$29*IF(CA163="",0,1)+Weights!$C$30+Weights!$C$31*IF(BU163="",0,1))=0,"",(Weights!$C$23*IF(BQ163="",0,BQ163)+Weights!$C$24*IF(BN163="",0,BN163)+Weights!$C$25*IF(BS163="",0,BS163)+Weights!$C$26*IF(BY163="",0,BY163)+Weights!$C$27*IF(BX163="",0,BX163)+Weights!$C$28*IF(BT163="",0,BT163)+Weights!$C$29*IF(CA163="",0,CA163)+Weights!$C$30*BV163+Weights!$C$31*IF(BU163="",0,BU163))/(Weights!$C$23*IF(BQ163="",0,1)+Weights!$C$24*IF(BN163="",0,1)+Weights!$C$25*IF(BS163="",0,1)+Weights!$C$26*IF(BY163="",0,1)+Weights!$C$27*IF(BX163="",0,1)+Weights!$C$28*IF(BT163="",0,1)+Weights!$C$29*IF(CA163="",0,1)+Weights!$C$30+Weights!$C$31*IF(BU163="",0,1)))</x:f>
      </x:c>
      <x:c r="CD163" s="10">
        <x:f>IF(AND(CB163="",CC163=""),"",IF(CB163="",CC163,IF(CC163="",CB163,AVERAGE(CB163,CC163))))</x:f>
      </x:c>
      <x:c r="CE163" s="7">
        <x:f>ROUND(100*((IF(BP163&lt;&gt;"",1,0)+IF(BQ163&lt;&gt;"",1,0)+IF(BR163&lt;&gt;"",1,0)+IF(BS163&lt;&gt;"",1,0)+IF(BU163&lt;&gt;"",1,0)+IF(BT163&lt;&gt;"",1,0)+IF(BN163&lt;&gt;"",1,0)+IF(AW163&lt;&gt;"",1,0))/8),0)</x:f>
      </x:c>
      <x:c r="CF163">
        <x:f>IF(V163="","",LOG10(V163+1))</x:f>
      </x:c>
      <x:c r="CG163">
        <x:f>IF(CF163="","",IF(MAX($CF$2:$CF$252)-MIN($CF$2:$CF$252)=0,"",(CF163-MIN($CF$2:$CF$252))/(MAX($CF$2:$CF$252)-MIN($CF$2:$CF$252))*100))</x:f>
      </x:c>
    </x:row>
    <x:row r="164">
      <x:c r="A164" t="inlineStr">
        <x:is>
          <x:t xml:space="preserve">MDG</x:t>
        </x:is>
      </x:c>
      <x:c r="B164" t="inlineStr">
        <x:is>
          <x:t xml:space="preserve">Madagascar</x:t>
        </x:is>
      </x:c>
      <x:c r="C164" t="inlineStr">
        <x:is>
          <x:t xml:space="preserve">Sub-Saharan Africa</x:t>
        </x:is>
      </x:c>
      <x:c r="D164" t="inlineStr">
        <x:is>
          <x:t xml:space="preserve">Low income</x:t>
        </x:is>
      </x:c>
      <x:c r="E164" t="inlineStr">
        <x:is>
          <x:t xml:space="preserve">Africa</x:t>
        </x:is>
      </x:c>
      <x:c r="F164" t="n">
        <x:v>2024</x:v>
      </x:c>
      <x:c r="G164" t="n">
        <x:v>31964956</x:v>
      </x:c>
      <x:c r="H164" t="n">
        <x:v>2020</x:v>
      </x:c>
      <x:c r="I164" t="n">
        <x:v>22000</x:v>
      </x:c>
      <x:c r="J164" t="n">
        <x:v>14300</x:v>
      </x:c>
      <x:c r="K164" t="n">
        <x:v>4400</x:v>
      </x:c>
      <x:c r="L164" t="n">
        <x:v>2640</x:v>
      </x:c>
      <x:c r="M164" t="n">
        <x:v>2024</x:v>
      </x:c>
      <x:c r="N164" s="8" t="n">
        <x:v>121634246.7323</x:v>
      </x:c>
      <x:c r="O164" s="9" t="n">
        <x:v>0.708648145396825</x:v>
      </x:c>
      <x:c r="P164" s="8" t="n">
        <x:v>5528.829396922727</x:v>
      </x:c>
      <x:c r="Q164" t="n">
        <x:v>2024</x:v>
      </x:c>
      <x:c r="R164" s="8" t="n">
        <x:v>17420501490.1231</x:v>
      </x:c>
      <x:c r="S164" t="n">
        <x:v>0</x:v>
      </x:c>
      <x:c r="T164" t="n">
        <x:v>0</x:v>
      </x:c>
      <x:c r="U164" t="inlineStr">
        <x:is>
          <x:t xml:space="preserve">No</x:t>
        </x:is>
      </x:c>
      <x:c r="W164" t="inlineStr">
        <x:is>
          <x:t xml:space="preserve">No</x:t>
        </x:is>
      </x:c>
      <x:c r="X164" t="n">
        <x:v>14.57238224718221</x:v>
      </x:c>
      <x:c r="Y164" t="n">
        <x:v>23.08601622807975</x:v>
      </x:c>
      <x:c r="Z164" t="n">
        <x:v>589382.8270115188</x:v>
      </x:c>
      <x:c r="AA164" t="n">
        <x:v>42.50914660516626</x:v>
      </x:c>
      <x:c r="AB164" s="8" t="n">
        <x:v>1471.212705945332</x:v>
      </x:c>
      <x:c r="AC164" t="n">
        <x:v>8</x:v>
      </x:c>
      <x:c r="AD164" t="n">
        <x:v>0</x:v>
      </x:c>
      <x:c r="AE164" t="n">
        <x:v>0</x:v>
      </x:c>
      <x:c r="AR164">
        <x:f>IF(G164="","",LOG10(G164+1))</x:f>
      </x:c>
      <x:c r="AS164" s="10">
        <x:f>IF(AR164="","",IF(MAX($AR$2:$AR$252)-MIN($AR$2:$AR$252)=0,"",(AR164-MIN($AR$2:$AR$252))/(MAX($AR$2:$AR$252)-MIN($AR$2:$AR$252))*100))</x:f>
      </x:c>
      <x:c r="AT164">
        <x:f>IF(R164="","",LOG10(R164+1))</x:f>
      </x:c>
      <x:c r="AU164" s="10">
        <x:f>IF(AT164="","",IF(MAX($AT$2:$AT$252)-MIN($AT$2:$AT$252)=0,"",(AT164-MIN($AT$2:$AT$252))/(MAX($AT$2:$AT$252)-MIN($AT$2:$AT$252))*100))</x:f>
      </x:c>
      <x:c r="AV164">
        <x:f>IF(N164="","",LOG10(N164+1))</x:f>
      </x:c>
      <x:c r="AW164" s="10">
        <x:f>IF(AV164="","",IF(MAX($AV$2:$AV$252)-MIN($AV$2:$AV$252)=0,"",(AV164-MIN($AV$2:$AV$252))/(MAX($AV$2:$AV$252)-MIN($AV$2:$AV$252))*100))</x:f>
      </x:c>
      <x:c r="AX164">
        <x:f>IF(I164="","",LOG10(I164+1))</x:f>
      </x:c>
      <x:c r="AY164" s="10">
        <x:f>IF(AX164="","",IF(MAX($AX$2:$AX$252)-MIN($AX$2:$AX$252)=0,"",(AX164-MIN($AX$2:$AX$252))/(MAX($AX$2:$AX$252)-MIN($AX$2:$AX$252))*100))</x:f>
      </x:c>
      <x:c r="AZ164">
        <x:f>IF(J164="","",LOG10(J164+1))</x:f>
      </x:c>
      <x:c r="BA164" s="10">
        <x:f>IF(AZ164="","",IF(MAX($AZ$2:$AZ$252)-MIN($AZ$2:$AZ$252)=0,"",(AZ164-MIN($AZ$2:$AZ$252))/(MAX($AZ$2:$AZ$252)-MIN($AZ$2:$AZ$252))*100))</x:f>
      </x:c>
      <x:c r="BB164">
        <x:f>IF(K164="","",LOG10(K164+1))</x:f>
      </x:c>
      <x:c r="BC164" s="10">
        <x:f>IF(BB164="","",IF(MAX($BB$2:$BB$252)-MIN($BB$2:$BB$252)=0,"",(BB164-MIN($BB$2:$BB$252))/(MAX($BB$2:$BB$252)-MIN($BB$2:$BB$252))*100))</x:f>
      </x:c>
      <x:c r="BD164">
        <x:f>IF(L164="","",LOG10(L164+1))</x:f>
      </x:c>
      <x:c r="BE164" s="10">
        <x:f>IF(BD164="","",IF(MAX($BD$2:$BD$252)-MIN($BD$2:$BD$252)=0,"",(BD164-MIN($BD$2:$BD$252))/(MAX($BD$2:$BD$252)-MIN($BD$2:$BD$252))*100))</x:f>
      </x:c>
      <x:c r="BF164" s="10">
        <x:f>IF(P164="","",IF(MAX($P$2:$P$252)-MIN($P$2:$P$252)=0,"",(P164-MIN($P$2:$P$252))/(MAX($P$2:$P$252)-MIN($P$2:$P$252))*100))</x:f>
      </x:c>
      <x:c r="BG164">
        <x:f>IF(AF164="","",LOG10(AF164+1))</x:f>
      </x:c>
      <x:c r="BH164" s="10">
        <x:f>IF(BG164="","",IF(MAX($BG$2:$BG$252)-MIN($BG$2:$BG$252)=0,"",(BG164-MIN($BG$2:$BG$252))/(MAX($BG$2:$BG$252)-MIN($BG$2:$BG$252))*100))</x:f>
      </x:c>
      <x:c r="BI164">
        <x:f>IF(AC164="","",LOG10(AC164+1))</x:f>
      </x:c>
      <x:c r="BJ164" s="10">
        <x:f>IF(BI164="","",IF(MAX($BI$2:$BI$252)-MIN($BI$2:$BI$252)=0,"",(BI164-MIN($BI$2:$BI$252))/(MAX($BI$2:$BI$252)-MIN($BI$2:$BI$252))*100))</x:f>
      </x:c>
      <x:c r="BK164">
        <x:f>IF(AD164="","",(AD164*2)+(AE164*1))</x:f>
      </x:c>
      <x:c r="BL164" s="10">
        <x:f>IF(BK164="","",IF(MAX($BK$2:$BK$252)-MIN($BK$2:$BK$252)=0,"",(BK164-MIN($BK$2:$BK$252))/(MAX($BK$2:$BK$252)-MIN($BK$2:$BK$252))*100))</x:f>
      </x:c>
      <x:c r="BM164" s="10">
        <x:f>IF(AB164="","",IF(MAX($AB$2:$AB$252)-MIN($AB$2:$AB$252)=0,"",(AB164-MIN($AB$2:$AB$252))/(MAX($AB$2:$AB$252)-MIN($AB$2:$AB$252))*100))</x:f>
      </x:c>
      <x:c r="BN164" s="10">
        <x:f>IF(X164="","",X164)</x:f>
      </x:c>
      <x:c r="BO164" s="10">
        <x:f>IF(X164="","",100-X164)</x:f>
      </x:c>
      <x:c r="BP164" s="10">
        <x:f>IF((Weights!$C$2*IF(BH164="",0,1)+Weights!$C$3*IF(BJ164="",0,1)+Weights!$C$4*IF(BL164="",0,1))=0,"",(Weights!$C$2*IF(BH164="",0,BH164)+Weights!$C$3*IF(BJ164="",0,BJ164)+Weights!$C$4*IF(BL164="",0,BL164))/(Weights!$C$2*IF(BH164="",0,1)+Weights!$C$3*IF(BJ164="",0,1)+Weights!$C$4*IF(BL164="",0,1)))</x:f>
      </x:c>
      <x:c r="BQ164" s="10">
        <x:f>IF((Weights!$C$5*IF(BA164="",0,1)+Weights!$C$6*IF(AW164="",0,1)+Weights!$C$7*IF(AU164="",0,1))=0,"",(Weights!$C$5*IF(BA164="",0,BA164)+Weights!$C$6*IF(AW164="",0,AW164)+Weights!$C$7*IF(AU164="",0,AU164))/(Weights!$C$5*IF(BA164="",0,1)+Weights!$C$6*IF(AW164="",0,1)+Weights!$C$7*IF(AU164="",0,1)))</x:f>
      </x:c>
      <x:c r="BR164" s="10">
        <x:f>IF((Weights!$C$8*IF(AW164="",0,1)+Weights!$C$9*IF(BC164="",0,1)+Weights!$C$10*IF(BF164="",0,1))=0,"",(Weights!$C$8*IF(AW164="",0,AW164)+Weights!$C$9*IF(BC164="",0,BC164)+Weights!$C$10*IF(BF164="",0,BF164))/(Weights!$C$8*IF(AW164="",0,1)+Weights!$C$9*IF(BC164="",0,1)+Weights!$C$10*IF(BF164="",0,1)))</x:f>
      </x:c>
      <x:c r="BS164" s="10">
        <x:f>IF(Y164="","",Y164)</x:f>
      </x:c>
      <x:c r="BT164" s="10">
        <x:f>IF(AS164="","",AS164)</x:f>
      </x:c>
      <x:c r="BU164" s="10">
        <x:f>IF(AJ164&lt;&gt;"",(0.6*AJ164+0.4*AU164),IF((Weights!$C$11*IF(AU164="",0,1)+Weights!$C$12*IF(BM164="",0,1))=0,"",(Weights!$C$11*IF(AU164="",0,AU164)+Weights!$C$12*IF(BM164="",0,BM164))/(Weights!$C$11*IF(AU164="",0,1)+Weights!$C$12*IF(BM164="",0,1))))</x:f>
      </x:c>
      <x:c r="BV164" s="10">
        <x:f>IF(CG164="",0,CG164)</x:f>
      </x:c>
      <x:c r="BW164" s="10">
        <x:f>IF(AP164="","",AP164)</x:f>
      </x:c>
      <x:c r="BX164" s="10">
        <x:f>IF(AO164="","",AO164)</x:f>
      </x:c>
      <x:c r="BY164" s="10">
        <x:f>IF(AL164="","",AL164)</x:f>
      </x:c>
      <x:c r="BZ164" s="10">
        <x:f>IF(AM164="","",AM164)</x:f>
      </x:c>
      <x:c r="CA164" s="10">
        <x:f>IF(AK164&lt;&gt;"",AK164,AW164)</x:f>
      </x:c>
      <x:c r="CB164" s="10">
        <x:f>IF((Weights!$C$13*IF(BP164="",0,1)+Weights!$C$14*IF(BR164="",0,1)+Weights!$C$15*IF(BQ164="",0,1)+Weights!$C$16*IF(BS164="",0,1)+Weights!$C$17*IF(BU164="",0,1)+Weights!$C$18*IF(BT164="",0,1)+Weights!$C$19*IF(BW164="",0,1)+Weights!$C$20*IF(BZ164="",0,1)+Weights!$C$21*IF(BO164="",0,1)+Weights!$C$22)=0,"",(Weights!$C$13*IF(BP164="",0,BP164)+Weights!$C$14*IF(BR164="",0,BR164)+Weights!$C$15*IF(BQ164="",0,BQ164)+Weights!$C$16*IF(BS164="",0,BS164)+Weights!$C$17*IF(BU164="",0,BU164)+Weights!$C$18*IF(BT164="",0,BT164)+Weights!$C$19*IF(BW164="",0,BW164)+Weights!$C$20*IF(BZ164="",0,BZ164)+Weights!$C$21*IF(BO164="",0,BO164)+Weights!$C$22*BV164)/(Weights!$C$13*IF(BP164="",0,1)+Weights!$C$14*IF(BR164="",0,1)+Weights!$C$15*IF(BQ164="",0,1)+Weights!$C$16*IF(BS164="",0,1)+Weights!$C$17*IF(BU164="",0,1)+Weights!$C$18*IF(BT164="",0,1)+Weights!$C$19*IF(BW164="",0,1)+Weights!$C$20*IF(BZ164="",0,1)+Weights!$C$21*IF(BO164="",0,1)+Weights!$C$22))</x:f>
      </x:c>
      <x:c r="CC164" s="10">
        <x:f>IF((Weights!$C$23*IF(BQ164="",0,1)+Weights!$C$24*IF(BN164="",0,1)+Weights!$C$25*IF(BS164="",0,1)+Weights!$C$26*IF(BY164="",0,1)+Weights!$C$27*IF(BX164="",0,1)+Weights!$C$28*IF(BT164="",0,1)+Weights!$C$29*IF(CA164="",0,1)+Weights!$C$30+Weights!$C$31*IF(BU164="",0,1))=0,"",(Weights!$C$23*IF(BQ164="",0,BQ164)+Weights!$C$24*IF(BN164="",0,BN164)+Weights!$C$25*IF(BS164="",0,BS164)+Weights!$C$26*IF(BY164="",0,BY164)+Weights!$C$27*IF(BX164="",0,BX164)+Weights!$C$28*IF(BT164="",0,BT164)+Weights!$C$29*IF(CA164="",0,CA164)+Weights!$C$30*BV164+Weights!$C$31*IF(BU164="",0,BU164))/(Weights!$C$23*IF(BQ164="",0,1)+Weights!$C$24*IF(BN164="",0,1)+Weights!$C$25*IF(BS164="",0,1)+Weights!$C$26*IF(BY164="",0,1)+Weights!$C$27*IF(BX164="",0,1)+Weights!$C$28*IF(BT164="",0,1)+Weights!$C$29*IF(CA164="",0,1)+Weights!$C$30+Weights!$C$31*IF(BU164="",0,1)))</x:f>
      </x:c>
      <x:c r="CD164" s="10">
        <x:f>IF(AND(CB164="",CC164=""),"",IF(CB164="",CC164,IF(CC164="",CB164,AVERAGE(CB164,CC164))))</x:f>
      </x:c>
      <x:c r="CE164" s="7">
        <x:f>ROUND(100*((IF(BP164&lt;&gt;"",1,0)+IF(BQ164&lt;&gt;"",1,0)+IF(BR164&lt;&gt;"",1,0)+IF(BS164&lt;&gt;"",1,0)+IF(BU164&lt;&gt;"",1,0)+IF(BT164&lt;&gt;"",1,0)+IF(BN164&lt;&gt;"",1,0)+IF(AW164&lt;&gt;"",1,0))/8),0)</x:f>
      </x:c>
      <x:c r="CF164">
        <x:f>IF(V164="","",LOG10(V164+1))</x:f>
      </x:c>
      <x:c r="CG164">
        <x:f>IF(CF164="","",IF(MAX($CF$2:$CF$252)-MIN($CF$2:$CF$252)=0,"",(CF164-MIN($CF$2:$CF$252))/(MAX($CF$2:$CF$252)-MIN($CF$2:$CF$252))*100))</x:f>
      </x:c>
    </x:row>
    <x:row r="165">
      <x:c r="A165" t="inlineStr">
        <x:is>
          <x:t xml:space="preserve">MWI</x:t>
        </x:is>
      </x:c>
      <x:c r="B165" t="inlineStr">
        <x:is>
          <x:t xml:space="preserve">Malawi</x:t>
        </x:is>
      </x:c>
      <x:c r="C165" t="inlineStr">
        <x:is>
          <x:t xml:space="preserve">Sub-Saharan Africa</x:t>
        </x:is>
      </x:c>
      <x:c r="D165" t="inlineStr">
        <x:is>
          <x:t xml:space="preserve">Low income</x:t>
        </x:is>
      </x:c>
      <x:c r="E165" t="inlineStr">
        <x:is>
          <x:t xml:space="preserve">Africa</x:t>
        </x:is>
      </x:c>
      <x:c r="F165" t="n">
        <x:v>2024</x:v>
      </x:c>
      <x:c r="G165" t="n">
        <x:v>21655286</x:v>
      </x:c>
      <x:c r="H165" t="n">
        <x:v>2020</x:v>
      </x:c>
      <x:c r="I165" t="n">
        <x:v>15000</x:v>
      </x:c>
      <x:c r="J165" t="n">
        <x:v>9750</x:v>
      </x:c>
      <x:c r="K165" t="n">
        <x:v>3000</x:v>
      </x:c>
      <x:c r="L165" t="n">
        <x:v>1800</x:v>
      </x:c>
      <x:c r="M165" t="n">
        <x:v>2024</x:v>
      </x:c>
      <x:c r="N165" s="8" t="n">
        <x:v>117589994.544906</x:v>
      </x:c>
      <x:c r="O165" s="9" t="n">
        <x:v>1.02496048269861</x:v>
      </x:c>
      <x:c r="P165" s="8" t="n">
        <x:v>7839.332969660401</x:v>
      </x:c>
      <x:c r="Q165" t="n">
        <x:v>2024</x:v>
      </x:c>
      <x:c r="R165" s="8" t="n">
        <x:v>11316411329.4619</x:v>
      </x:c>
      <x:c r="S165" t="n">
        <x:v>0</x:v>
      </x:c>
      <x:c r="T165" t="n">
        <x:v>0</x:v>
      </x:c>
      <x:c r="U165" t="inlineStr">
        <x:is>
          <x:t xml:space="preserve">No</x:t>
        </x:is>
      </x:c>
      <x:c r="W165" t="inlineStr">
        <x:is>
          <x:t xml:space="preserve">No</x:t>
        </x:is>
      </x:c>
      <x:c r="X165" t="n">
        <x:v>26.20004326706942</x:v>
      </x:c>
      <x:c r="Y165" t="n">
        <x:v>27.57180823760819</x:v>
      </x:c>
      <x:c r="Z165" t="n">
        <x:v>111197.0183475976</x:v>
      </x:c>
      <x:c r="AA165" t="n">
        <x:v>172.6327403851179</x:v>
      </x:c>
      <x:c r="AB165" s="8" t="n">
        <x:v>1104.382596472248</x:v>
      </x:c>
      <x:c r="AR165">
        <x:f>IF(G165="","",LOG10(G165+1))</x:f>
      </x:c>
      <x:c r="AS165" s="10">
        <x:f>IF(AR165="","",IF(MAX($AR$2:$AR$252)-MIN($AR$2:$AR$252)=0,"",(AR165-MIN($AR$2:$AR$252))/(MAX($AR$2:$AR$252)-MIN($AR$2:$AR$252))*100))</x:f>
      </x:c>
      <x:c r="AT165">
        <x:f>IF(R165="","",LOG10(R165+1))</x:f>
      </x:c>
      <x:c r="AU165" s="10">
        <x:f>IF(AT165="","",IF(MAX($AT$2:$AT$252)-MIN($AT$2:$AT$252)=0,"",(AT165-MIN($AT$2:$AT$252))/(MAX($AT$2:$AT$252)-MIN($AT$2:$AT$252))*100))</x:f>
      </x:c>
      <x:c r="AV165">
        <x:f>IF(N165="","",LOG10(N165+1))</x:f>
      </x:c>
      <x:c r="AW165" s="10">
        <x:f>IF(AV165="","",IF(MAX($AV$2:$AV$252)-MIN($AV$2:$AV$252)=0,"",(AV165-MIN($AV$2:$AV$252))/(MAX($AV$2:$AV$252)-MIN($AV$2:$AV$252))*100))</x:f>
      </x:c>
      <x:c r="AX165">
        <x:f>IF(I165="","",LOG10(I165+1))</x:f>
      </x:c>
      <x:c r="AY165" s="10">
        <x:f>IF(AX165="","",IF(MAX($AX$2:$AX$252)-MIN($AX$2:$AX$252)=0,"",(AX165-MIN($AX$2:$AX$252))/(MAX($AX$2:$AX$252)-MIN($AX$2:$AX$252))*100))</x:f>
      </x:c>
      <x:c r="AZ165">
        <x:f>IF(J165="","",LOG10(J165+1))</x:f>
      </x:c>
      <x:c r="BA165" s="10">
        <x:f>IF(AZ165="","",IF(MAX($AZ$2:$AZ$252)-MIN($AZ$2:$AZ$252)=0,"",(AZ165-MIN($AZ$2:$AZ$252))/(MAX($AZ$2:$AZ$252)-MIN($AZ$2:$AZ$252))*100))</x:f>
      </x:c>
      <x:c r="BB165">
        <x:f>IF(K165="","",LOG10(K165+1))</x:f>
      </x:c>
      <x:c r="BC165" s="10">
        <x:f>IF(BB165="","",IF(MAX($BB$2:$BB$252)-MIN($BB$2:$BB$252)=0,"",(BB165-MIN($BB$2:$BB$252))/(MAX($BB$2:$BB$252)-MIN($BB$2:$BB$252))*100))</x:f>
      </x:c>
      <x:c r="BD165">
        <x:f>IF(L165="","",LOG10(L165+1))</x:f>
      </x:c>
      <x:c r="BE165" s="10">
        <x:f>IF(BD165="","",IF(MAX($BD$2:$BD$252)-MIN($BD$2:$BD$252)=0,"",(BD165-MIN($BD$2:$BD$252))/(MAX($BD$2:$BD$252)-MIN($BD$2:$BD$252))*100))</x:f>
      </x:c>
      <x:c r="BF165" s="10">
        <x:f>IF(P165="","",IF(MAX($P$2:$P$252)-MIN($P$2:$P$252)=0,"",(P165-MIN($P$2:$P$252))/(MAX($P$2:$P$252)-MIN($P$2:$P$252))*100))</x:f>
      </x:c>
      <x:c r="BG165">
        <x:f>IF(AF165="","",LOG10(AF165+1))</x:f>
      </x:c>
      <x:c r="BH165" s="10">
        <x:f>IF(BG165="","",IF(MAX($BG$2:$BG$252)-MIN($BG$2:$BG$252)=0,"",(BG165-MIN($BG$2:$BG$252))/(MAX($BG$2:$BG$252)-MIN($BG$2:$BG$252))*100))</x:f>
      </x:c>
      <x:c r="BI165">
        <x:f>IF(AC165="","",LOG10(AC165+1))</x:f>
      </x:c>
      <x:c r="BJ165" s="10">
        <x:f>IF(BI165="","",IF(MAX($BI$2:$BI$252)-MIN($BI$2:$BI$252)=0,"",(BI165-MIN($BI$2:$BI$252))/(MAX($BI$2:$BI$252)-MIN($BI$2:$BI$252))*100))</x:f>
      </x:c>
      <x:c r="BK165">
        <x:f>IF(AD165="","",(AD165*2)+(AE165*1))</x:f>
      </x:c>
      <x:c r="BL165" s="10">
        <x:f>IF(BK165="","",IF(MAX($BK$2:$BK$252)-MIN($BK$2:$BK$252)=0,"",(BK165-MIN($BK$2:$BK$252))/(MAX($BK$2:$BK$252)-MIN($BK$2:$BK$252))*100))</x:f>
      </x:c>
      <x:c r="BM165" s="10">
        <x:f>IF(AB165="","",IF(MAX($AB$2:$AB$252)-MIN($AB$2:$AB$252)=0,"",(AB165-MIN($AB$2:$AB$252))/(MAX($AB$2:$AB$252)-MIN($AB$2:$AB$252))*100))</x:f>
      </x:c>
      <x:c r="BN165" s="10">
        <x:f>IF(X165="","",X165)</x:f>
      </x:c>
      <x:c r="BO165" s="10">
        <x:f>IF(X165="","",100-X165)</x:f>
      </x:c>
      <x:c r="BP165" s="10">
        <x:f>IF((Weights!$C$2*IF(BH165="",0,1)+Weights!$C$3*IF(BJ165="",0,1)+Weights!$C$4*IF(BL165="",0,1))=0,"",(Weights!$C$2*IF(BH165="",0,BH165)+Weights!$C$3*IF(BJ165="",0,BJ165)+Weights!$C$4*IF(BL165="",0,BL165))/(Weights!$C$2*IF(BH165="",0,1)+Weights!$C$3*IF(BJ165="",0,1)+Weights!$C$4*IF(BL165="",0,1)))</x:f>
      </x:c>
      <x:c r="BQ165" s="10">
        <x:f>IF((Weights!$C$5*IF(BA165="",0,1)+Weights!$C$6*IF(AW165="",0,1)+Weights!$C$7*IF(AU165="",0,1))=0,"",(Weights!$C$5*IF(BA165="",0,BA165)+Weights!$C$6*IF(AW165="",0,AW165)+Weights!$C$7*IF(AU165="",0,AU165))/(Weights!$C$5*IF(BA165="",0,1)+Weights!$C$6*IF(AW165="",0,1)+Weights!$C$7*IF(AU165="",0,1)))</x:f>
      </x:c>
      <x:c r="BR165" s="10">
        <x:f>IF((Weights!$C$8*IF(AW165="",0,1)+Weights!$C$9*IF(BC165="",0,1)+Weights!$C$10*IF(BF165="",0,1))=0,"",(Weights!$C$8*IF(AW165="",0,AW165)+Weights!$C$9*IF(BC165="",0,BC165)+Weights!$C$10*IF(BF165="",0,BF165))/(Weights!$C$8*IF(AW165="",0,1)+Weights!$C$9*IF(BC165="",0,1)+Weights!$C$10*IF(BF165="",0,1)))</x:f>
      </x:c>
      <x:c r="BS165" s="10">
        <x:f>IF(Y165="","",Y165)</x:f>
      </x:c>
      <x:c r="BT165" s="10">
        <x:f>IF(AS165="","",AS165)</x:f>
      </x:c>
      <x:c r="BU165" s="10">
        <x:f>IF(AJ165&lt;&gt;"",(0.6*AJ165+0.4*AU165),IF((Weights!$C$11*IF(AU165="",0,1)+Weights!$C$12*IF(BM165="",0,1))=0,"",(Weights!$C$11*IF(AU165="",0,AU165)+Weights!$C$12*IF(BM165="",0,BM165))/(Weights!$C$11*IF(AU165="",0,1)+Weights!$C$12*IF(BM165="",0,1))))</x:f>
      </x:c>
      <x:c r="BV165" s="10">
        <x:f>IF(CG165="",0,CG165)</x:f>
      </x:c>
      <x:c r="BW165" s="10">
        <x:f>IF(AP165="","",AP165)</x:f>
      </x:c>
      <x:c r="BX165" s="10">
        <x:f>IF(AO165="","",AO165)</x:f>
      </x:c>
      <x:c r="BY165" s="10">
        <x:f>IF(AL165="","",AL165)</x:f>
      </x:c>
      <x:c r="BZ165" s="10">
        <x:f>IF(AM165="","",AM165)</x:f>
      </x:c>
      <x:c r="CA165" s="10">
        <x:f>IF(AK165&lt;&gt;"",AK165,AW165)</x:f>
      </x:c>
      <x:c r="CB165" s="10">
        <x:f>IF((Weights!$C$13*IF(BP165="",0,1)+Weights!$C$14*IF(BR165="",0,1)+Weights!$C$15*IF(BQ165="",0,1)+Weights!$C$16*IF(BS165="",0,1)+Weights!$C$17*IF(BU165="",0,1)+Weights!$C$18*IF(BT165="",0,1)+Weights!$C$19*IF(BW165="",0,1)+Weights!$C$20*IF(BZ165="",0,1)+Weights!$C$21*IF(BO165="",0,1)+Weights!$C$22)=0,"",(Weights!$C$13*IF(BP165="",0,BP165)+Weights!$C$14*IF(BR165="",0,BR165)+Weights!$C$15*IF(BQ165="",0,BQ165)+Weights!$C$16*IF(BS165="",0,BS165)+Weights!$C$17*IF(BU165="",0,BU165)+Weights!$C$18*IF(BT165="",0,BT165)+Weights!$C$19*IF(BW165="",0,BW165)+Weights!$C$20*IF(BZ165="",0,BZ165)+Weights!$C$21*IF(BO165="",0,BO165)+Weights!$C$22*BV165)/(Weights!$C$13*IF(BP165="",0,1)+Weights!$C$14*IF(BR165="",0,1)+Weights!$C$15*IF(BQ165="",0,1)+Weights!$C$16*IF(BS165="",0,1)+Weights!$C$17*IF(BU165="",0,1)+Weights!$C$18*IF(BT165="",0,1)+Weights!$C$19*IF(BW165="",0,1)+Weights!$C$20*IF(BZ165="",0,1)+Weights!$C$21*IF(BO165="",0,1)+Weights!$C$22))</x:f>
      </x:c>
      <x:c r="CC165" s="10">
        <x:f>IF((Weights!$C$23*IF(BQ165="",0,1)+Weights!$C$24*IF(BN165="",0,1)+Weights!$C$25*IF(BS165="",0,1)+Weights!$C$26*IF(BY165="",0,1)+Weights!$C$27*IF(BX165="",0,1)+Weights!$C$28*IF(BT165="",0,1)+Weights!$C$29*IF(CA165="",0,1)+Weights!$C$30+Weights!$C$31*IF(BU165="",0,1))=0,"",(Weights!$C$23*IF(BQ165="",0,BQ165)+Weights!$C$24*IF(BN165="",0,BN165)+Weights!$C$25*IF(BS165="",0,BS165)+Weights!$C$26*IF(BY165="",0,BY165)+Weights!$C$27*IF(BX165="",0,BX165)+Weights!$C$28*IF(BT165="",0,BT165)+Weights!$C$29*IF(CA165="",0,CA165)+Weights!$C$30*BV165+Weights!$C$31*IF(BU165="",0,BU165))/(Weights!$C$23*IF(BQ165="",0,1)+Weights!$C$24*IF(BN165="",0,1)+Weights!$C$25*IF(BS165="",0,1)+Weights!$C$26*IF(BY165="",0,1)+Weights!$C$27*IF(BX165="",0,1)+Weights!$C$28*IF(BT165="",0,1)+Weights!$C$29*IF(CA165="",0,1)+Weights!$C$30+Weights!$C$31*IF(BU165="",0,1)))</x:f>
      </x:c>
      <x:c r="CD165" s="10">
        <x:f>IF(AND(CB165="",CC165=""),"",IF(CB165="",CC165,IF(CC165="",CB165,AVERAGE(CB165,CC165))))</x:f>
      </x:c>
      <x:c r="CE165" s="7">
        <x:f>ROUND(100*((IF(BP165&lt;&gt;"",1,0)+IF(BQ165&lt;&gt;"",1,0)+IF(BR165&lt;&gt;"",1,0)+IF(BS165&lt;&gt;"",1,0)+IF(BU165&lt;&gt;"",1,0)+IF(BT165&lt;&gt;"",1,0)+IF(BN165&lt;&gt;"",1,0)+IF(AW165&lt;&gt;"",1,0))/8),0)</x:f>
      </x:c>
      <x:c r="CF165">
        <x:f>IF(V165="","",LOG10(V165+1))</x:f>
      </x:c>
      <x:c r="CG165">
        <x:f>IF(CF165="","",IF(MAX($CF$2:$CF$252)-MIN($CF$2:$CF$252)=0,"",(CF165-MIN($CF$2:$CF$252))/(MAX($CF$2:$CF$252)-MIN($CF$2:$CF$252))*100))</x:f>
      </x:c>
    </x:row>
    <x:row r="166">
      <x:c r="A166" t="inlineStr">
        <x:is>
          <x:t xml:space="preserve">MDV</x:t>
        </x:is>
      </x:c>
      <x:c r="B166" t="inlineStr">
        <x:is>
          <x:t xml:space="preserve">Maldives</x:t>
        </x:is>
      </x:c>
      <x:c r="C166" t="inlineStr">
        <x:is>
          <x:t xml:space="preserve">South Asia</x:t>
        </x:is>
      </x:c>
      <x:c r="D166" t="inlineStr">
        <x:is>
          <x:t xml:space="preserve">Upper middle income</x:t>
        </x:is>
      </x:c>
      <x:c r="F166" t="n">
        <x:v>2024</x:v>
      </x:c>
      <x:c r="G166" t="n">
        <x:v>527799</x:v>
      </x:c>
      <x:c r="H166" t="n">
        <x:v>2000</x:v>
      </x:c>
      <x:c r="I166" t="n">
        <x:v>5000</x:v>
      </x:c>
      <x:c r="J166" t="n">
        <x:v>3250</x:v>
      </x:c>
      <x:c r="K166" t="n">
        <x:v>1000</x:v>
      </x:c>
      <x:c r="L166" t="n">
        <x:v>600</x:v>
      </x:c>
      <x:c r="N166" s="8" t="n"/>
      <x:c r="O166" s="9" t="n"/>
      <x:c r="P166" s="8" t="n"/>
      <x:c r="Q166" t="n">
        <x:v>2024</x:v>
      </x:c>
      <x:c r="R166" s="8" t="n">
        <x:v>7061608267.25451</x:v>
      </x:c>
      <x:c r="S166" t="n">
        <x:v>0</x:v>
      </x:c>
      <x:c r="T166" t="n">
        <x:v>0</x:v>
      </x:c>
      <x:c r="U166" t="inlineStr">
        <x:is>
          <x:t xml:space="preserve">No</x:t>
        </x:is>
      </x:c>
      <x:c r="W166" t="inlineStr">
        <x:is>
          <x:t xml:space="preserve">No</x:t>
        </x:is>
      </x:c>
      <x:c r="AB166" s="8" t="n"/>
      <x:c r="AR166">
        <x:f>IF(G166="","",LOG10(G166+1))</x:f>
      </x:c>
      <x:c r="AS166" s="10">
        <x:f>IF(AR166="","",IF(MAX($AR$2:$AR$252)-MIN($AR$2:$AR$252)=0,"",(AR166-MIN($AR$2:$AR$252))/(MAX($AR$2:$AR$252)-MIN($AR$2:$AR$252))*100))</x:f>
      </x:c>
      <x:c r="AT166">
        <x:f>IF(R166="","",LOG10(R166+1))</x:f>
      </x:c>
      <x:c r="AU166" s="10">
        <x:f>IF(AT166="","",IF(MAX($AT$2:$AT$252)-MIN($AT$2:$AT$252)=0,"",(AT166-MIN($AT$2:$AT$252))/(MAX($AT$2:$AT$252)-MIN($AT$2:$AT$252))*100))</x:f>
      </x:c>
      <x:c r="AV166">
        <x:f>IF(N166="","",LOG10(N166+1))</x:f>
      </x:c>
      <x:c r="AW166" s="10">
        <x:f>IF(AV166="","",IF(MAX($AV$2:$AV$252)-MIN($AV$2:$AV$252)=0,"",(AV166-MIN($AV$2:$AV$252))/(MAX($AV$2:$AV$252)-MIN($AV$2:$AV$252))*100))</x:f>
      </x:c>
      <x:c r="AX166">
        <x:f>IF(I166="","",LOG10(I166+1))</x:f>
      </x:c>
      <x:c r="AY166" s="10">
        <x:f>IF(AX166="","",IF(MAX($AX$2:$AX$252)-MIN($AX$2:$AX$252)=0,"",(AX166-MIN($AX$2:$AX$252))/(MAX($AX$2:$AX$252)-MIN($AX$2:$AX$252))*100))</x:f>
      </x:c>
      <x:c r="AZ166">
        <x:f>IF(J166="","",LOG10(J166+1))</x:f>
      </x:c>
      <x:c r="BA166" s="10">
        <x:f>IF(AZ166="","",IF(MAX($AZ$2:$AZ$252)-MIN($AZ$2:$AZ$252)=0,"",(AZ166-MIN($AZ$2:$AZ$252))/(MAX($AZ$2:$AZ$252)-MIN($AZ$2:$AZ$252))*100))</x:f>
      </x:c>
      <x:c r="BB166">
        <x:f>IF(K166="","",LOG10(K166+1))</x:f>
      </x:c>
      <x:c r="BC166" s="10">
        <x:f>IF(BB166="","",IF(MAX($BB$2:$BB$252)-MIN($BB$2:$BB$252)=0,"",(BB166-MIN($BB$2:$BB$252))/(MAX($BB$2:$BB$252)-MIN($BB$2:$BB$252))*100))</x:f>
      </x:c>
      <x:c r="BD166">
        <x:f>IF(L166="","",LOG10(L166+1))</x:f>
      </x:c>
      <x:c r="BE166" s="10">
        <x:f>IF(BD166="","",IF(MAX($BD$2:$BD$252)-MIN($BD$2:$BD$252)=0,"",(BD166-MIN($BD$2:$BD$252))/(MAX($BD$2:$BD$252)-MIN($BD$2:$BD$252))*100))</x:f>
      </x:c>
      <x:c r="BF166" s="10">
        <x:f>IF(P166="","",IF(MAX($P$2:$P$252)-MIN($P$2:$P$252)=0,"",(P166-MIN($P$2:$P$252))/(MAX($P$2:$P$252)-MIN($P$2:$P$252))*100))</x:f>
      </x:c>
      <x:c r="BG166">
        <x:f>IF(AF166="","",LOG10(AF166+1))</x:f>
      </x:c>
      <x:c r="BH166" s="10">
        <x:f>IF(BG166="","",IF(MAX($BG$2:$BG$252)-MIN($BG$2:$BG$252)=0,"",(BG166-MIN($BG$2:$BG$252))/(MAX($BG$2:$BG$252)-MIN($BG$2:$BG$252))*100))</x:f>
      </x:c>
      <x:c r="BI166">
        <x:f>IF(AC166="","",LOG10(AC166+1))</x:f>
      </x:c>
      <x:c r="BJ166" s="10">
        <x:f>IF(BI166="","",IF(MAX($BI$2:$BI$252)-MIN($BI$2:$BI$252)=0,"",(BI166-MIN($BI$2:$BI$252))/(MAX($BI$2:$BI$252)-MIN($BI$2:$BI$252))*100))</x:f>
      </x:c>
      <x:c r="BK166">
        <x:f>IF(AD166="","",(AD166*2)+(AE166*1))</x:f>
      </x:c>
      <x:c r="BL166" s="10">
        <x:f>IF(BK166="","",IF(MAX($BK$2:$BK$252)-MIN($BK$2:$BK$252)=0,"",(BK166-MIN($BK$2:$BK$252))/(MAX($BK$2:$BK$252)-MIN($BK$2:$BK$252))*100))</x:f>
      </x:c>
      <x:c r="BM166" s="10">
        <x:f>IF(AB166="","",IF(MAX($AB$2:$AB$252)-MIN($AB$2:$AB$252)=0,"",(AB166-MIN($AB$2:$AB$252))/(MAX($AB$2:$AB$252)-MIN($AB$2:$AB$252))*100))</x:f>
      </x:c>
      <x:c r="BN166" s="10">
        <x:f>IF(X166="","",X166)</x:f>
      </x:c>
      <x:c r="BO166" s="10">
        <x:f>IF(X166="","",100-X166)</x:f>
      </x:c>
      <x:c r="BP166" s="10">
        <x:f>IF((Weights!$C$2*IF(BH166="",0,1)+Weights!$C$3*IF(BJ166="",0,1)+Weights!$C$4*IF(BL166="",0,1))=0,"",(Weights!$C$2*IF(BH166="",0,BH166)+Weights!$C$3*IF(BJ166="",0,BJ166)+Weights!$C$4*IF(BL166="",0,BL166))/(Weights!$C$2*IF(BH166="",0,1)+Weights!$C$3*IF(BJ166="",0,1)+Weights!$C$4*IF(BL166="",0,1)))</x:f>
      </x:c>
      <x:c r="BQ166" s="10">
        <x:f>IF((Weights!$C$5*IF(BA166="",0,1)+Weights!$C$6*IF(AW166="",0,1)+Weights!$C$7*IF(AU166="",0,1))=0,"",(Weights!$C$5*IF(BA166="",0,BA166)+Weights!$C$6*IF(AW166="",0,AW166)+Weights!$C$7*IF(AU166="",0,AU166))/(Weights!$C$5*IF(BA166="",0,1)+Weights!$C$6*IF(AW166="",0,1)+Weights!$C$7*IF(AU166="",0,1)))</x:f>
      </x:c>
      <x:c r="BR166" s="10">
        <x:f>IF((Weights!$C$8*IF(AW166="",0,1)+Weights!$C$9*IF(BC166="",0,1)+Weights!$C$10*IF(BF166="",0,1))=0,"",(Weights!$C$8*IF(AW166="",0,AW166)+Weights!$C$9*IF(BC166="",0,BC166)+Weights!$C$10*IF(BF166="",0,BF166))/(Weights!$C$8*IF(AW166="",0,1)+Weights!$C$9*IF(BC166="",0,1)+Weights!$C$10*IF(BF166="",0,1)))</x:f>
      </x:c>
      <x:c r="BS166" s="10">
        <x:f>IF(Y166="","",Y166)</x:f>
      </x:c>
      <x:c r="BT166" s="10">
        <x:f>IF(AS166="","",AS166)</x:f>
      </x:c>
      <x:c r="BU166" s="10">
        <x:f>IF(AJ166&lt;&gt;"",(0.6*AJ166+0.4*AU166),IF((Weights!$C$11*IF(AU166="",0,1)+Weights!$C$12*IF(BM166="",0,1))=0,"",(Weights!$C$11*IF(AU166="",0,AU166)+Weights!$C$12*IF(BM166="",0,BM166))/(Weights!$C$11*IF(AU166="",0,1)+Weights!$C$12*IF(BM166="",0,1))))</x:f>
      </x:c>
      <x:c r="BV166" s="10">
        <x:f>IF(CG166="",0,CG166)</x:f>
      </x:c>
      <x:c r="BW166" s="10">
        <x:f>IF(AP166="","",AP166)</x:f>
      </x:c>
      <x:c r="BX166" s="10">
        <x:f>IF(AO166="","",AO166)</x:f>
      </x:c>
      <x:c r="BY166" s="10">
        <x:f>IF(AL166="","",AL166)</x:f>
      </x:c>
      <x:c r="BZ166" s="10">
        <x:f>IF(AM166="","",AM166)</x:f>
      </x:c>
      <x:c r="CA166" s="10">
        <x:f>IF(AK166&lt;&gt;"",AK166,AW166)</x:f>
      </x:c>
      <x:c r="CB166" s="10">
        <x:f>IF((Weights!$C$13*IF(BP166="",0,1)+Weights!$C$14*IF(BR166="",0,1)+Weights!$C$15*IF(BQ166="",0,1)+Weights!$C$16*IF(BS166="",0,1)+Weights!$C$17*IF(BU166="",0,1)+Weights!$C$18*IF(BT166="",0,1)+Weights!$C$19*IF(BW166="",0,1)+Weights!$C$20*IF(BZ166="",0,1)+Weights!$C$21*IF(BO166="",0,1)+Weights!$C$22)=0,"",(Weights!$C$13*IF(BP166="",0,BP166)+Weights!$C$14*IF(BR166="",0,BR166)+Weights!$C$15*IF(BQ166="",0,BQ166)+Weights!$C$16*IF(BS166="",0,BS166)+Weights!$C$17*IF(BU166="",0,BU166)+Weights!$C$18*IF(BT166="",0,BT166)+Weights!$C$19*IF(BW166="",0,BW166)+Weights!$C$20*IF(BZ166="",0,BZ166)+Weights!$C$21*IF(BO166="",0,BO166)+Weights!$C$22*BV166)/(Weights!$C$13*IF(BP166="",0,1)+Weights!$C$14*IF(BR166="",0,1)+Weights!$C$15*IF(BQ166="",0,1)+Weights!$C$16*IF(BS166="",0,1)+Weights!$C$17*IF(BU166="",0,1)+Weights!$C$18*IF(BT166="",0,1)+Weights!$C$19*IF(BW166="",0,1)+Weights!$C$20*IF(BZ166="",0,1)+Weights!$C$21*IF(BO166="",0,1)+Weights!$C$22))</x:f>
      </x:c>
      <x:c r="CC166" s="10">
        <x:f>IF((Weights!$C$23*IF(BQ166="",0,1)+Weights!$C$24*IF(BN166="",0,1)+Weights!$C$25*IF(BS166="",0,1)+Weights!$C$26*IF(BY166="",0,1)+Weights!$C$27*IF(BX166="",0,1)+Weights!$C$28*IF(BT166="",0,1)+Weights!$C$29*IF(CA166="",0,1)+Weights!$C$30+Weights!$C$31*IF(BU166="",0,1))=0,"",(Weights!$C$23*IF(BQ166="",0,BQ166)+Weights!$C$24*IF(BN166="",0,BN166)+Weights!$C$25*IF(BS166="",0,BS166)+Weights!$C$26*IF(BY166="",0,BY166)+Weights!$C$27*IF(BX166="",0,BX166)+Weights!$C$28*IF(BT166="",0,BT166)+Weights!$C$29*IF(CA166="",0,CA166)+Weights!$C$30*BV166+Weights!$C$31*IF(BU166="",0,BU166))/(Weights!$C$23*IF(BQ166="",0,1)+Weights!$C$24*IF(BN166="",0,1)+Weights!$C$25*IF(BS166="",0,1)+Weights!$C$26*IF(BY166="",0,1)+Weights!$C$27*IF(BX166="",0,1)+Weights!$C$28*IF(BT166="",0,1)+Weights!$C$29*IF(CA166="",0,1)+Weights!$C$30+Weights!$C$31*IF(BU166="",0,1)))</x:f>
      </x:c>
      <x:c r="CD166" s="10">
        <x:f>IF(AND(CB166="",CC166=""),"",IF(CB166="",CC166,IF(CC166="",CB166,AVERAGE(CB166,CC166))))</x:f>
      </x:c>
      <x:c r="CE166" s="7">
        <x:f>ROUND(100*((IF(BP166&lt;&gt;"",1,0)+IF(BQ166&lt;&gt;"",1,0)+IF(BR166&lt;&gt;"",1,0)+IF(BS166&lt;&gt;"",1,0)+IF(BU166&lt;&gt;"",1,0)+IF(BT166&lt;&gt;"",1,0)+IF(BN166&lt;&gt;"",1,0)+IF(AW166&lt;&gt;"",1,0))/8),0)</x:f>
      </x:c>
      <x:c r="CF166">
        <x:f>IF(V166="","",LOG10(V166+1))</x:f>
      </x:c>
      <x:c r="CG166">
        <x:f>IF(CF166="","",IF(MAX($CF$2:$CF$252)-MIN($CF$2:$CF$252)=0,"",(CF166-MIN($CF$2:$CF$252))/(MAX($CF$2:$CF$252)-MIN($CF$2:$CF$252))*100))</x:f>
      </x:c>
    </x:row>
    <x:row r="167">
      <x:c r="A167" t="inlineStr">
        <x:is>
          <x:t xml:space="preserve">MLI</x:t>
        </x:is>
      </x:c>
      <x:c r="B167" t="inlineStr">
        <x:is>
          <x:t xml:space="preserve">Mali</x:t>
        </x:is>
      </x:c>
      <x:c r="C167" t="inlineStr">
        <x:is>
          <x:t xml:space="preserve">Sub-Saharan Africa</x:t>
        </x:is>
      </x:c>
      <x:c r="D167" t="inlineStr">
        <x:is>
          <x:t xml:space="preserve">Low income</x:t>
        </x:is>
      </x:c>
      <x:c r="E167" t="inlineStr">
        <x:is>
          <x:t xml:space="preserve">Africa</x:t>
        </x:is>
      </x:c>
      <x:c r="F167" t="n">
        <x:v>2024</x:v>
      </x:c>
      <x:c r="G167" t="n">
        <x:v>24478595</x:v>
      </x:c>
      <x:c r="H167" t="n">
        <x:v>2020</x:v>
      </x:c>
      <x:c r="I167" t="n">
        <x:v>41000</x:v>
      </x:c>
      <x:c r="J167" t="n">
        <x:v>26650</x:v>
      </x:c>
      <x:c r="K167" t="n">
        <x:v>8200</x:v>
      </x:c>
      <x:c r="L167" t="n">
        <x:v>4920</x:v>
      </x:c>
      <x:c r="M167" t="n">
        <x:v>2024</x:v>
      </x:c>
      <x:c r="N167" s="8" t="n">
        <x:v>929278520.861402</x:v>
      </x:c>
      <x:c r="O167" s="9" t="n">
        <x:v>4.1981465701254</x:v>
      </x:c>
      <x:c r="P167" s="8" t="n">
        <x:v>22665.32977710737</x:v>
      </x:c>
      <x:c r="Q167" t="n">
        <x:v>2024</x:v>
      </x:c>
      <x:c r="R167" s="8" t="n">
        <x:v>26794747239.8805</x:v>
      </x:c>
      <x:c r="S167" t="n">
        <x:v>0</x:v>
      </x:c>
      <x:c r="T167" t="n">
        <x:v>0</x:v>
      </x:c>
      <x:c r="U167" t="inlineStr">
        <x:is>
          <x:t xml:space="preserve">No</x:t>
        </x:is>
      </x:c>
      <x:c r="W167" t="inlineStr">
        <x:is>
          <x:t xml:space="preserve">No</x:t>
        </x:is>
      </x:c>
      <x:c r="X167" t="n">
        <x:v>20.07234219793817</x:v>
      </x:c>
      <x:c r="Y167" t="n">
        <x:v>22.01506700759694</x:v>
      </x:c>
      <x:c r="Z167" t="n">
        <x:v>1235561.373403156</x:v>
      </x:c>
      <x:c r="AA167" t="n">
        <x:v>14.47539991537446</x:v>
      </x:c>
      <x:c r="AB167" s="8" t="n">
        <x:v>2129.688466666238</x:v>
      </x:c>
      <x:c r="AR167">
        <x:f>IF(G167="","",LOG10(G167+1))</x:f>
      </x:c>
      <x:c r="AS167" s="10">
        <x:f>IF(AR167="","",IF(MAX($AR$2:$AR$252)-MIN($AR$2:$AR$252)=0,"",(AR167-MIN($AR$2:$AR$252))/(MAX($AR$2:$AR$252)-MIN($AR$2:$AR$252))*100))</x:f>
      </x:c>
      <x:c r="AT167">
        <x:f>IF(R167="","",LOG10(R167+1))</x:f>
      </x:c>
      <x:c r="AU167" s="10">
        <x:f>IF(AT167="","",IF(MAX($AT$2:$AT$252)-MIN($AT$2:$AT$252)=0,"",(AT167-MIN($AT$2:$AT$252))/(MAX($AT$2:$AT$252)-MIN($AT$2:$AT$252))*100))</x:f>
      </x:c>
      <x:c r="AV167">
        <x:f>IF(N167="","",LOG10(N167+1))</x:f>
      </x:c>
      <x:c r="AW167" s="10">
        <x:f>IF(AV167="","",IF(MAX($AV$2:$AV$252)-MIN($AV$2:$AV$252)=0,"",(AV167-MIN($AV$2:$AV$252))/(MAX($AV$2:$AV$252)-MIN($AV$2:$AV$252))*100))</x:f>
      </x:c>
      <x:c r="AX167">
        <x:f>IF(I167="","",LOG10(I167+1))</x:f>
      </x:c>
      <x:c r="AY167" s="10">
        <x:f>IF(AX167="","",IF(MAX($AX$2:$AX$252)-MIN($AX$2:$AX$252)=0,"",(AX167-MIN($AX$2:$AX$252))/(MAX($AX$2:$AX$252)-MIN($AX$2:$AX$252))*100))</x:f>
      </x:c>
      <x:c r="AZ167">
        <x:f>IF(J167="","",LOG10(J167+1))</x:f>
      </x:c>
      <x:c r="BA167" s="10">
        <x:f>IF(AZ167="","",IF(MAX($AZ$2:$AZ$252)-MIN($AZ$2:$AZ$252)=0,"",(AZ167-MIN($AZ$2:$AZ$252))/(MAX($AZ$2:$AZ$252)-MIN($AZ$2:$AZ$252))*100))</x:f>
      </x:c>
      <x:c r="BB167">
        <x:f>IF(K167="","",LOG10(K167+1))</x:f>
      </x:c>
      <x:c r="BC167" s="10">
        <x:f>IF(BB167="","",IF(MAX($BB$2:$BB$252)-MIN($BB$2:$BB$252)=0,"",(BB167-MIN($BB$2:$BB$252))/(MAX($BB$2:$BB$252)-MIN($BB$2:$BB$252))*100))</x:f>
      </x:c>
      <x:c r="BD167">
        <x:f>IF(L167="","",LOG10(L167+1))</x:f>
      </x:c>
      <x:c r="BE167" s="10">
        <x:f>IF(BD167="","",IF(MAX($BD$2:$BD$252)-MIN($BD$2:$BD$252)=0,"",(BD167-MIN($BD$2:$BD$252))/(MAX($BD$2:$BD$252)-MIN($BD$2:$BD$252))*100))</x:f>
      </x:c>
      <x:c r="BF167" s="10">
        <x:f>IF(P167="","",IF(MAX($P$2:$P$252)-MIN($P$2:$P$252)=0,"",(P167-MIN($P$2:$P$252))/(MAX($P$2:$P$252)-MIN($P$2:$P$252))*100))</x:f>
      </x:c>
      <x:c r="BG167">
        <x:f>IF(AF167="","",LOG10(AF167+1))</x:f>
      </x:c>
      <x:c r="BH167" s="10">
        <x:f>IF(BG167="","",IF(MAX($BG$2:$BG$252)-MIN($BG$2:$BG$252)=0,"",(BG167-MIN($BG$2:$BG$252))/(MAX($BG$2:$BG$252)-MIN($BG$2:$BG$252))*100))</x:f>
      </x:c>
      <x:c r="BI167">
        <x:f>IF(AC167="","",LOG10(AC167+1))</x:f>
      </x:c>
      <x:c r="BJ167" s="10">
        <x:f>IF(BI167="","",IF(MAX($BI$2:$BI$252)-MIN($BI$2:$BI$252)=0,"",(BI167-MIN($BI$2:$BI$252))/(MAX($BI$2:$BI$252)-MIN($BI$2:$BI$252))*100))</x:f>
      </x:c>
      <x:c r="BK167">
        <x:f>IF(AD167="","",(AD167*2)+(AE167*1))</x:f>
      </x:c>
      <x:c r="BL167" s="10">
        <x:f>IF(BK167="","",IF(MAX($BK$2:$BK$252)-MIN($BK$2:$BK$252)=0,"",(BK167-MIN($BK$2:$BK$252))/(MAX($BK$2:$BK$252)-MIN($BK$2:$BK$252))*100))</x:f>
      </x:c>
      <x:c r="BM167" s="10">
        <x:f>IF(AB167="","",IF(MAX($AB$2:$AB$252)-MIN($AB$2:$AB$252)=0,"",(AB167-MIN($AB$2:$AB$252))/(MAX($AB$2:$AB$252)-MIN($AB$2:$AB$252))*100))</x:f>
      </x:c>
      <x:c r="BN167" s="10">
        <x:f>IF(X167="","",X167)</x:f>
      </x:c>
      <x:c r="BO167" s="10">
        <x:f>IF(X167="","",100-X167)</x:f>
      </x:c>
      <x:c r="BP167" s="10">
        <x:f>IF((Weights!$C$2*IF(BH167="",0,1)+Weights!$C$3*IF(BJ167="",0,1)+Weights!$C$4*IF(BL167="",0,1))=0,"",(Weights!$C$2*IF(BH167="",0,BH167)+Weights!$C$3*IF(BJ167="",0,BJ167)+Weights!$C$4*IF(BL167="",0,BL167))/(Weights!$C$2*IF(BH167="",0,1)+Weights!$C$3*IF(BJ167="",0,1)+Weights!$C$4*IF(BL167="",0,1)))</x:f>
      </x:c>
      <x:c r="BQ167" s="10">
        <x:f>IF((Weights!$C$5*IF(BA167="",0,1)+Weights!$C$6*IF(AW167="",0,1)+Weights!$C$7*IF(AU167="",0,1))=0,"",(Weights!$C$5*IF(BA167="",0,BA167)+Weights!$C$6*IF(AW167="",0,AW167)+Weights!$C$7*IF(AU167="",0,AU167))/(Weights!$C$5*IF(BA167="",0,1)+Weights!$C$6*IF(AW167="",0,1)+Weights!$C$7*IF(AU167="",0,1)))</x:f>
      </x:c>
      <x:c r="BR167" s="10">
        <x:f>IF((Weights!$C$8*IF(AW167="",0,1)+Weights!$C$9*IF(BC167="",0,1)+Weights!$C$10*IF(BF167="",0,1))=0,"",(Weights!$C$8*IF(AW167="",0,AW167)+Weights!$C$9*IF(BC167="",0,BC167)+Weights!$C$10*IF(BF167="",0,BF167))/(Weights!$C$8*IF(AW167="",0,1)+Weights!$C$9*IF(BC167="",0,1)+Weights!$C$10*IF(BF167="",0,1)))</x:f>
      </x:c>
      <x:c r="BS167" s="10">
        <x:f>IF(Y167="","",Y167)</x:f>
      </x:c>
      <x:c r="BT167" s="10">
        <x:f>IF(AS167="","",AS167)</x:f>
      </x:c>
      <x:c r="BU167" s="10">
        <x:f>IF(AJ167&lt;&gt;"",(0.6*AJ167+0.4*AU167),IF((Weights!$C$11*IF(AU167="",0,1)+Weights!$C$12*IF(BM167="",0,1))=0,"",(Weights!$C$11*IF(AU167="",0,AU167)+Weights!$C$12*IF(BM167="",0,BM167))/(Weights!$C$11*IF(AU167="",0,1)+Weights!$C$12*IF(BM167="",0,1))))</x:f>
      </x:c>
      <x:c r="BV167" s="10">
        <x:f>IF(CG167="",0,CG167)</x:f>
      </x:c>
      <x:c r="BW167" s="10">
        <x:f>IF(AP167="","",AP167)</x:f>
      </x:c>
      <x:c r="BX167" s="10">
        <x:f>IF(AO167="","",AO167)</x:f>
      </x:c>
      <x:c r="BY167" s="10">
        <x:f>IF(AL167="","",AL167)</x:f>
      </x:c>
      <x:c r="BZ167" s="10">
        <x:f>IF(AM167="","",AM167)</x:f>
      </x:c>
      <x:c r="CA167" s="10">
        <x:f>IF(AK167&lt;&gt;"",AK167,AW167)</x:f>
      </x:c>
      <x:c r="CB167" s="10">
        <x:f>IF((Weights!$C$13*IF(BP167="",0,1)+Weights!$C$14*IF(BR167="",0,1)+Weights!$C$15*IF(BQ167="",0,1)+Weights!$C$16*IF(BS167="",0,1)+Weights!$C$17*IF(BU167="",0,1)+Weights!$C$18*IF(BT167="",0,1)+Weights!$C$19*IF(BW167="",0,1)+Weights!$C$20*IF(BZ167="",0,1)+Weights!$C$21*IF(BO167="",0,1)+Weights!$C$22)=0,"",(Weights!$C$13*IF(BP167="",0,BP167)+Weights!$C$14*IF(BR167="",0,BR167)+Weights!$C$15*IF(BQ167="",0,BQ167)+Weights!$C$16*IF(BS167="",0,BS167)+Weights!$C$17*IF(BU167="",0,BU167)+Weights!$C$18*IF(BT167="",0,BT167)+Weights!$C$19*IF(BW167="",0,BW167)+Weights!$C$20*IF(BZ167="",0,BZ167)+Weights!$C$21*IF(BO167="",0,BO167)+Weights!$C$22*BV167)/(Weights!$C$13*IF(BP167="",0,1)+Weights!$C$14*IF(BR167="",0,1)+Weights!$C$15*IF(BQ167="",0,1)+Weights!$C$16*IF(BS167="",0,1)+Weights!$C$17*IF(BU167="",0,1)+Weights!$C$18*IF(BT167="",0,1)+Weights!$C$19*IF(BW167="",0,1)+Weights!$C$20*IF(BZ167="",0,1)+Weights!$C$21*IF(BO167="",0,1)+Weights!$C$22))</x:f>
      </x:c>
      <x:c r="CC167" s="10">
        <x:f>IF((Weights!$C$23*IF(BQ167="",0,1)+Weights!$C$24*IF(BN167="",0,1)+Weights!$C$25*IF(BS167="",0,1)+Weights!$C$26*IF(BY167="",0,1)+Weights!$C$27*IF(BX167="",0,1)+Weights!$C$28*IF(BT167="",0,1)+Weights!$C$29*IF(CA167="",0,1)+Weights!$C$30+Weights!$C$31*IF(BU167="",0,1))=0,"",(Weights!$C$23*IF(BQ167="",0,BQ167)+Weights!$C$24*IF(BN167="",0,BN167)+Weights!$C$25*IF(BS167="",0,BS167)+Weights!$C$26*IF(BY167="",0,BY167)+Weights!$C$27*IF(BX167="",0,BX167)+Weights!$C$28*IF(BT167="",0,BT167)+Weights!$C$29*IF(CA167="",0,CA167)+Weights!$C$30*BV167+Weights!$C$31*IF(BU167="",0,BU167))/(Weights!$C$23*IF(BQ167="",0,1)+Weights!$C$24*IF(BN167="",0,1)+Weights!$C$25*IF(BS167="",0,1)+Weights!$C$26*IF(BY167="",0,1)+Weights!$C$27*IF(BX167="",0,1)+Weights!$C$28*IF(BT167="",0,1)+Weights!$C$29*IF(CA167="",0,1)+Weights!$C$30+Weights!$C$31*IF(BU167="",0,1)))</x:f>
      </x:c>
      <x:c r="CD167" s="10">
        <x:f>IF(AND(CB167="",CC167=""),"",IF(CB167="",CC167,IF(CC167="",CB167,AVERAGE(CB167,CC167))))</x:f>
      </x:c>
      <x:c r="CE167" s="7">
        <x:f>ROUND(100*((IF(BP167&lt;&gt;"",1,0)+IF(BQ167&lt;&gt;"",1,0)+IF(BR167&lt;&gt;"",1,0)+IF(BS167&lt;&gt;"",1,0)+IF(BU167&lt;&gt;"",1,0)+IF(BT167&lt;&gt;"",1,0)+IF(BN167&lt;&gt;"",1,0)+IF(AW167&lt;&gt;"",1,0))/8),0)</x:f>
      </x:c>
      <x:c r="CF167">
        <x:f>IF(V167="","",LOG10(V167+1))</x:f>
      </x:c>
      <x:c r="CG167">
        <x:f>IF(CF167="","",IF(MAX($CF$2:$CF$252)-MIN($CF$2:$CF$252)=0,"",(CF167-MIN($CF$2:$CF$252))/(MAX($CF$2:$CF$252)-MIN($CF$2:$CF$252))*100))</x:f>
      </x:c>
    </x:row>
    <x:row r="168">
      <x:c r="A168" t="inlineStr">
        <x:is>
          <x:t xml:space="preserve">MLT</x:t>
        </x:is>
      </x:c>
      <x:c r="B168" t="inlineStr">
        <x:is>
          <x:t xml:space="preserve">Malta</x:t>
        </x:is>
      </x:c>
      <x:c r="C168" t="inlineStr">
        <x:is>
          <x:t xml:space="preserve">Middle East &amp; North Africa</x:t>
        </x:is>
      </x:c>
      <x:c r="D168" t="inlineStr">
        <x:is>
          <x:t xml:space="preserve">High income</x:t>
        </x:is>
      </x:c>
      <x:c r="F168" t="n">
        <x:v>2024</x:v>
      </x:c>
      <x:c r="G168" t="n">
        <x:v>568847</x:v>
      </x:c>
      <x:c r="H168" t="n">
        <x:v>2020</x:v>
      </x:c>
      <x:c r="I168" t="n">
        <x:v>2000</x:v>
      </x:c>
      <x:c r="J168" t="n">
        <x:v>1300</x:v>
      </x:c>
      <x:c r="K168" t="n">
        <x:v>400</x:v>
      </x:c>
      <x:c r="L168" t="n">
        <x:v>240</x:v>
      </x:c>
      <x:c r="M168" t="n">
        <x:v>2024</x:v>
      </x:c>
      <x:c r="N168" s="8" t="n">
        <x:v>109254896.361343</x:v>
      </x:c>
      <x:c r="O168" s="9" t="n">
        <x:v>0.451123319487248</x:v>
      </x:c>
      <x:c r="P168" s="8" t="n">
        <x:v>54627.4481806715</x:v>
      </x:c>
      <x:c r="Q168" t="n">
        <x:v>2024</x:v>
      </x:c>
      <x:c r="R168" s="8" t="n">
        <x:v>24971574502.4475</x:v>
      </x:c>
      <x:c r="S168" t="n">
        <x:v>0</x:v>
      </x:c>
      <x:c r="T168" t="n">
        <x:v>0</x:v>
      </x:c>
      <x:c r="U168" t="inlineStr">
        <x:is>
          <x:t xml:space="preserve">No</x:t>
        </x:is>
      </x:c>
      <x:c r="W168" t="inlineStr">
        <x:is>
          <x:t xml:space="preserve">No</x:t>
        </x:is>
      </x:c>
      <x:c r="AB168" s="8" t="n"/>
      <x:c r="AR168">
        <x:f>IF(G168="","",LOG10(G168+1))</x:f>
      </x:c>
      <x:c r="AS168" s="10">
        <x:f>IF(AR168="","",IF(MAX($AR$2:$AR$252)-MIN($AR$2:$AR$252)=0,"",(AR168-MIN($AR$2:$AR$252))/(MAX($AR$2:$AR$252)-MIN($AR$2:$AR$252))*100))</x:f>
      </x:c>
      <x:c r="AT168">
        <x:f>IF(R168="","",LOG10(R168+1))</x:f>
      </x:c>
      <x:c r="AU168" s="10">
        <x:f>IF(AT168="","",IF(MAX($AT$2:$AT$252)-MIN($AT$2:$AT$252)=0,"",(AT168-MIN($AT$2:$AT$252))/(MAX($AT$2:$AT$252)-MIN($AT$2:$AT$252))*100))</x:f>
      </x:c>
      <x:c r="AV168">
        <x:f>IF(N168="","",LOG10(N168+1))</x:f>
      </x:c>
      <x:c r="AW168" s="10">
        <x:f>IF(AV168="","",IF(MAX($AV$2:$AV$252)-MIN($AV$2:$AV$252)=0,"",(AV168-MIN($AV$2:$AV$252))/(MAX($AV$2:$AV$252)-MIN($AV$2:$AV$252))*100))</x:f>
      </x:c>
      <x:c r="AX168">
        <x:f>IF(I168="","",LOG10(I168+1))</x:f>
      </x:c>
      <x:c r="AY168" s="10">
        <x:f>IF(AX168="","",IF(MAX($AX$2:$AX$252)-MIN($AX$2:$AX$252)=0,"",(AX168-MIN($AX$2:$AX$252))/(MAX($AX$2:$AX$252)-MIN($AX$2:$AX$252))*100))</x:f>
      </x:c>
      <x:c r="AZ168">
        <x:f>IF(J168="","",LOG10(J168+1))</x:f>
      </x:c>
      <x:c r="BA168" s="10">
        <x:f>IF(AZ168="","",IF(MAX($AZ$2:$AZ$252)-MIN($AZ$2:$AZ$252)=0,"",(AZ168-MIN($AZ$2:$AZ$252))/(MAX($AZ$2:$AZ$252)-MIN($AZ$2:$AZ$252))*100))</x:f>
      </x:c>
      <x:c r="BB168">
        <x:f>IF(K168="","",LOG10(K168+1))</x:f>
      </x:c>
      <x:c r="BC168" s="10">
        <x:f>IF(BB168="","",IF(MAX($BB$2:$BB$252)-MIN($BB$2:$BB$252)=0,"",(BB168-MIN($BB$2:$BB$252))/(MAX($BB$2:$BB$252)-MIN($BB$2:$BB$252))*100))</x:f>
      </x:c>
      <x:c r="BD168">
        <x:f>IF(L168="","",LOG10(L168+1))</x:f>
      </x:c>
      <x:c r="BE168" s="10">
        <x:f>IF(BD168="","",IF(MAX($BD$2:$BD$252)-MIN($BD$2:$BD$252)=0,"",(BD168-MIN($BD$2:$BD$252))/(MAX($BD$2:$BD$252)-MIN($BD$2:$BD$252))*100))</x:f>
      </x:c>
      <x:c r="BF168" s="10">
        <x:f>IF(P168="","",IF(MAX($P$2:$P$252)-MIN($P$2:$P$252)=0,"",(P168-MIN($P$2:$P$252))/(MAX($P$2:$P$252)-MIN($P$2:$P$252))*100))</x:f>
      </x:c>
      <x:c r="BG168">
        <x:f>IF(AF168="","",LOG10(AF168+1))</x:f>
      </x:c>
      <x:c r="BH168" s="10">
        <x:f>IF(BG168="","",IF(MAX($BG$2:$BG$252)-MIN($BG$2:$BG$252)=0,"",(BG168-MIN($BG$2:$BG$252))/(MAX($BG$2:$BG$252)-MIN($BG$2:$BG$252))*100))</x:f>
      </x:c>
      <x:c r="BI168">
        <x:f>IF(AC168="","",LOG10(AC168+1))</x:f>
      </x:c>
      <x:c r="BJ168" s="10">
        <x:f>IF(BI168="","",IF(MAX($BI$2:$BI$252)-MIN($BI$2:$BI$252)=0,"",(BI168-MIN($BI$2:$BI$252))/(MAX($BI$2:$BI$252)-MIN($BI$2:$BI$252))*100))</x:f>
      </x:c>
      <x:c r="BK168">
        <x:f>IF(AD168="","",(AD168*2)+(AE168*1))</x:f>
      </x:c>
      <x:c r="BL168" s="10">
        <x:f>IF(BK168="","",IF(MAX($BK$2:$BK$252)-MIN($BK$2:$BK$252)=0,"",(BK168-MIN($BK$2:$BK$252))/(MAX($BK$2:$BK$252)-MIN($BK$2:$BK$252))*100))</x:f>
      </x:c>
      <x:c r="BM168" s="10">
        <x:f>IF(AB168="","",IF(MAX($AB$2:$AB$252)-MIN($AB$2:$AB$252)=0,"",(AB168-MIN($AB$2:$AB$252))/(MAX($AB$2:$AB$252)-MIN($AB$2:$AB$252))*100))</x:f>
      </x:c>
      <x:c r="BN168" s="10">
        <x:f>IF(X168="","",X168)</x:f>
      </x:c>
      <x:c r="BO168" s="10">
        <x:f>IF(X168="","",100-X168)</x:f>
      </x:c>
      <x:c r="BP168" s="10">
        <x:f>IF((Weights!$C$2*IF(BH168="",0,1)+Weights!$C$3*IF(BJ168="",0,1)+Weights!$C$4*IF(BL168="",0,1))=0,"",(Weights!$C$2*IF(BH168="",0,BH168)+Weights!$C$3*IF(BJ168="",0,BJ168)+Weights!$C$4*IF(BL168="",0,BL168))/(Weights!$C$2*IF(BH168="",0,1)+Weights!$C$3*IF(BJ168="",0,1)+Weights!$C$4*IF(BL168="",0,1)))</x:f>
      </x:c>
      <x:c r="BQ168" s="10">
        <x:f>IF((Weights!$C$5*IF(BA168="",0,1)+Weights!$C$6*IF(AW168="",0,1)+Weights!$C$7*IF(AU168="",0,1))=0,"",(Weights!$C$5*IF(BA168="",0,BA168)+Weights!$C$6*IF(AW168="",0,AW168)+Weights!$C$7*IF(AU168="",0,AU168))/(Weights!$C$5*IF(BA168="",0,1)+Weights!$C$6*IF(AW168="",0,1)+Weights!$C$7*IF(AU168="",0,1)))</x:f>
      </x:c>
      <x:c r="BR168" s="10">
        <x:f>IF((Weights!$C$8*IF(AW168="",0,1)+Weights!$C$9*IF(BC168="",0,1)+Weights!$C$10*IF(BF168="",0,1))=0,"",(Weights!$C$8*IF(AW168="",0,AW168)+Weights!$C$9*IF(BC168="",0,BC168)+Weights!$C$10*IF(BF168="",0,BF168))/(Weights!$C$8*IF(AW168="",0,1)+Weights!$C$9*IF(BC168="",0,1)+Weights!$C$10*IF(BF168="",0,1)))</x:f>
      </x:c>
      <x:c r="BS168" s="10">
        <x:f>IF(Y168="","",Y168)</x:f>
      </x:c>
      <x:c r="BT168" s="10">
        <x:f>IF(AS168="","",AS168)</x:f>
      </x:c>
      <x:c r="BU168" s="10">
        <x:f>IF(AJ168&lt;&gt;"",(0.6*AJ168+0.4*AU168),IF((Weights!$C$11*IF(AU168="",0,1)+Weights!$C$12*IF(BM168="",0,1))=0,"",(Weights!$C$11*IF(AU168="",0,AU168)+Weights!$C$12*IF(BM168="",0,BM168))/(Weights!$C$11*IF(AU168="",0,1)+Weights!$C$12*IF(BM168="",0,1))))</x:f>
      </x:c>
      <x:c r="BV168" s="10">
        <x:f>IF(CG168="",0,CG168)</x:f>
      </x:c>
      <x:c r="BW168" s="10">
        <x:f>IF(AP168="","",AP168)</x:f>
      </x:c>
      <x:c r="BX168" s="10">
        <x:f>IF(AO168="","",AO168)</x:f>
      </x:c>
      <x:c r="BY168" s="10">
        <x:f>IF(AL168="","",AL168)</x:f>
      </x:c>
      <x:c r="BZ168" s="10">
        <x:f>IF(AM168="","",AM168)</x:f>
      </x:c>
      <x:c r="CA168" s="10">
        <x:f>IF(AK168&lt;&gt;"",AK168,AW168)</x:f>
      </x:c>
      <x:c r="CB168" s="10">
        <x:f>IF((Weights!$C$13*IF(BP168="",0,1)+Weights!$C$14*IF(BR168="",0,1)+Weights!$C$15*IF(BQ168="",0,1)+Weights!$C$16*IF(BS168="",0,1)+Weights!$C$17*IF(BU168="",0,1)+Weights!$C$18*IF(BT168="",0,1)+Weights!$C$19*IF(BW168="",0,1)+Weights!$C$20*IF(BZ168="",0,1)+Weights!$C$21*IF(BO168="",0,1)+Weights!$C$22)=0,"",(Weights!$C$13*IF(BP168="",0,BP168)+Weights!$C$14*IF(BR168="",0,BR168)+Weights!$C$15*IF(BQ168="",0,BQ168)+Weights!$C$16*IF(BS168="",0,BS168)+Weights!$C$17*IF(BU168="",0,BU168)+Weights!$C$18*IF(BT168="",0,BT168)+Weights!$C$19*IF(BW168="",0,BW168)+Weights!$C$20*IF(BZ168="",0,BZ168)+Weights!$C$21*IF(BO168="",0,BO168)+Weights!$C$22*BV168)/(Weights!$C$13*IF(BP168="",0,1)+Weights!$C$14*IF(BR168="",0,1)+Weights!$C$15*IF(BQ168="",0,1)+Weights!$C$16*IF(BS168="",0,1)+Weights!$C$17*IF(BU168="",0,1)+Weights!$C$18*IF(BT168="",0,1)+Weights!$C$19*IF(BW168="",0,1)+Weights!$C$20*IF(BZ168="",0,1)+Weights!$C$21*IF(BO168="",0,1)+Weights!$C$22))</x:f>
      </x:c>
      <x:c r="CC168" s="10">
        <x:f>IF((Weights!$C$23*IF(BQ168="",0,1)+Weights!$C$24*IF(BN168="",0,1)+Weights!$C$25*IF(BS168="",0,1)+Weights!$C$26*IF(BY168="",0,1)+Weights!$C$27*IF(BX168="",0,1)+Weights!$C$28*IF(BT168="",0,1)+Weights!$C$29*IF(CA168="",0,1)+Weights!$C$30+Weights!$C$31*IF(BU168="",0,1))=0,"",(Weights!$C$23*IF(BQ168="",0,BQ168)+Weights!$C$24*IF(BN168="",0,BN168)+Weights!$C$25*IF(BS168="",0,BS168)+Weights!$C$26*IF(BY168="",0,BY168)+Weights!$C$27*IF(BX168="",0,BX168)+Weights!$C$28*IF(BT168="",0,BT168)+Weights!$C$29*IF(CA168="",0,CA168)+Weights!$C$30*BV168+Weights!$C$31*IF(BU168="",0,BU168))/(Weights!$C$23*IF(BQ168="",0,1)+Weights!$C$24*IF(BN168="",0,1)+Weights!$C$25*IF(BS168="",0,1)+Weights!$C$26*IF(BY168="",0,1)+Weights!$C$27*IF(BX168="",0,1)+Weights!$C$28*IF(BT168="",0,1)+Weights!$C$29*IF(CA168="",0,1)+Weights!$C$30+Weights!$C$31*IF(BU168="",0,1)))</x:f>
      </x:c>
      <x:c r="CD168" s="10">
        <x:f>IF(AND(CB168="",CC168=""),"",IF(CB168="",CC168,IF(CC168="",CB168,AVERAGE(CB168,CC168))))</x:f>
      </x:c>
      <x:c r="CE168" s="7">
        <x:f>ROUND(100*((IF(BP168&lt;&gt;"",1,0)+IF(BQ168&lt;&gt;"",1,0)+IF(BR168&lt;&gt;"",1,0)+IF(BS168&lt;&gt;"",1,0)+IF(BU168&lt;&gt;"",1,0)+IF(BT168&lt;&gt;"",1,0)+IF(BN168&lt;&gt;"",1,0)+IF(AW168&lt;&gt;"",1,0))/8),0)</x:f>
      </x:c>
      <x:c r="CF168">
        <x:f>IF(V168="","",LOG10(V168+1))</x:f>
      </x:c>
      <x:c r="CG168">
        <x:f>IF(CF168="","",IF(MAX($CF$2:$CF$252)-MIN($CF$2:$CF$252)=0,"",(CF168-MIN($CF$2:$CF$252))/(MAX($CF$2:$CF$252)-MIN($CF$2:$CF$252))*100))</x:f>
      </x:c>
    </x:row>
    <x:row r="169">
      <x:c r="A169" t="inlineStr">
        <x:is>
          <x:t xml:space="preserve">MUS</x:t>
        </x:is>
      </x:c>
      <x:c r="B169" t="inlineStr">
        <x:is>
          <x:t xml:space="preserve">Mauritius</x:t>
        </x:is>
      </x:c>
      <x:c r="C169" t="inlineStr">
        <x:is>
          <x:t xml:space="preserve">Sub-Saharan Africa</x:t>
        </x:is>
      </x:c>
      <x:c r="D169" t="inlineStr">
        <x:is>
          <x:t xml:space="preserve">Upper middle income</x:t>
        </x:is>
      </x:c>
      <x:c r="F169" t="n">
        <x:v>2024</x:v>
      </x:c>
      <x:c r="G169" t="n">
        <x:v>1245779</x:v>
      </x:c>
      <x:c r="H169" t="n">
        <x:v>2020</x:v>
      </x:c>
      <x:c r="I169" t="n">
        <x:v>3000</x:v>
      </x:c>
      <x:c r="J169" t="n">
        <x:v>1950</x:v>
      </x:c>
      <x:c r="K169" t="n">
        <x:v>600</x:v>
      </x:c>
      <x:c r="L169" t="n">
        <x:v>360</x:v>
      </x:c>
      <x:c r="M169" t="n">
        <x:v>2024</x:v>
      </x:c>
      <x:c r="N169" s="8" t="n">
        <x:v>23009853.3257139</x:v>
      </x:c>
      <x:c r="O169" s="9" t="n">
        <x:v>0.149590857574221</x:v>
      </x:c>
      <x:c r="P169" s="8" t="n">
        <x:v>7669.951108571299</x:v>
      </x:c>
      <x:c r="Q169" t="n">
        <x:v>2024</x:v>
      </x:c>
      <x:c r="R169" s="8" t="n">
        <x:v>14937861786.17</x:v>
      </x:c>
      <x:c r="S169" t="n">
        <x:v>0</x:v>
      </x:c>
      <x:c r="T169" t="n">
        <x:v>0</x:v>
      </x:c>
      <x:c r="U169" t="inlineStr">
        <x:is>
          <x:t xml:space="preserve">No</x:t>
        </x:is>
      </x:c>
      <x:c r="W169" t="inlineStr">
        <x:is>
          <x:t xml:space="preserve">No</x:t>
        </x:is>
      </x:c>
      <x:c r="AB169" s="8" t="n"/>
      <x:c r="AR169">
        <x:f>IF(G169="","",LOG10(G169+1))</x:f>
      </x:c>
      <x:c r="AS169" s="10">
        <x:f>IF(AR169="","",IF(MAX($AR$2:$AR$252)-MIN($AR$2:$AR$252)=0,"",(AR169-MIN($AR$2:$AR$252))/(MAX($AR$2:$AR$252)-MIN($AR$2:$AR$252))*100))</x:f>
      </x:c>
      <x:c r="AT169">
        <x:f>IF(R169="","",LOG10(R169+1))</x:f>
      </x:c>
      <x:c r="AU169" s="10">
        <x:f>IF(AT169="","",IF(MAX($AT$2:$AT$252)-MIN($AT$2:$AT$252)=0,"",(AT169-MIN($AT$2:$AT$252))/(MAX($AT$2:$AT$252)-MIN($AT$2:$AT$252))*100))</x:f>
      </x:c>
      <x:c r="AV169">
        <x:f>IF(N169="","",LOG10(N169+1))</x:f>
      </x:c>
      <x:c r="AW169" s="10">
        <x:f>IF(AV169="","",IF(MAX($AV$2:$AV$252)-MIN($AV$2:$AV$252)=0,"",(AV169-MIN($AV$2:$AV$252))/(MAX($AV$2:$AV$252)-MIN($AV$2:$AV$252))*100))</x:f>
      </x:c>
      <x:c r="AX169">
        <x:f>IF(I169="","",LOG10(I169+1))</x:f>
      </x:c>
      <x:c r="AY169" s="10">
        <x:f>IF(AX169="","",IF(MAX($AX$2:$AX$252)-MIN($AX$2:$AX$252)=0,"",(AX169-MIN($AX$2:$AX$252))/(MAX($AX$2:$AX$252)-MIN($AX$2:$AX$252))*100))</x:f>
      </x:c>
      <x:c r="AZ169">
        <x:f>IF(J169="","",LOG10(J169+1))</x:f>
      </x:c>
      <x:c r="BA169" s="10">
        <x:f>IF(AZ169="","",IF(MAX($AZ$2:$AZ$252)-MIN($AZ$2:$AZ$252)=0,"",(AZ169-MIN($AZ$2:$AZ$252))/(MAX($AZ$2:$AZ$252)-MIN($AZ$2:$AZ$252))*100))</x:f>
      </x:c>
      <x:c r="BB169">
        <x:f>IF(K169="","",LOG10(K169+1))</x:f>
      </x:c>
      <x:c r="BC169" s="10">
        <x:f>IF(BB169="","",IF(MAX($BB$2:$BB$252)-MIN($BB$2:$BB$252)=0,"",(BB169-MIN($BB$2:$BB$252))/(MAX($BB$2:$BB$252)-MIN($BB$2:$BB$252))*100))</x:f>
      </x:c>
      <x:c r="BD169">
        <x:f>IF(L169="","",LOG10(L169+1))</x:f>
      </x:c>
      <x:c r="BE169" s="10">
        <x:f>IF(BD169="","",IF(MAX($BD$2:$BD$252)-MIN($BD$2:$BD$252)=0,"",(BD169-MIN($BD$2:$BD$252))/(MAX($BD$2:$BD$252)-MIN($BD$2:$BD$252))*100))</x:f>
      </x:c>
      <x:c r="BF169" s="10">
        <x:f>IF(P169="","",IF(MAX($P$2:$P$252)-MIN($P$2:$P$252)=0,"",(P169-MIN($P$2:$P$252))/(MAX($P$2:$P$252)-MIN($P$2:$P$252))*100))</x:f>
      </x:c>
      <x:c r="BG169">
        <x:f>IF(AF169="","",LOG10(AF169+1))</x:f>
      </x:c>
      <x:c r="BH169" s="10">
        <x:f>IF(BG169="","",IF(MAX($BG$2:$BG$252)-MIN($BG$2:$BG$252)=0,"",(BG169-MIN($BG$2:$BG$252))/(MAX($BG$2:$BG$252)-MIN($BG$2:$BG$252))*100))</x:f>
      </x:c>
      <x:c r="BI169">
        <x:f>IF(AC169="","",LOG10(AC169+1))</x:f>
      </x:c>
      <x:c r="BJ169" s="10">
        <x:f>IF(BI169="","",IF(MAX($BI$2:$BI$252)-MIN($BI$2:$BI$252)=0,"",(BI169-MIN($BI$2:$BI$252))/(MAX($BI$2:$BI$252)-MIN($BI$2:$BI$252))*100))</x:f>
      </x:c>
      <x:c r="BK169">
        <x:f>IF(AD169="","",(AD169*2)+(AE169*1))</x:f>
      </x:c>
      <x:c r="BL169" s="10">
        <x:f>IF(BK169="","",IF(MAX($BK$2:$BK$252)-MIN($BK$2:$BK$252)=0,"",(BK169-MIN($BK$2:$BK$252))/(MAX($BK$2:$BK$252)-MIN($BK$2:$BK$252))*100))</x:f>
      </x:c>
      <x:c r="BM169" s="10">
        <x:f>IF(AB169="","",IF(MAX($AB$2:$AB$252)-MIN($AB$2:$AB$252)=0,"",(AB169-MIN($AB$2:$AB$252))/(MAX($AB$2:$AB$252)-MIN($AB$2:$AB$252))*100))</x:f>
      </x:c>
      <x:c r="BN169" s="10">
        <x:f>IF(X169="","",X169)</x:f>
      </x:c>
      <x:c r="BO169" s="10">
        <x:f>IF(X169="","",100-X169)</x:f>
      </x:c>
      <x:c r="BP169" s="10">
        <x:f>IF((Weights!$C$2*IF(BH169="",0,1)+Weights!$C$3*IF(BJ169="",0,1)+Weights!$C$4*IF(BL169="",0,1))=0,"",(Weights!$C$2*IF(BH169="",0,BH169)+Weights!$C$3*IF(BJ169="",0,BJ169)+Weights!$C$4*IF(BL169="",0,BL169))/(Weights!$C$2*IF(BH169="",0,1)+Weights!$C$3*IF(BJ169="",0,1)+Weights!$C$4*IF(BL169="",0,1)))</x:f>
      </x:c>
      <x:c r="BQ169" s="10">
        <x:f>IF((Weights!$C$5*IF(BA169="",0,1)+Weights!$C$6*IF(AW169="",0,1)+Weights!$C$7*IF(AU169="",0,1))=0,"",(Weights!$C$5*IF(BA169="",0,BA169)+Weights!$C$6*IF(AW169="",0,AW169)+Weights!$C$7*IF(AU169="",0,AU169))/(Weights!$C$5*IF(BA169="",0,1)+Weights!$C$6*IF(AW169="",0,1)+Weights!$C$7*IF(AU169="",0,1)))</x:f>
      </x:c>
      <x:c r="BR169" s="10">
        <x:f>IF((Weights!$C$8*IF(AW169="",0,1)+Weights!$C$9*IF(BC169="",0,1)+Weights!$C$10*IF(BF169="",0,1))=0,"",(Weights!$C$8*IF(AW169="",0,AW169)+Weights!$C$9*IF(BC169="",0,BC169)+Weights!$C$10*IF(BF169="",0,BF169))/(Weights!$C$8*IF(AW169="",0,1)+Weights!$C$9*IF(BC169="",0,1)+Weights!$C$10*IF(BF169="",0,1)))</x:f>
      </x:c>
      <x:c r="BS169" s="10">
        <x:f>IF(Y169="","",Y169)</x:f>
      </x:c>
      <x:c r="BT169" s="10">
        <x:f>IF(AS169="","",AS169)</x:f>
      </x:c>
      <x:c r="BU169" s="10">
        <x:f>IF(AJ169&lt;&gt;"",(0.6*AJ169+0.4*AU169),IF((Weights!$C$11*IF(AU169="",0,1)+Weights!$C$12*IF(BM169="",0,1))=0,"",(Weights!$C$11*IF(AU169="",0,AU169)+Weights!$C$12*IF(BM169="",0,BM169))/(Weights!$C$11*IF(AU169="",0,1)+Weights!$C$12*IF(BM169="",0,1))))</x:f>
      </x:c>
      <x:c r="BV169" s="10">
        <x:f>IF(CG169="",0,CG169)</x:f>
      </x:c>
      <x:c r="BW169" s="10">
        <x:f>IF(AP169="","",AP169)</x:f>
      </x:c>
      <x:c r="BX169" s="10">
        <x:f>IF(AO169="","",AO169)</x:f>
      </x:c>
      <x:c r="BY169" s="10">
        <x:f>IF(AL169="","",AL169)</x:f>
      </x:c>
      <x:c r="BZ169" s="10">
        <x:f>IF(AM169="","",AM169)</x:f>
      </x:c>
      <x:c r="CA169" s="10">
        <x:f>IF(AK169&lt;&gt;"",AK169,AW169)</x:f>
      </x:c>
      <x:c r="CB169" s="10">
        <x:f>IF((Weights!$C$13*IF(BP169="",0,1)+Weights!$C$14*IF(BR169="",0,1)+Weights!$C$15*IF(BQ169="",0,1)+Weights!$C$16*IF(BS169="",0,1)+Weights!$C$17*IF(BU169="",0,1)+Weights!$C$18*IF(BT169="",0,1)+Weights!$C$19*IF(BW169="",0,1)+Weights!$C$20*IF(BZ169="",0,1)+Weights!$C$21*IF(BO169="",0,1)+Weights!$C$22)=0,"",(Weights!$C$13*IF(BP169="",0,BP169)+Weights!$C$14*IF(BR169="",0,BR169)+Weights!$C$15*IF(BQ169="",0,BQ169)+Weights!$C$16*IF(BS169="",0,BS169)+Weights!$C$17*IF(BU169="",0,BU169)+Weights!$C$18*IF(BT169="",0,BT169)+Weights!$C$19*IF(BW169="",0,BW169)+Weights!$C$20*IF(BZ169="",0,BZ169)+Weights!$C$21*IF(BO169="",0,BO169)+Weights!$C$22*BV169)/(Weights!$C$13*IF(BP169="",0,1)+Weights!$C$14*IF(BR169="",0,1)+Weights!$C$15*IF(BQ169="",0,1)+Weights!$C$16*IF(BS169="",0,1)+Weights!$C$17*IF(BU169="",0,1)+Weights!$C$18*IF(BT169="",0,1)+Weights!$C$19*IF(BW169="",0,1)+Weights!$C$20*IF(BZ169="",0,1)+Weights!$C$21*IF(BO169="",0,1)+Weights!$C$22))</x:f>
      </x:c>
      <x:c r="CC169" s="10">
        <x:f>IF((Weights!$C$23*IF(BQ169="",0,1)+Weights!$C$24*IF(BN169="",0,1)+Weights!$C$25*IF(BS169="",0,1)+Weights!$C$26*IF(BY169="",0,1)+Weights!$C$27*IF(BX169="",0,1)+Weights!$C$28*IF(BT169="",0,1)+Weights!$C$29*IF(CA169="",0,1)+Weights!$C$30+Weights!$C$31*IF(BU169="",0,1))=0,"",(Weights!$C$23*IF(BQ169="",0,BQ169)+Weights!$C$24*IF(BN169="",0,BN169)+Weights!$C$25*IF(BS169="",0,BS169)+Weights!$C$26*IF(BY169="",0,BY169)+Weights!$C$27*IF(BX169="",0,BX169)+Weights!$C$28*IF(BT169="",0,BT169)+Weights!$C$29*IF(CA169="",0,CA169)+Weights!$C$30*BV169+Weights!$C$31*IF(BU169="",0,BU169))/(Weights!$C$23*IF(BQ169="",0,1)+Weights!$C$24*IF(BN169="",0,1)+Weights!$C$25*IF(BS169="",0,1)+Weights!$C$26*IF(BY169="",0,1)+Weights!$C$27*IF(BX169="",0,1)+Weights!$C$28*IF(BT169="",0,1)+Weights!$C$29*IF(CA169="",0,1)+Weights!$C$30+Weights!$C$31*IF(BU169="",0,1)))</x:f>
      </x:c>
      <x:c r="CD169" s="10">
        <x:f>IF(AND(CB169="",CC169=""),"",IF(CB169="",CC169,IF(CC169="",CB169,AVERAGE(CB169,CC169))))</x:f>
      </x:c>
      <x:c r="CE169" s="7">
        <x:f>ROUND(100*((IF(BP169&lt;&gt;"",1,0)+IF(BQ169&lt;&gt;"",1,0)+IF(BR169&lt;&gt;"",1,0)+IF(BS169&lt;&gt;"",1,0)+IF(BU169&lt;&gt;"",1,0)+IF(BT169&lt;&gt;"",1,0)+IF(BN169&lt;&gt;"",1,0)+IF(AW169&lt;&gt;"",1,0))/8),0)</x:f>
      </x:c>
      <x:c r="CF169">
        <x:f>IF(V169="","",LOG10(V169+1))</x:f>
      </x:c>
      <x:c r="CG169">
        <x:f>IF(CF169="","",IF(MAX($CF$2:$CF$252)-MIN($CF$2:$CF$252)=0,"",(CF169-MIN($CF$2:$CF$252))/(MAX($CF$2:$CF$252)-MIN($CF$2:$CF$252))*100))</x:f>
      </x:c>
    </x:row>
    <x:row r="170">
      <x:c r="A170" t="inlineStr">
        <x:is>
          <x:t xml:space="preserve">MOZ</x:t>
        </x:is>
      </x:c>
      <x:c r="B170" t="inlineStr">
        <x:is>
          <x:t xml:space="preserve">Mozambique</x:t>
        </x:is>
      </x:c>
      <x:c r="C170" t="inlineStr">
        <x:is>
          <x:t xml:space="preserve">Sub-Saharan Africa</x:t>
        </x:is>
      </x:c>
      <x:c r="D170" t="inlineStr">
        <x:is>
          <x:t xml:space="preserve">Low income</x:t>
        </x:is>
      </x:c>
      <x:c r="E170" t="inlineStr">
        <x:is>
          <x:t xml:space="preserve">Africa</x:t>
        </x:is>
      </x:c>
      <x:c r="F170" t="n">
        <x:v>2024</x:v>
      </x:c>
      <x:c r="G170" t="n">
        <x:v>34631766</x:v>
      </x:c>
      <x:c r="H170" t="n">
        <x:v>2020</x:v>
      </x:c>
      <x:c r="I170" t="n">
        <x:v>11000</x:v>
      </x:c>
      <x:c r="J170" t="n">
        <x:v>7150</x:v>
      </x:c>
      <x:c r="K170" t="n">
        <x:v>2200</x:v>
      </x:c>
      <x:c r="L170" t="n">
        <x:v>1320</x:v>
      </x:c>
      <x:c r="M170" t="n">
        <x:v>2024</x:v>
      </x:c>
      <x:c r="N170" s="8" t="n">
        <x:v>450448587.393598</x:v>
      </x:c>
      <x:c r="O170" s="9" t="n">
        <x:v>1.99330115632931</x:v>
      </x:c>
      <x:c r="P170" s="8" t="n">
        <x:v>40949.87158123618</x:v>
      </x:c>
      <x:c r="Q170" t="n">
        <x:v>2024</x:v>
      </x:c>
      <x:c r="R170" s="8" t="n">
        <x:v>22745341305.0622</x:v>
      </x:c>
      <x:c r="S170" t="n">
        <x:v>0</x:v>
      </x:c>
      <x:c r="T170" t="n">
        <x:v>0</x:v>
      </x:c>
      <x:c r="U170" t="inlineStr">
        <x:is>
          <x:t xml:space="preserve">No</x:t>
        </x:is>
      </x:c>
      <x:c r="W170" t="inlineStr">
        <x:is>
          <x:t xml:space="preserve">No</x:t>
        </x:is>
      </x:c>
      <x:c r="X170" t="n">
        <x:v>30.43473241028499</x:v>
      </x:c>
      <x:c r="Y170" t="n">
        <x:v>19.87882887724903</x:v>
      </x:c>
      <x:c r="Z170" t="n">
        <x:v>810994.7572164608</x:v>
      </x:c>
      <x:c r="AA170" t="n">
        <x:v>32.76680368589273</x:v>
      </x:c>
      <x:c r="AB170" s="8" t="n">
        <x:v>1317.467725427533</x:v>
      </x:c>
      <x:c r="AC170" t="n">
        <x:v>8</x:v>
      </x:c>
      <x:c r="AD170" t="n">
        <x:v>0</x:v>
      </x:c>
      <x:c r="AE170" t="n">
        <x:v>0</x:v>
      </x:c>
      <x:c r="AR170">
        <x:f>IF(G170="","",LOG10(G170+1))</x:f>
      </x:c>
      <x:c r="AS170" s="10">
        <x:f>IF(AR170="","",IF(MAX($AR$2:$AR$252)-MIN($AR$2:$AR$252)=0,"",(AR170-MIN($AR$2:$AR$252))/(MAX($AR$2:$AR$252)-MIN($AR$2:$AR$252))*100))</x:f>
      </x:c>
      <x:c r="AT170">
        <x:f>IF(R170="","",LOG10(R170+1))</x:f>
      </x:c>
      <x:c r="AU170" s="10">
        <x:f>IF(AT170="","",IF(MAX($AT$2:$AT$252)-MIN($AT$2:$AT$252)=0,"",(AT170-MIN($AT$2:$AT$252))/(MAX($AT$2:$AT$252)-MIN($AT$2:$AT$252))*100))</x:f>
      </x:c>
      <x:c r="AV170">
        <x:f>IF(N170="","",LOG10(N170+1))</x:f>
      </x:c>
      <x:c r="AW170" s="10">
        <x:f>IF(AV170="","",IF(MAX($AV$2:$AV$252)-MIN($AV$2:$AV$252)=0,"",(AV170-MIN($AV$2:$AV$252))/(MAX($AV$2:$AV$252)-MIN($AV$2:$AV$252))*100))</x:f>
      </x:c>
      <x:c r="AX170">
        <x:f>IF(I170="","",LOG10(I170+1))</x:f>
      </x:c>
      <x:c r="AY170" s="10">
        <x:f>IF(AX170="","",IF(MAX($AX$2:$AX$252)-MIN($AX$2:$AX$252)=0,"",(AX170-MIN($AX$2:$AX$252))/(MAX($AX$2:$AX$252)-MIN($AX$2:$AX$252))*100))</x:f>
      </x:c>
      <x:c r="AZ170">
        <x:f>IF(J170="","",LOG10(J170+1))</x:f>
      </x:c>
      <x:c r="BA170" s="10">
        <x:f>IF(AZ170="","",IF(MAX($AZ$2:$AZ$252)-MIN($AZ$2:$AZ$252)=0,"",(AZ170-MIN($AZ$2:$AZ$252))/(MAX($AZ$2:$AZ$252)-MIN($AZ$2:$AZ$252))*100))</x:f>
      </x:c>
      <x:c r="BB170">
        <x:f>IF(K170="","",LOG10(K170+1))</x:f>
      </x:c>
      <x:c r="BC170" s="10">
        <x:f>IF(BB170="","",IF(MAX($BB$2:$BB$252)-MIN($BB$2:$BB$252)=0,"",(BB170-MIN($BB$2:$BB$252))/(MAX($BB$2:$BB$252)-MIN($BB$2:$BB$252))*100))</x:f>
      </x:c>
      <x:c r="BD170">
        <x:f>IF(L170="","",LOG10(L170+1))</x:f>
      </x:c>
      <x:c r="BE170" s="10">
        <x:f>IF(BD170="","",IF(MAX($BD$2:$BD$252)-MIN($BD$2:$BD$252)=0,"",(BD170-MIN($BD$2:$BD$252))/(MAX($BD$2:$BD$252)-MIN($BD$2:$BD$252))*100))</x:f>
      </x:c>
      <x:c r="BF170" s="10">
        <x:f>IF(P170="","",IF(MAX($P$2:$P$252)-MIN($P$2:$P$252)=0,"",(P170-MIN($P$2:$P$252))/(MAX($P$2:$P$252)-MIN($P$2:$P$252))*100))</x:f>
      </x:c>
      <x:c r="BG170">
        <x:f>IF(AF170="","",LOG10(AF170+1))</x:f>
      </x:c>
      <x:c r="BH170" s="10">
        <x:f>IF(BG170="","",IF(MAX($BG$2:$BG$252)-MIN($BG$2:$BG$252)=0,"",(BG170-MIN($BG$2:$BG$252))/(MAX($BG$2:$BG$252)-MIN($BG$2:$BG$252))*100))</x:f>
      </x:c>
      <x:c r="BI170">
        <x:f>IF(AC170="","",LOG10(AC170+1))</x:f>
      </x:c>
      <x:c r="BJ170" s="10">
        <x:f>IF(BI170="","",IF(MAX($BI$2:$BI$252)-MIN($BI$2:$BI$252)=0,"",(BI170-MIN($BI$2:$BI$252))/(MAX($BI$2:$BI$252)-MIN($BI$2:$BI$252))*100))</x:f>
      </x:c>
      <x:c r="BK170">
        <x:f>IF(AD170="","",(AD170*2)+(AE170*1))</x:f>
      </x:c>
      <x:c r="BL170" s="10">
        <x:f>IF(BK170="","",IF(MAX($BK$2:$BK$252)-MIN($BK$2:$BK$252)=0,"",(BK170-MIN($BK$2:$BK$252))/(MAX($BK$2:$BK$252)-MIN($BK$2:$BK$252))*100))</x:f>
      </x:c>
      <x:c r="BM170" s="10">
        <x:f>IF(AB170="","",IF(MAX($AB$2:$AB$252)-MIN($AB$2:$AB$252)=0,"",(AB170-MIN($AB$2:$AB$252))/(MAX($AB$2:$AB$252)-MIN($AB$2:$AB$252))*100))</x:f>
      </x:c>
      <x:c r="BN170" s="10">
        <x:f>IF(X170="","",X170)</x:f>
      </x:c>
      <x:c r="BO170" s="10">
        <x:f>IF(X170="","",100-X170)</x:f>
      </x:c>
      <x:c r="BP170" s="10">
        <x:f>IF((Weights!$C$2*IF(BH170="",0,1)+Weights!$C$3*IF(BJ170="",0,1)+Weights!$C$4*IF(BL170="",0,1))=0,"",(Weights!$C$2*IF(BH170="",0,BH170)+Weights!$C$3*IF(BJ170="",0,BJ170)+Weights!$C$4*IF(BL170="",0,BL170))/(Weights!$C$2*IF(BH170="",0,1)+Weights!$C$3*IF(BJ170="",0,1)+Weights!$C$4*IF(BL170="",0,1)))</x:f>
      </x:c>
      <x:c r="BQ170" s="10">
        <x:f>IF((Weights!$C$5*IF(BA170="",0,1)+Weights!$C$6*IF(AW170="",0,1)+Weights!$C$7*IF(AU170="",0,1))=0,"",(Weights!$C$5*IF(BA170="",0,BA170)+Weights!$C$6*IF(AW170="",0,AW170)+Weights!$C$7*IF(AU170="",0,AU170))/(Weights!$C$5*IF(BA170="",0,1)+Weights!$C$6*IF(AW170="",0,1)+Weights!$C$7*IF(AU170="",0,1)))</x:f>
      </x:c>
      <x:c r="BR170" s="10">
        <x:f>IF((Weights!$C$8*IF(AW170="",0,1)+Weights!$C$9*IF(BC170="",0,1)+Weights!$C$10*IF(BF170="",0,1))=0,"",(Weights!$C$8*IF(AW170="",0,AW170)+Weights!$C$9*IF(BC170="",0,BC170)+Weights!$C$10*IF(BF170="",0,BF170))/(Weights!$C$8*IF(AW170="",0,1)+Weights!$C$9*IF(BC170="",0,1)+Weights!$C$10*IF(BF170="",0,1)))</x:f>
      </x:c>
      <x:c r="BS170" s="10">
        <x:f>IF(Y170="","",Y170)</x:f>
      </x:c>
      <x:c r="BT170" s="10">
        <x:f>IF(AS170="","",AS170)</x:f>
      </x:c>
      <x:c r="BU170" s="10">
        <x:f>IF(AJ170&lt;&gt;"",(0.6*AJ170+0.4*AU170),IF((Weights!$C$11*IF(AU170="",0,1)+Weights!$C$12*IF(BM170="",0,1))=0,"",(Weights!$C$11*IF(AU170="",0,AU170)+Weights!$C$12*IF(BM170="",0,BM170))/(Weights!$C$11*IF(AU170="",0,1)+Weights!$C$12*IF(BM170="",0,1))))</x:f>
      </x:c>
      <x:c r="BV170" s="10">
        <x:f>IF(CG170="",0,CG170)</x:f>
      </x:c>
      <x:c r="BW170" s="10">
        <x:f>IF(AP170="","",AP170)</x:f>
      </x:c>
      <x:c r="BX170" s="10">
        <x:f>IF(AO170="","",AO170)</x:f>
      </x:c>
      <x:c r="BY170" s="10">
        <x:f>IF(AL170="","",AL170)</x:f>
      </x:c>
      <x:c r="BZ170" s="10">
        <x:f>IF(AM170="","",AM170)</x:f>
      </x:c>
      <x:c r="CA170" s="10">
        <x:f>IF(AK170&lt;&gt;"",AK170,AW170)</x:f>
      </x:c>
      <x:c r="CB170" s="10">
        <x:f>IF((Weights!$C$13*IF(BP170="",0,1)+Weights!$C$14*IF(BR170="",0,1)+Weights!$C$15*IF(BQ170="",0,1)+Weights!$C$16*IF(BS170="",0,1)+Weights!$C$17*IF(BU170="",0,1)+Weights!$C$18*IF(BT170="",0,1)+Weights!$C$19*IF(BW170="",0,1)+Weights!$C$20*IF(BZ170="",0,1)+Weights!$C$21*IF(BO170="",0,1)+Weights!$C$22)=0,"",(Weights!$C$13*IF(BP170="",0,BP170)+Weights!$C$14*IF(BR170="",0,BR170)+Weights!$C$15*IF(BQ170="",0,BQ170)+Weights!$C$16*IF(BS170="",0,BS170)+Weights!$C$17*IF(BU170="",0,BU170)+Weights!$C$18*IF(BT170="",0,BT170)+Weights!$C$19*IF(BW170="",0,BW170)+Weights!$C$20*IF(BZ170="",0,BZ170)+Weights!$C$21*IF(BO170="",0,BO170)+Weights!$C$22*BV170)/(Weights!$C$13*IF(BP170="",0,1)+Weights!$C$14*IF(BR170="",0,1)+Weights!$C$15*IF(BQ170="",0,1)+Weights!$C$16*IF(BS170="",0,1)+Weights!$C$17*IF(BU170="",0,1)+Weights!$C$18*IF(BT170="",0,1)+Weights!$C$19*IF(BW170="",0,1)+Weights!$C$20*IF(BZ170="",0,1)+Weights!$C$21*IF(BO170="",0,1)+Weights!$C$22))</x:f>
      </x:c>
      <x:c r="CC170" s="10">
        <x:f>IF((Weights!$C$23*IF(BQ170="",0,1)+Weights!$C$24*IF(BN170="",0,1)+Weights!$C$25*IF(BS170="",0,1)+Weights!$C$26*IF(BY170="",0,1)+Weights!$C$27*IF(BX170="",0,1)+Weights!$C$28*IF(BT170="",0,1)+Weights!$C$29*IF(CA170="",0,1)+Weights!$C$30+Weights!$C$31*IF(BU170="",0,1))=0,"",(Weights!$C$23*IF(BQ170="",0,BQ170)+Weights!$C$24*IF(BN170="",0,BN170)+Weights!$C$25*IF(BS170="",0,BS170)+Weights!$C$26*IF(BY170="",0,BY170)+Weights!$C$27*IF(BX170="",0,BX170)+Weights!$C$28*IF(BT170="",0,BT170)+Weights!$C$29*IF(CA170="",0,CA170)+Weights!$C$30*BV170+Weights!$C$31*IF(BU170="",0,BU170))/(Weights!$C$23*IF(BQ170="",0,1)+Weights!$C$24*IF(BN170="",0,1)+Weights!$C$25*IF(BS170="",0,1)+Weights!$C$26*IF(BY170="",0,1)+Weights!$C$27*IF(BX170="",0,1)+Weights!$C$28*IF(BT170="",0,1)+Weights!$C$29*IF(CA170="",0,1)+Weights!$C$30+Weights!$C$31*IF(BU170="",0,1)))</x:f>
      </x:c>
      <x:c r="CD170" s="10">
        <x:f>IF(AND(CB170="",CC170=""),"",IF(CB170="",CC170,IF(CC170="",CB170,AVERAGE(CB170,CC170))))</x:f>
      </x:c>
      <x:c r="CE170" s="7">
        <x:f>ROUND(100*((IF(BP170&lt;&gt;"",1,0)+IF(BQ170&lt;&gt;"",1,0)+IF(BR170&lt;&gt;"",1,0)+IF(BS170&lt;&gt;"",1,0)+IF(BU170&lt;&gt;"",1,0)+IF(BT170&lt;&gt;"",1,0)+IF(BN170&lt;&gt;"",1,0)+IF(AW170&lt;&gt;"",1,0))/8),0)</x:f>
      </x:c>
      <x:c r="CF170">
        <x:f>IF(V170="","",LOG10(V170+1))</x:f>
      </x:c>
      <x:c r="CG170">
        <x:f>IF(CF170="","",IF(MAX($CF$2:$CF$252)-MIN($CF$2:$CF$252)=0,"",(CF170-MIN($CF$2:$CF$252))/(MAX($CF$2:$CF$252)-MIN($CF$2:$CF$252))*100))</x:f>
      </x:c>
    </x:row>
    <x:row r="171">
      <x:c r="A171" t="inlineStr">
        <x:is>
          <x:t xml:space="preserve">MMR</x:t>
        </x:is>
      </x:c>
      <x:c r="B171" t="inlineStr">
        <x:is>
          <x:t xml:space="preserve">Myanmar</x:t>
        </x:is>
      </x:c>
      <x:c r="C171" t="inlineStr">
        <x:is>
          <x:t xml:space="preserve">East Asia &amp; Pacific</x:t>
        </x:is>
      </x:c>
      <x:c r="D171" t="inlineStr">
        <x:is>
          <x:t xml:space="preserve">Lower middle income</x:t>
        </x:is>
      </x:c>
      <x:c r="E171" t="inlineStr">
        <x:is>
          <x:t xml:space="preserve">Asia</x:t>
        </x:is>
      </x:c>
      <x:c r="F171" t="n">
        <x:v>2024</x:v>
      </x:c>
      <x:c r="G171" t="n">
        <x:v>54500091</x:v>
      </x:c>
      <x:c r="H171" t="n">
        <x:v>2020</x:v>
      </x:c>
      <x:c r="I171" t="n">
        <x:v>463000</x:v>
      </x:c>
      <x:c r="J171" t="n">
        <x:v>300950</x:v>
      </x:c>
      <x:c r="K171" t="n">
        <x:v>92600</x:v>
      </x:c>
      <x:c r="L171" t="n">
        <x:v>55560</x:v>
      </x:c>
      <x:c r="M171" t="n">
        <x:v>2024</x:v>
      </x:c>
      <x:c r="N171" s="8" t="n">
        <x:v>5011272415.12673</x:v>
      </x:c>
      <x:c r="O171" s="9" t="n">
        <x:v>6.79452485229039</x:v>
      </x:c>
      <x:c r="P171" s="8" t="n">
        <x:v>10823.48253807069</x:v>
      </x:c>
      <x:c r="Q171" t="n">
        <x:v>2024</x:v>
      </x:c>
      <x:c r="R171" s="8" t="n">
        <x:v>74068349523.80949</x:v>
      </x:c>
      <x:c r="S171" t="n">
        <x:v>0</x:v>
      </x:c>
      <x:c r="T171" t="n">
        <x:v>0</x:v>
      </x:c>
      <x:c r="U171" t="inlineStr">
        <x:is>
          <x:t xml:space="preserve">No</x:t>
        </x:is>
      </x:c>
      <x:c r="W171" t="inlineStr">
        <x:is>
          <x:t xml:space="preserve">No</x:t>
        </x:is>
      </x:c>
      <x:c r="X171" t="n">
        <x:v>32.86256498624992</x:v>
      </x:c>
      <x:c r="Y171" t="n">
        <x:v>46.7597485866208</x:v>
      </x:c>
      <x:c r="Z171" t="n">
        <x:v>679573.9942370825</x:v>
      </x:c>
      <x:c r="AA171" t="n">
        <x:v>81.11524935836346</x:v>
      </x:c>
      <x:c r="AB171" s="8" t="n">
        <x:v>5643.658836814158</x:v>
      </x:c>
      <x:c r="AC171" t="n">
        <x:v>227</x:v>
      </x:c>
      <x:c r="AD171" t="n">
        <x:v>0</x:v>
      </x:c>
      <x:c r="AE171" t="n">
        <x:v>0</x:v>
      </x:c>
      <x:c r="AI171" t="n">
        <x:v>7.1</x:v>
      </x:c>
      <x:c r="AJ171" t="n">
        <x:v>1.2</x:v>
      </x:c>
      <x:c r="AK171" t="n">
        <x:v>6.1</x:v>
      </x:c>
      <x:c r="AL171" t="n">
        <x:v>14.5</x:v>
      </x:c>
      <x:c r="AM171" t="n">
        <x:v>2</x:v>
      </x:c>
      <x:c r="AN171" t="n">
        <x:v>6.1</x:v>
      </x:c>
      <x:c r="AO171" t="n">
        <x:v>1.2</x:v>
      </x:c>
      <x:c r="AP171" t="n">
        <x:v>24.6</x:v>
      </x:c>
      <x:c r="AQ171" t="n">
        <x:v>7</x:v>
      </x:c>
      <x:c r="AR171">
        <x:f>IF(G171="","",LOG10(G171+1))</x:f>
      </x:c>
      <x:c r="AS171" s="10">
        <x:f>IF(AR171="","",IF(MAX($AR$2:$AR$252)-MIN($AR$2:$AR$252)=0,"",(AR171-MIN($AR$2:$AR$252))/(MAX($AR$2:$AR$252)-MIN($AR$2:$AR$252))*100))</x:f>
      </x:c>
      <x:c r="AT171">
        <x:f>IF(R171="","",LOG10(R171+1))</x:f>
      </x:c>
      <x:c r="AU171" s="10">
        <x:f>IF(AT171="","",IF(MAX($AT$2:$AT$252)-MIN($AT$2:$AT$252)=0,"",(AT171-MIN($AT$2:$AT$252))/(MAX($AT$2:$AT$252)-MIN($AT$2:$AT$252))*100))</x:f>
      </x:c>
      <x:c r="AV171">
        <x:f>IF(N171="","",LOG10(N171+1))</x:f>
      </x:c>
      <x:c r="AW171" s="10">
        <x:f>IF(AV171="","",IF(MAX($AV$2:$AV$252)-MIN($AV$2:$AV$252)=0,"",(AV171-MIN($AV$2:$AV$252))/(MAX($AV$2:$AV$252)-MIN($AV$2:$AV$252))*100))</x:f>
      </x:c>
      <x:c r="AX171">
        <x:f>IF(I171="","",LOG10(I171+1))</x:f>
      </x:c>
      <x:c r="AY171" s="10">
        <x:f>IF(AX171="","",IF(MAX($AX$2:$AX$252)-MIN($AX$2:$AX$252)=0,"",(AX171-MIN($AX$2:$AX$252))/(MAX($AX$2:$AX$252)-MIN($AX$2:$AX$252))*100))</x:f>
      </x:c>
      <x:c r="AZ171">
        <x:f>IF(J171="","",LOG10(J171+1))</x:f>
      </x:c>
      <x:c r="BA171" s="10">
        <x:f>IF(AZ171="","",IF(MAX($AZ$2:$AZ$252)-MIN($AZ$2:$AZ$252)=0,"",(AZ171-MIN($AZ$2:$AZ$252))/(MAX($AZ$2:$AZ$252)-MIN($AZ$2:$AZ$252))*100))</x:f>
      </x:c>
      <x:c r="BB171">
        <x:f>IF(K171="","",LOG10(K171+1))</x:f>
      </x:c>
      <x:c r="BC171" s="10">
        <x:f>IF(BB171="","",IF(MAX($BB$2:$BB$252)-MIN($BB$2:$BB$252)=0,"",(BB171-MIN($BB$2:$BB$252))/(MAX($BB$2:$BB$252)-MIN($BB$2:$BB$252))*100))</x:f>
      </x:c>
      <x:c r="BD171">
        <x:f>IF(L171="","",LOG10(L171+1))</x:f>
      </x:c>
      <x:c r="BE171" s="10">
        <x:f>IF(BD171="","",IF(MAX($BD$2:$BD$252)-MIN($BD$2:$BD$252)=0,"",(BD171-MIN($BD$2:$BD$252))/(MAX($BD$2:$BD$252)-MIN($BD$2:$BD$252))*100))</x:f>
      </x:c>
      <x:c r="BF171" s="10">
        <x:f>IF(P171="","",IF(MAX($P$2:$P$252)-MIN($P$2:$P$252)=0,"",(P171-MIN($P$2:$P$252))/(MAX($P$2:$P$252)-MIN($P$2:$P$252))*100))</x:f>
      </x:c>
      <x:c r="BG171">
        <x:f>IF(AF171="","",LOG10(AF171+1))</x:f>
      </x:c>
      <x:c r="BH171" s="10">
        <x:f>IF(BG171="","",IF(MAX($BG$2:$BG$252)-MIN($BG$2:$BG$252)=0,"",(BG171-MIN($BG$2:$BG$252))/(MAX($BG$2:$BG$252)-MIN($BG$2:$BG$252))*100))</x:f>
      </x:c>
      <x:c r="BI171">
        <x:f>IF(AC171="","",LOG10(AC171+1))</x:f>
      </x:c>
      <x:c r="BJ171" s="10">
        <x:f>IF(BI171="","",IF(MAX($BI$2:$BI$252)-MIN($BI$2:$BI$252)=0,"",(BI171-MIN($BI$2:$BI$252))/(MAX($BI$2:$BI$252)-MIN($BI$2:$BI$252))*100))</x:f>
      </x:c>
      <x:c r="BK171">
        <x:f>IF(AD171="","",(AD171*2)+(AE171*1))</x:f>
      </x:c>
      <x:c r="BL171" s="10">
        <x:f>IF(BK171="","",IF(MAX($BK$2:$BK$252)-MIN($BK$2:$BK$252)=0,"",(BK171-MIN($BK$2:$BK$252))/(MAX($BK$2:$BK$252)-MIN($BK$2:$BK$252))*100))</x:f>
      </x:c>
      <x:c r="BM171" s="10">
        <x:f>IF(AB171="","",IF(MAX($AB$2:$AB$252)-MIN($AB$2:$AB$252)=0,"",(AB171-MIN($AB$2:$AB$252))/(MAX($AB$2:$AB$252)-MIN($AB$2:$AB$252))*100))</x:f>
      </x:c>
      <x:c r="BN171" s="10">
        <x:f>IF(X171="","",X171)</x:f>
      </x:c>
      <x:c r="BO171" s="10">
        <x:f>IF(X171="","",100-X171)</x:f>
      </x:c>
      <x:c r="BP171" s="10">
        <x:f>IF((Weights!$C$2*IF(BH171="",0,1)+Weights!$C$3*IF(BJ171="",0,1)+Weights!$C$4*IF(BL171="",0,1))=0,"",(Weights!$C$2*IF(BH171="",0,BH171)+Weights!$C$3*IF(BJ171="",0,BJ171)+Weights!$C$4*IF(BL171="",0,BL171))/(Weights!$C$2*IF(BH171="",0,1)+Weights!$C$3*IF(BJ171="",0,1)+Weights!$C$4*IF(BL171="",0,1)))</x:f>
      </x:c>
      <x:c r="BQ171" s="10">
        <x:f>IF((Weights!$C$5*IF(BA171="",0,1)+Weights!$C$6*IF(AW171="",0,1)+Weights!$C$7*IF(AU171="",0,1))=0,"",(Weights!$C$5*IF(BA171="",0,BA171)+Weights!$C$6*IF(AW171="",0,AW171)+Weights!$C$7*IF(AU171="",0,AU171))/(Weights!$C$5*IF(BA171="",0,1)+Weights!$C$6*IF(AW171="",0,1)+Weights!$C$7*IF(AU171="",0,1)))</x:f>
      </x:c>
      <x:c r="BR171" s="10">
        <x:f>IF((Weights!$C$8*IF(AW171="",0,1)+Weights!$C$9*IF(BC171="",0,1)+Weights!$C$10*IF(BF171="",0,1))=0,"",(Weights!$C$8*IF(AW171="",0,AW171)+Weights!$C$9*IF(BC171="",0,BC171)+Weights!$C$10*IF(BF171="",0,BF171))/(Weights!$C$8*IF(AW171="",0,1)+Weights!$C$9*IF(BC171="",0,1)+Weights!$C$10*IF(BF171="",0,1)))</x:f>
      </x:c>
      <x:c r="BS171" s="10">
        <x:f>IF(Y171="","",Y171)</x:f>
      </x:c>
      <x:c r="BT171" s="10">
        <x:f>IF(AS171="","",AS171)</x:f>
      </x:c>
      <x:c r="BU171" s="10">
        <x:f>IF(AJ171&lt;&gt;"",(0.6*AJ171+0.4*AU171),IF((Weights!$C$11*IF(AU171="",0,1)+Weights!$C$12*IF(BM171="",0,1))=0,"",(Weights!$C$11*IF(AU171="",0,AU171)+Weights!$C$12*IF(BM171="",0,BM171))/(Weights!$C$11*IF(AU171="",0,1)+Weights!$C$12*IF(BM171="",0,1))))</x:f>
      </x:c>
      <x:c r="BV171" s="10">
        <x:f>IF(CG171="",0,CG171)</x:f>
      </x:c>
      <x:c r="BW171" s="10">
        <x:f>IF(AP171="","",AP171)</x:f>
      </x:c>
      <x:c r="BX171" s="10">
        <x:f>IF(AO171="","",AO171)</x:f>
      </x:c>
      <x:c r="BY171" s="10">
        <x:f>IF(AL171="","",AL171)</x:f>
      </x:c>
      <x:c r="BZ171" s="10">
        <x:f>IF(AM171="","",AM171)</x:f>
      </x:c>
      <x:c r="CA171" s="10">
        <x:f>IF(AK171&lt;&gt;"",AK171,AW171)</x:f>
      </x:c>
      <x:c r="CB171" s="10">
        <x:f>IF((Weights!$C$13*IF(BP171="",0,1)+Weights!$C$14*IF(BR171="",0,1)+Weights!$C$15*IF(BQ171="",0,1)+Weights!$C$16*IF(BS171="",0,1)+Weights!$C$17*IF(BU171="",0,1)+Weights!$C$18*IF(BT171="",0,1)+Weights!$C$19*IF(BW171="",0,1)+Weights!$C$20*IF(BZ171="",0,1)+Weights!$C$21*IF(BO171="",0,1)+Weights!$C$22)=0,"",(Weights!$C$13*IF(BP171="",0,BP171)+Weights!$C$14*IF(BR171="",0,BR171)+Weights!$C$15*IF(BQ171="",0,BQ171)+Weights!$C$16*IF(BS171="",0,BS171)+Weights!$C$17*IF(BU171="",0,BU171)+Weights!$C$18*IF(BT171="",0,BT171)+Weights!$C$19*IF(BW171="",0,BW171)+Weights!$C$20*IF(BZ171="",0,BZ171)+Weights!$C$21*IF(BO171="",0,BO171)+Weights!$C$22*BV171)/(Weights!$C$13*IF(BP171="",0,1)+Weights!$C$14*IF(BR171="",0,1)+Weights!$C$15*IF(BQ171="",0,1)+Weights!$C$16*IF(BS171="",0,1)+Weights!$C$17*IF(BU171="",0,1)+Weights!$C$18*IF(BT171="",0,1)+Weights!$C$19*IF(BW171="",0,1)+Weights!$C$20*IF(BZ171="",0,1)+Weights!$C$21*IF(BO171="",0,1)+Weights!$C$22))</x:f>
      </x:c>
      <x:c r="CC171" s="10">
        <x:f>IF((Weights!$C$23*IF(BQ171="",0,1)+Weights!$C$24*IF(BN171="",0,1)+Weights!$C$25*IF(BS171="",0,1)+Weights!$C$26*IF(BY171="",0,1)+Weights!$C$27*IF(BX171="",0,1)+Weights!$C$28*IF(BT171="",0,1)+Weights!$C$29*IF(CA171="",0,1)+Weights!$C$30+Weights!$C$31*IF(BU171="",0,1))=0,"",(Weights!$C$23*IF(BQ171="",0,BQ171)+Weights!$C$24*IF(BN171="",0,BN171)+Weights!$C$25*IF(BS171="",0,BS171)+Weights!$C$26*IF(BY171="",0,BY171)+Weights!$C$27*IF(BX171="",0,BX171)+Weights!$C$28*IF(BT171="",0,BT171)+Weights!$C$29*IF(CA171="",0,CA171)+Weights!$C$30*BV171+Weights!$C$31*IF(BU171="",0,BU171))/(Weights!$C$23*IF(BQ171="",0,1)+Weights!$C$24*IF(BN171="",0,1)+Weights!$C$25*IF(BS171="",0,1)+Weights!$C$26*IF(BY171="",0,1)+Weights!$C$27*IF(BX171="",0,1)+Weights!$C$28*IF(BT171="",0,1)+Weights!$C$29*IF(CA171="",0,1)+Weights!$C$30+Weights!$C$31*IF(BU171="",0,1)))</x:f>
      </x:c>
      <x:c r="CD171" s="10">
        <x:f>IF(AND(CB171="",CC171=""),"",IF(CB171="",CC171,IF(CC171="",CB171,AVERAGE(CB171,CC171))))</x:f>
      </x:c>
      <x:c r="CE171" s="7">
        <x:f>ROUND(100*((IF(BP171&lt;&gt;"",1,0)+IF(BQ171&lt;&gt;"",1,0)+IF(BR171&lt;&gt;"",1,0)+IF(BS171&lt;&gt;"",1,0)+IF(BU171&lt;&gt;"",1,0)+IF(BT171&lt;&gt;"",1,0)+IF(BN171&lt;&gt;"",1,0)+IF(AW171&lt;&gt;"",1,0))/8),0)</x:f>
      </x:c>
      <x:c r="CF171">
        <x:f>IF(V171="","",LOG10(V171+1))</x:f>
      </x:c>
      <x:c r="CG171">
        <x:f>IF(CF171="","",IF(MAX($CF$2:$CF$252)-MIN($CF$2:$CF$252)=0,"",(CF171-MIN($CF$2:$CF$252))/(MAX($CF$2:$CF$252)-MIN($CF$2:$CF$252))*100))</x:f>
      </x:c>
    </x:row>
    <x:row r="172">
      <x:c r="A172" t="inlineStr">
        <x:is>
          <x:t xml:space="preserve">NAM</x:t>
        </x:is>
      </x:c>
      <x:c r="B172" t="inlineStr">
        <x:is>
          <x:t xml:space="preserve">Namibia</x:t>
        </x:is>
      </x:c>
      <x:c r="C172" t="inlineStr">
        <x:is>
          <x:t xml:space="preserve">Sub-Saharan Africa</x:t>
        </x:is>
      </x:c>
      <x:c r="D172" t="inlineStr">
        <x:is>
          <x:t xml:space="preserve">Lower middle income</x:t>
        </x:is>
      </x:c>
      <x:c r="E172" t="inlineStr">
        <x:is>
          <x:t xml:space="preserve">Africa</x:t>
        </x:is>
      </x:c>
      <x:c r="F172" t="n">
        <x:v>2024</x:v>
      </x:c>
      <x:c r="G172" t="n">
        <x:v>3030131</x:v>
      </x:c>
      <x:c r="H172" t="n">
        <x:v>2020</x:v>
      </x:c>
      <x:c r="I172" t="n">
        <x:v>16000</x:v>
      </x:c>
      <x:c r="J172" t="n">
        <x:v>10400</x:v>
      </x:c>
      <x:c r="K172" t="n">
        <x:v>3200</x:v>
      </x:c>
      <x:c r="L172" t="n">
        <x:v>1920</x:v>
      </x:c>
      <x:c r="M172" t="n">
        <x:v>2024</x:v>
      </x:c>
      <x:c r="N172" s="8" t="n">
        <x:v>362392304.29255</x:v>
      </x:c>
      <x:c r="O172" s="9" t="n">
        <x:v>2.73490195432496</x:v>
      </x:c>
      <x:c r="P172" s="8" t="n">
        <x:v>22649.51901828438</x:v>
      </x:c>
      <x:c r="Q172" t="n">
        <x:v>2024</x:v>
      </x:c>
      <x:c r="R172" s="8" t="n">
        <x:v>13372354511.716</x:v>
      </x:c>
      <x:c r="S172" t="n">
        <x:v>0</x:v>
      </x:c>
      <x:c r="T172" t="n">
        <x:v>0</x:v>
      </x:c>
      <x:c r="U172" t="inlineStr">
        <x:is>
          <x:t xml:space="preserve">No</x:t>
        </x:is>
      </x:c>
      <x:c r="W172" t="inlineStr">
        <x:is>
          <x:t xml:space="preserve">No</x:t>
        </x:is>
      </x:c>
      <x:c r="X172" t="n">
        <x:v>19.19669085992286</x:v>
      </x:c>
      <x:c r="Y172" t="n">
        <x:v>36.84947288663258</x:v>
      </x:c>
      <x:c r="Z172" t="n">
        <x:v>824886.5609924822</x:v>
      </x:c>
      <x:c r="AA172" t="n">
        <x:v>3.012268737910309</x:v>
      </x:c>
      <x:c r="AB172" s="8" t="n">
        <x:v>10459.67852284709</x:v>
      </x:c>
      <x:c r="AC172" t="n">
        <x:v>8</x:v>
      </x:c>
      <x:c r="AD172" t="n">
        <x:v>0</x:v>
      </x:c>
      <x:c r="AE172" t="n">
        <x:v>0</x:v>
      </x:c>
      <x:c r="AR172">
        <x:f>IF(G172="","",LOG10(G172+1))</x:f>
      </x:c>
      <x:c r="AS172" s="10">
        <x:f>IF(AR172="","",IF(MAX($AR$2:$AR$252)-MIN($AR$2:$AR$252)=0,"",(AR172-MIN($AR$2:$AR$252))/(MAX($AR$2:$AR$252)-MIN($AR$2:$AR$252))*100))</x:f>
      </x:c>
      <x:c r="AT172">
        <x:f>IF(R172="","",LOG10(R172+1))</x:f>
      </x:c>
      <x:c r="AU172" s="10">
        <x:f>IF(AT172="","",IF(MAX($AT$2:$AT$252)-MIN($AT$2:$AT$252)=0,"",(AT172-MIN($AT$2:$AT$252))/(MAX($AT$2:$AT$252)-MIN($AT$2:$AT$252))*100))</x:f>
      </x:c>
      <x:c r="AV172">
        <x:f>IF(N172="","",LOG10(N172+1))</x:f>
      </x:c>
      <x:c r="AW172" s="10">
        <x:f>IF(AV172="","",IF(MAX($AV$2:$AV$252)-MIN($AV$2:$AV$252)=0,"",(AV172-MIN($AV$2:$AV$252))/(MAX($AV$2:$AV$252)-MIN($AV$2:$AV$252))*100))</x:f>
      </x:c>
      <x:c r="AX172">
        <x:f>IF(I172="","",LOG10(I172+1))</x:f>
      </x:c>
      <x:c r="AY172" s="10">
        <x:f>IF(AX172="","",IF(MAX($AX$2:$AX$252)-MIN($AX$2:$AX$252)=0,"",(AX172-MIN($AX$2:$AX$252))/(MAX($AX$2:$AX$252)-MIN($AX$2:$AX$252))*100))</x:f>
      </x:c>
      <x:c r="AZ172">
        <x:f>IF(J172="","",LOG10(J172+1))</x:f>
      </x:c>
      <x:c r="BA172" s="10">
        <x:f>IF(AZ172="","",IF(MAX($AZ$2:$AZ$252)-MIN($AZ$2:$AZ$252)=0,"",(AZ172-MIN($AZ$2:$AZ$252))/(MAX($AZ$2:$AZ$252)-MIN($AZ$2:$AZ$252))*100))</x:f>
      </x:c>
      <x:c r="BB172">
        <x:f>IF(K172="","",LOG10(K172+1))</x:f>
      </x:c>
      <x:c r="BC172" s="10">
        <x:f>IF(BB172="","",IF(MAX($BB$2:$BB$252)-MIN($BB$2:$BB$252)=0,"",(BB172-MIN($BB$2:$BB$252))/(MAX($BB$2:$BB$252)-MIN($BB$2:$BB$252))*100))</x:f>
      </x:c>
      <x:c r="BD172">
        <x:f>IF(L172="","",LOG10(L172+1))</x:f>
      </x:c>
      <x:c r="BE172" s="10">
        <x:f>IF(BD172="","",IF(MAX($BD$2:$BD$252)-MIN($BD$2:$BD$252)=0,"",(BD172-MIN($BD$2:$BD$252))/(MAX($BD$2:$BD$252)-MIN($BD$2:$BD$252))*100))</x:f>
      </x:c>
      <x:c r="BF172" s="10">
        <x:f>IF(P172="","",IF(MAX($P$2:$P$252)-MIN($P$2:$P$252)=0,"",(P172-MIN($P$2:$P$252))/(MAX($P$2:$P$252)-MIN($P$2:$P$252))*100))</x:f>
      </x:c>
      <x:c r="BG172">
        <x:f>IF(AF172="","",LOG10(AF172+1))</x:f>
      </x:c>
      <x:c r="BH172" s="10">
        <x:f>IF(BG172="","",IF(MAX($BG$2:$BG$252)-MIN($BG$2:$BG$252)=0,"",(BG172-MIN($BG$2:$BG$252))/(MAX($BG$2:$BG$252)-MIN($BG$2:$BG$252))*100))</x:f>
      </x:c>
      <x:c r="BI172">
        <x:f>IF(AC172="","",LOG10(AC172+1))</x:f>
      </x:c>
      <x:c r="BJ172" s="10">
        <x:f>IF(BI172="","",IF(MAX($BI$2:$BI$252)-MIN($BI$2:$BI$252)=0,"",(BI172-MIN($BI$2:$BI$252))/(MAX($BI$2:$BI$252)-MIN($BI$2:$BI$252))*100))</x:f>
      </x:c>
      <x:c r="BK172">
        <x:f>IF(AD172="","",(AD172*2)+(AE172*1))</x:f>
      </x:c>
      <x:c r="BL172" s="10">
        <x:f>IF(BK172="","",IF(MAX($BK$2:$BK$252)-MIN($BK$2:$BK$252)=0,"",(BK172-MIN($BK$2:$BK$252))/(MAX($BK$2:$BK$252)-MIN($BK$2:$BK$252))*100))</x:f>
      </x:c>
      <x:c r="BM172" s="10">
        <x:f>IF(AB172="","",IF(MAX($AB$2:$AB$252)-MIN($AB$2:$AB$252)=0,"",(AB172-MIN($AB$2:$AB$252))/(MAX($AB$2:$AB$252)-MIN($AB$2:$AB$252))*100))</x:f>
      </x:c>
      <x:c r="BN172" s="10">
        <x:f>IF(X172="","",X172)</x:f>
      </x:c>
      <x:c r="BO172" s="10">
        <x:f>IF(X172="","",100-X172)</x:f>
      </x:c>
      <x:c r="BP172" s="10">
        <x:f>IF((Weights!$C$2*IF(BH172="",0,1)+Weights!$C$3*IF(BJ172="",0,1)+Weights!$C$4*IF(BL172="",0,1))=0,"",(Weights!$C$2*IF(BH172="",0,BH172)+Weights!$C$3*IF(BJ172="",0,BJ172)+Weights!$C$4*IF(BL172="",0,BL172))/(Weights!$C$2*IF(BH172="",0,1)+Weights!$C$3*IF(BJ172="",0,1)+Weights!$C$4*IF(BL172="",0,1)))</x:f>
      </x:c>
      <x:c r="BQ172" s="10">
        <x:f>IF((Weights!$C$5*IF(BA172="",0,1)+Weights!$C$6*IF(AW172="",0,1)+Weights!$C$7*IF(AU172="",0,1))=0,"",(Weights!$C$5*IF(BA172="",0,BA172)+Weights!$C$6*IF(AW172="",0,AW172)+Weights!$C$7*IF(AU172="",0,AU172))/(Weights!$C$5*IF(BA172="",0,1)+Weights!$C$6*IF(AW172="",0,1)+Weights!$C$7*IF(AU172="",0,1)))</x:f>
      </x:c>
      <x:c r="BR172" s="10">
        <x:f>IF((Weights!$C$8*IF(AW172="",0,1)+Weights!$C$9*IF(BC172="",0,1)+Weights!$C$10*IF(BF172="",0,1))=0,"",(Weights!$C$8*IF(AW172="",0,AW172)+Weights!$C$9*IF(BC172="",0,BC172)+Weights!$C$10*IF(BF172="",0,BF172))/(Weights!$C$8*IF(AW172="",0,1)+Weights!$C$9*IF(BC172="",0,1)+Weights!$C$10*IF(BF172="",0,1)))</x:f>
      </x:c>
      <x:c r="BS172" s="10">
        <x:f>IF(Y172="","",Y172)</x:f>
      </x:c>
      <x:c r="BT172" s="10">
        <x:f>IF(AS172="","",AS172)</x:f>
      </x:c>
      <x:c r="BU172" s="10">
        <x:f>IF(AJ172&lt;&gt;"",(0.6*AJ172+0.4*AU172),IF((Weights!$C$11*IF(AU172="",0,1)+Weights!$C$12*IF(BM172="",0,1))=0,"",(Weights!$C$11*IF(AU172="",0,AU172)+Weights!$C$12*IF(BM172="",0,BM172))/(Weights!$C$11*IF(AU172="",0,1)+Weights!$C$12*IF(BM172="",0,1))))</x:f>
      </x:c>
      <x:c r="BV172" s="10">
        <x:f>IF(CG172="",0,CG172)</x:f>
      </x:c>
      <x:c r="BW172" s="10">
        <x:f>IF(AP172="","",AP172)</x:f>
      </x:c>
      <x:c r="BX172" s="10">
        <x:f>IF(AO172="","",AO172)</x:f>
      </x:c>
      <x:c r="BY172" s="10">
        <x:f>IF(AL172="","",AL172)</x:f>
      </x:c>
      <x:c r="BZ172" s="10">
        <x:f>IF(AM172="","",AM172)</x:f>
      </x:c>
      <x:c r="CA172" s="10">
        <x:f>IF(AK172&lt;&gt;"",AK172,AW172)</x:f>
      </x:c>
      <x:c r="CB172" s="10">
        <x:f>IF((Weights!$C$13*IF(BP172="",0,1)+Weights!$C$14*IF(BR172="",0,1)+Weights!$C$15*IF(BQ172="",0,1)+Weights!$C$16*IF(BS172="",0,1)+Weights!$C$17*IF(BU172="",0,1)+Weights!$C$18*IF(BT172="",0,1)+Weights!$C$19*IF(BW172="",0,1)+Weights!$C$20*IF(BZ172="",0,1)+Weights!$C$21*IF(BO172="",0,1)+Weights!$C$22)=0,"",(Weights!$C$13*IF(BP172="",0,BP172)+Weights!$C$14*IF(BR172="",0,BR172)+Weights!$C$15*IF(BQ172="",0,BQ172)+Weights!$C$16*IF(BS172="",0,BS172)+Weights!$C$17*IF(BU172="",0,BU172)+Weights!$C$18*IF(BT172="",0,BT172)+Weights!$C$19*IF(BW172="",0,BW172)+Weights!$C$20*IF(BZ172="",0,BZ172)+Weights!$C$21*IF(BO172="",0,BO172)+Weights!$C$22*BV172)/(Weights!$C$13*IF(BP172="",0,1)+Weights!$C$14*IF(BR172="",0,1)+Weights!$C$15*IF(BQ172="",0,1)+Weights!$C$16*IF(BS172="",0,1)+Weights!$C$17*IF(BU172="",0,1)+Weights!$C$18*IF(BT172="",0,1)+Weights!$C$19*IF(BW172="",0,1)+Weights!$C$20*IF(BZ172="",0,1)+Weights!$C$21*IF(BO172="",0,1)+Weights!$C$22))</x:f>
      </x:c>
      <x:c r="CC172" s="10">
        <x:f>IF((Weights!$C$23*IF(BQ172="",0,1)+Weights!$C$24*IF(BN172="",0,1)+Weights!$C$25*IF(BS172="",0,1)+Weights!$C$26*IF(BY172="",0,1)+Weights!$C$27*IF(BX172="",0,1)+Weights!$C$28*IF(BT172="",0,1)+Weights!$C$29*IF(CA172="",0,1)+Weights!$C$30+Weights!$C$31*IF(BU172="",0,1))=0,"",(Weights!$C$23*IF(BQ172="",0,BQ172)+Weights!$C$24*IF(BN172="",0,BN172)+Weights!$C$25*IF(BS172="",0,BS172)+Weights!$C$26*IF(BY172="",0,BY172)+Weights!$C$27*IF(BX172="",0,BX172)+Weights!$C$28*IF(BT172="",0,BT172)+Weights!$C$29*IF(CA172="",0,CA172)+Weights!$C$30*BV172+Weights!$C$31*IF(BU172="",0,BU172))/(Weights!$C$23*IF(BQ172="",0,1)+Weights!$C$24*IF(BN172="",0,1)+Weights!$C$25*IF(BS172="",0,1)+Weights!$C$26*IF(BY172="",0,1)+Weights!$C$27*IF(BX172="",0,1)+Weights!$C$28*IF(BT172="",0,1)+Weights!$C$29*IF(CA172="",0,1)+Weights!$C$30+Weights!$C$31*IF(BU172="",0,1)))</x:f>
      </x:c>
      <x:c r="CD172" s="10">
        <x:f>IF(AND(CB172="",CC172=""),"",IF(CB172="",CC172,IF(CC172="",CB172,AVERAGE(CB172,CC172))))</x:f>
      </x:c>
      <x:c r="CE172" s="7">
        <x:f>ROUND(100*((IF(BP172&lt;&gt;"",1,0)+IF(BQ172&lt;&gt;"",1,0)+IF(BR172&lt;&gt;"",1,0)+IF(BS172&lt;&gt;"",1,0)+IF(BU172&lt;&gt;"",1,0)+IF(BT172&lt;&gt;"",1,0)+IF(BN172&lt;&gt;"",1,0)+IF(AW172&lt;&gt;"",1,0))/8),0)</x:f>
      </x:c>
      <x:c r="CF172">
        <x:f>IF(V172="","",LOG10(V172+1))</x:f>
      </x:c>
      <x:c r="CG172">
        <x:f>IF(CF172="","",IF(MAX($CF$2:$CF$252)-MIN($CF$2:$CF$252)=0,"",(CF172-MIN($CF$2:$CF$252))/(MAX($CF$2:$CF$252)-MIN($CF$2:$CF$252))*100))</x:f>
      </x:c>
    </x:row>
    <x:row r="173">
      <x:c r="A173" t="inlineStr">
        <x:is>
          <x:t xml:space="preserve">NRU</x:t>
        </x:is>
      </x:c>
      <x:c r="B173" t="inlineStr">
        <x:is>
          <x:t xml:space="preserve">Nauru</x:t>
        </x:is>
      </x:c>
      <x:c r="C173" t="inlineStr">
        <x:is>
          <x:t xml:space="preserve">East Asia &amp; Pacific</x:t>
        </x:is>
      </x:c>
      <x:c r="D173" t="inlineStr">
        <x:is>
          <x:t xml:space="preserve">High income</x:t>
        </x:is>
      </x:c>
      <x:c r="F173" t="n">
        <x:v>2024</x:v>
      </x:c>
      <x:c r="G173" t="n">
        <x:v>11947</x:v>
      </x:c>
      <x:c r="N173" s="8" t="n"/>
      <x:c r="O173" s="9" t="n"/>
      <x:c r="P173" s="8" t="n"/>
      <x:c r="Q173" t="n">
        <x:v>2024</x:v>
      </x:c>
      <x:c r="R173" s="8" t="n">
        <x:v>162588620.632234</x:v>
      </x:c>
      <x:c r="S173" t="n">
        <x:v>0</x:v>
      </x:c>
      <x:c r="T173" t="n">
        <x:v>0</x:v>
      </x:c>
      <x:c r="U173" t="inlineStr">
        <x:is>
          <x:t xml:space="preserve">No</x:t>
        </x:is>
      </x:c>
      <x:c r="W173" t="inlineStr">
        <x:is>
          <x:t xml:space="preserve">No</x:t>
        </x:is>
      </x:c>
      <x:c r="AB173" s="8" t="n"/>
      <x:c r="AR173">
        <x:f>IF(G173="","",LOG10(G173+1))</x:f>
      </x:c>
      <x:c r="AS173" s="10">
        <x:f>IF(AR173="","",IF(MAX($AR$2:$AR$252)-MIN($AR$2:$AR$252)=0,"",(AR173-MIN($AR$2:$AR$252))/(MAX($AR$2:$AR$252)-MIN($AR$2:$AR$252))*100))</x:f>
      </x:c>
      <x:c r="AT173">
        <x:f>IF(R173="","",LOG10(R173+1))</x:f>
      </x:c>
      <x:c r="AU173" s="10">
        <x:f>IF(AT173="","",IF(MAX($AT$2:$AT$252)-MIN($AT$2:$AT$252)=0,"",(AT173-MIN($AT$2:$AT$252))/(MAX($AT$2:$AT$252)-MIN($AT$2:$AT$252))*100))</x:f>
      </x:c>
      <x:c r="AV173">
        <x:f>IF(N173="","",LOG10(N173+1))</x:f>
      </x:c>
      <x:c r="AW173" s="10">
        <x:f>IF(AV173="","",IF(MAX($AV$2:$AV$252)-MIN($AV$2:$AV$252)=0,"",(AV173-MIN($AV$2:$AV$252))/(MAX($AV$2:$AV$252)-MIN($AV$2:$AV$252))*100))</x:f>
      </x:c>
      <x:c r="AX173">
        <x:f>IF(I173="","",LOG10(I173+1))</x:f>
      </x:c>
      <x:c r="AY173" s="10">
        <x:f>IF(AX173="","",IF(MAX($AX$2:$AX$252)-MIN($AX$2:$AX$252)=0,"",(AX173-MIN($AX$2:$AX$252))/(MAX($AX$2:$AX$252)-MIN($AX$2:$AX$252))*100))</x:f>
      </x:c>
      <x:c r="AZ173">
        <x:f>IF(J173="","",LOG10(J173+1))</x:f>
      </x:c>
      <x:c r="BA173" s="10">
        <x:f>IF(AZ173="","",IF(MAX($AZ$2:$AZ$252)-MIN($AZ$2:$AZ$252)=0,"",(AZ173-MIN($AZ$2:$AZ$252))/(MAX($AZ$2:$AZ$252)-MIN($AZ$2:$AZ$252))*100))</x:f>
      </x:c>
      <x:c r="BB173">
        <x:f>IF(K173="","",LOG10(K173+1))</x:f>
      </x:c>
      <x:c r="BC173" s="10">
        <x:f>IF(BB173="","",IF(MAX($BB$2:$BB$252)-MIN($BB$2:$BB$252)=0,"",(BB173-MIN($BB$2:$BB$252))/(MAX($BB$2:$BB$252)-MIN($BB$2:$BB$252))*100))</x:f>
      </x:c>
      <x:c r="BD173">
        <x:f>IF(L173="","",LOG10(L173+1))</x:f>
      </x:c>
      <x:c r="BE173" s="10">
        <x:f>IF(BD173="","",IF(MAX($BD$2:$BD$252)-MIN($BD$2:$BD$252)=0,"",(BD173-MIN($BD$2:$BD$252))/(MAX($BD$2:$BD$252)-MIN($BD$2:$BD$252))*100))</x:f>
      </x:c>
      <x:c r="BF173" s="10">
        <x:f>IF(P173="","",IF(MAX($P$2:$P$252)-MIN($P$2:$P$252)=0,"",(P173-MIN($P$2:$P$252))/(MAX($P$2:$P$252)-MIN($P$2:$P$252))*100))</x:f>
      </x:c>
      <x:c r="BG173">
        <x:f>IF(AF173="","",LOG10(AF173+1))</x:f>
      </x:c>
      <x:c r="BH173" s="10">
        <x:f>IF(BG173="","",IF(MAX($BG$2:$BG$252)-MIN($BG$2:$BG$252)=0,"",(BG173-MIN($BG$2:$BG$252))/(MAX($BG$2:$BG$252)-MIN($BG$2:$BG$252))*100))</x:f>
      </x:c>
      <x:c r="BI173">
        <x:f>IF(AC173="","",LOG10(AC173+1))</x:f>
      </x:c>
      <x:c r="BJ173" s="10">
        <x:f>IF(BI173="","",IF(MAX($BI$2:$BI$252)-MIN($BI$2:$BI$252)=0,"",(BI173-MIN($BI$2:$BI$252))/(MAX($BI$2:$BI$252)-MIN($BI$2:$BI$252))*100))</x:f>
      </x:c>
      <x:c r="BK173">
        <x:f>IF(AD173="","",(AD173*2)+(AE173*1))</x:f>
      </x:c>
      <x:c r="BL173" s="10">
        <x:f>IF(BK173="","",IF(MAX($BK$2:$BK$252)-MIN($BK$2:$BK$252)=0,"",(BK173-MIN($BK$2:$BK$252))/(MAX($BK$2:$BK$252)-MIN($BK$2:$BK$252))*100))</x:f>
      </x:c>
      <x:c r="BM173" s="10">
        <x:f>IF(AB173="","",IF(MAX($AB$2:$AB$252)-MIN($AB$2:$AB$252)=0,"",(AB173-MIN($AB$2:$AB$252))/(MAX($AB$2:$AB$252)-MIN($AB$2:$AB$252))*100))</x:f>
      </x:c>
      <x:c r="BN173" s="10">
        <x:f>IF(X173="","",X173)</x:f>
      </x:c>
      <x:c r="BO173" s="10">
        <x:f>IF(X173="","",100-X173)</x:f>
      </x:c>
      <x:c r="BP173" s="10">
        <x:f>IF((Weights!$C$2*IF(BH173="",0,1)+Weights!$C$3*IF(BJ173="",0,1)+Weights!$C$4*IF(BL173="",0,1))=0,"",(Weights!$C$2*IF(BH173="",0,BH173)+Weights!$C$3*IF(BJ173="",0,BJ173)+Weights!$C$4*IF(BL173="",0,BL173))/(Weights!$C$2*IF(BH173="",0,1)+Weights!$C$3*IF(BJ173="",0,1)+Weights!$C$4*IF(BL173="",0,1)))</x:f>
      </x:c>
      <x:c r="BQ173" s="10">
        <x:f>IF((Weights!$C$5*IF(BA173="",0,1)+Weights!$C$6*IF(AW173="",0,1)+Weights!$C$7*IF(AU173="",0,1))=0,"",(Weights!$C$5*IF(BA173="",0,BA173)+Weights!$C$6*IF(AW173="",0,AW173)+Weights!$C$7*IF(AU173="",0,AU173))/(Weights!$C$5*IF(BA173="",0,1)+Weights!$C$6*IF(AW173="",0,1)+Weights!$C$7*IF(AU173="",0,1)))</x:f>
      </x:c>
      <x:c r="BR173" s="10">
        <x:f>IF((Weights!$C$8*IF(AW173="",0,1)+Weights!$C$9*IF(BC173="",0,1)+Weights!$C$10*IF(BF173="",0,1))=0,"",(Weights!$C$8*IF(AW173="",0,AW173)+Weights!$C$9*IF(BC173="",0,BC173)+Weights!$C$10*IF(BF173="",0,BF173))/(Weights!$C$8*IF(AW173="",0,1)+Weights!$C$9*IF(BC173="",0,1)+Weights!$C$10*IF(BF173="",0,1)))</x:f>
      </x:c>
      <x:c r="BS173" s="10">
        <x:f>IF(Y173="","",Y173)</x:f>
      </x:c>
      <x:c r="BT173" s="10">
        <x:f>IF(AS173="","",AS173)</x:f>
      </x:c>
      <x:c r="BU173" s="10">
        <x:f>IF(AJ173&lt;&gt;"",(0.6*AJ173+0.4*AU173),IF((Weights!$C$11*IF(AU173="",0,1)+Weights!$C$12*IF(BM173="",0,1))=0,"",(Weights!$C$11*IF(AU173="",0,AU173)+Weights!$C$12*IF(BM173="",0,BM173))/(Weights!$C$11*IF(AU173="",0,1)+Weights!$C$12*IF(BM173="",0,1))))</x:f>
      </x:c>
      <x:c r="BV173" s="10">
        <x:f>IF(CG173="",0,CG173)</x:f>
      </x:c>
      <x:c r="BW173" s="10">
        <x:f>IF(AP173="","",AP173)</x:f>
      </x:c>
      <x:c r="BX173" s="10">
        <x:f>IF(AO173="","",AO173)</x:f>
      </x:c>
      <x:c r="BY173" s="10">
        <x:f>IF(AL173="","",AL173)</x:f>
      </x:c>
      <x:c r="BZ173" s="10">
        <x:f>IF(AM173="","",AM173)</x:f>
      </x:c>
      <x:c r="CA173" s="10">
        <x:f>IF(AK173&lt;&gt;"",AK173,AW173)</x:f>
      </x:c>
      <x:c r="CB173" s="10">
        <x:f>IF((Weights!$C$13*IF(BP173="",0,1)+Weights!$C$14*IF(BR173="",0,1)+Weights!$C$15*IF(BQ173="",0,1)+Weights!$C$16*IF(BS173="",0,1)+Weights!$C$17*IF(BU173="",0,1)+Weights!$C$18*IF(BT173="",0,1)+Weights!$C$19*IF(BW173="",0,1)+Weights!$C$20*IF(BZ173="",0,1)+Weights!$C$21*IF(BO173="",0,1)+Weights!$C$22)=0,"",(Weights!$C$13*IF(BP173="",0,BP173)+Weights!$C$14*IF(BR173="",0,BR173)+Weights!$C$15*IF(BQ173="",0,BQ173)+Weights!$C$16*IF(BS173="",0,BS173)+Weights!$C$17*IF(BU173="",0,BU173)+Weights!$C$18*IF(BT173="",0,BT173)+Weights!$C$19*IF(BW173="",0,BW173)+Weights!$C$20*IF(BZ173="",0,BZ173)+Weights!$C$21*IF(BO173="",0,BO173)+Weights!$C$22*BV173)/(Weights!$C$13*IF(BP173="",0,1)+Weights!$C$14*IF(BR173="",0,1)+Weights!$C$15*IF(BQ173="",0,1)+Weights!$C$16*IF(BS173="",0,1)+Weights!$C$17*IF(BU173="",0,1)+Weights!$C$18*IF(BT173="",0,1)+Weights!$C$19*IF(BW173="",0,1)+Weights!$C$20*IF(BZ173="",0,1)+Weights!$C$21*IF(BO173="",0,1)+Weights!$C$22))</x:f>
      </x:c>
      <x:c r="CC173" s="10">
        <x:f>IF((Weights!$C$23*IF(BQ173="",0,1)+Weights!$C$24*IF(BN173="",0,1)+Weights!$C$25*IF(BS173="",0,1)+Weights!$C$26*IF(BY173="",0,1)+Weights!$C$27*IF(BX173="",0,1)+Weights!$C$28*IF(BT173="",0,1)+Weights!$C$29*IF(CA173="",0,1)+Weights!$C$30+Weights!$C$31*IF(BU173="",0,1))=0,"",(Weights!$C$23*IF(BQ173="",0,BQ173)+Weights!$C$24*IF(BN173="",0,BN173)+Weights!$C$25*IF(BS173="",0,BS173)+Weights!$C$26*IF(BY173="",0,BY173)+Weights!$C$27*IF(BX173="",0,BX173)+Weights!$C$28*IF(BT173="",0,BT173)+Weights!$C$29*IF(CA173="",0,CA173)+Weights!$C$30*BV173+Weights!$C$31*IF(BU173="",0,BU173))/(Weights!$C$23*IF(BQ173="",0,1)+Weights!$C$24*IF(BN173="",0,1)+Weights!$C$25*IF(BS173="",0,1)+Weights!$C$26*IF(BY173="",0,1)+Weights!$C$27*IF(BX173="",0,1)+Weights!$C$28*IF(BT173="",0,1)+Weights!$C$29*IF(CA173="",0,1)+Weights!$C$30+Weights!$C$31*IF(BU173="",0,1)))</x:f>
      </x:c>
      <x:c r="CD173" s="10">
        <x:f>IF(AND(CB173="",CC173=""),"",IF(CB173="",CC173,IF(CC173="",CB173,AVERAGE(CB173,CC173))))</x:f>
      </x:c>
      <x:c r="CE173" s="7">
        <x:f>ROUND(100*((IF(BP173&lt;&gt;"",1,0)+IF(BQ173&lt;&gt;"",1,0)+IF(BR173&lt;&gt;"",1,0)+IF(BS173&lt;&gt;"",1,0)+IF(BU173&lt;&gt;"",1,0)+IF(BT173&lt;&gt;"",1,0)+IF(BN173&lt;&gt;"",1,0)+IF(AW173&lt;&gt;"",1,0))/8),0)</x:f>
      </x:c>
      <x:c r="CF173">
        <x:f>IF(V173="","",LOG10(V173+1))</x:f>
      </x:c>
      <x:c r="CG173">
        <x:f>IF(CF173="","",IF(MAX($CF$2:$CF$252)-MIN($CF$2:$CF$252)=0,"",(CF173-MIN($CF$2:$CF$252))/(MAX($CF$2:$CF$252)-MIN($CF$2:$CF$252))*100))</x:f>
      </x:c>
    </x:row>
    <x:row r="174">
      <x:c r="A174" t="inlineStr">
        <x:is>
          <x:t xml:space="preserve">NIC</x:t>
        </x:is>
      </x:c>
      <x:c r="B174" t="inlineStr">
        <x:is>
          <x:t xml:space="preserve">Nicaragua</x:t>
        </x:is>
      </x:c>
      <x:c r="C174" t="inlineStr">
        <x:is>
          <x:t xml:space="preserve">Latin America &amp; Caribbean</x:t>
        </x:is>
      </x:c>
      <x:c r="D174" t="inlineStr">
        <x:is>
          <x:t xml:space="preserve">Lower middle income</x:t>
        </x:is>
      </x:c>
      <x:c r="E174" t="inlineStr">
        <x:is>
          <x:t xml:space="preserve">North America</x:t>
        </x:is>
      </x:c>
      <x:c r="F174" t="n">
        <x:v>2024</x:v>
      </x:c>
      <x:c r="G174" t="n">
        <x:v>6916140</x:v>
      </x:c>
      <x:c r="H174" t="n">
        <x:v>2020</x:v>
      </x:c>
      <x:c r="I174" t="n">
        <x:v>12000</x:v>
      </x:c>
      <x:c r="J174" t="n">
        <x:v>7800</x:v>
      </x:c>
      <x:c r="K174" t="n">
        <x:v>2400</x:v>
      </x:c>
      <x:c r="L174" t="n">
        <x:v>1440</x:v>
      </x:c>
      <x:c r="M174" t="n">
        <x:v>2024</x:v>
      </x:c>
      <x:c r="N174" s="8" t="n">
        <x:v>105264016.309888</x:v>
      </x:c>
      <x:c r="O174" s="9" t="n">
        <x:v>0.545131278321867</x:v>
      </x:c>
      <x:c r="P174" s="8" t="n">
        <x:v>8772.001359157333</x:v>
      </x:c>
      <x:c r="Q174" t="n">
        <x:v>2024</x:v>
      </x:c>
      <x:c r="R174" s="8" t="n">
        <x:v>19693982967.5926</x:v>
      </x:c>
      <x:c r="S174" t="n">
        <x:v>0</x:v>
      </x:c>
      <x:c r="T174" t="n">
        <x:v>0</x:v>
      </x:c>
      <x:c r="U174" t="inlineStr">
        <x:is>
          <x:t xml:space="preserve">No</x:t>
        </x:is>
      </x:c>
      <x:c r="W174" t="inlineStr">
        <x:is>
          <x:t xml:space="preserve">No</x:t>
        </x:is>
      </x:c>
      <x:c r="X174" t="n">
        <x:v>12.2456577011018</x:v>
      </x:c>
      <x:c r="Y174" t="n">
        <x:v>43.12803045462256</x:v>
      </x:c>
      <x:c r="Z174" t="n">
        <x:v>129540.2116744826</x:v>
      </x:c>
      <x:c r="AA174" t="n">
        <x:v>46.51799562550058</x:v>
      </x:c>
      <x:c r="AB174" s="8" t="n">
        <x:v>5567.585929590201</x:v>
      </x:c>
      <x:c r="AC174" t="n">
        <x:v>23</x:v>
      </x:c>
      <x:c r="AD174" t="n">
        <x:v>0</x:v>
      </x:c>
      <x:c r="AE174" t="n">
        <x:v>0</x:v>
      </x:c>
      <x:c r="AR174">
        <x:f>IF(G174="","",LOG10(G174+1))</x:f>
      </x:c>
      <x:c r="AS174" s="10">
        <x:f>IF(AR174="","",IF(MAX($AR$2:$AR$252)-MIN($AR$2:$AR$252)=0,"",(AR174-MIN($AR$2:$AR$252))/(MAX($AR$2:$AR$252)-MIN($AR$2:$AR$252))*100))</x:f>
      </x:c>
      <x:c r="AT174">
        <x:f>IF(R174="","",LOG10(R174+1))</x:f>
      </x:c>
      <x:c r="AU174" s="10">
        <x:f>IF(AT174="","",IF(MAX($AT$2:$AT$252)-MIN($AT$2:$AT$252)=0,"",(AT174-MIN($AT$2:$AT$252))/(MAX($AT$2:$AT$252)-MIN($AT$2:$AT$252))*100))</x:f>
      </x:c>
      <x:c r="AV174">
        <x:f>IF(N174="","",LOG10(N174+1))</x:f>
      </x:c>
      <x:c r="AW174" s="10">
        <x:f>IF(AV174="","",IF(MAX($AV$2:$AV$252)-MIN($AV$2:$AV$252)=0,"",(AV174-MIN($AV$2:$AV$252))/(MAX($AV$2:$AV$252)-MIN($AV$2:$AV$252))*100))</x:f>
      </x:c>
      <x:c r="AX174">
        <x:f>IF(I174="","",LOG10(I174+1))</x:f>
      </x:c>
      <x:c r="AY174" s="10">
        <x:f>IF(AX174="","",IF(MAX($AX$2:$AX$252)-MIN($AX$2:$AX$252)=0,"",(AX174-MIN($AX$2:$AX$252))/(MAX($AX$2:$AX$252)-MIN($AX$2:$AX$252))*100))</x:f>
      </x:c>
      <x:c r="AZ174">
        <x:f>IF(J174="","",LOG10(J174+1))</x:f>
      </x:c>
      <x:c r="BA174" s="10">
        <x:f>IF(AZ174="","",IF(MAX($AZ$2:$AZ$252)-MIN($AZ$2:$AZ$252)=0,"",(AZ174-MIN($AZ$2:$AZ$252))/(MAX($AZ$2:$AZ$252)-MIN($AZ$2:$AZ$252))*100))</x:f>
      </x:c>
      <x:c r="BB174">
        <x:f>IF(K174="","",LOG10(K174+1))</x:f>
      </x:c>
      <x:c r="BC174" s="10">
        <x:f>IF(BB174="","",IF(MAX($BB$2:$BB$252)-MIN($BB$2:$BB$252)=0,"",(BB174-MIN($BB$2:$BB$252))/(MAX($BB$2:$BB$252)-MIN($BB$2:$BB$252))*100))</x:f>
      </x:c>
      <x:c r="BD174">
        <x:f>IF(L174="","",LOG10(L174+1))</x:f>
      </x:c>
      <x:c r="BE174" s="10">
        <x:f>IF(BD174="","",IF(MAX($BD$2:$BD$252)-MIN($BD$2:$BD$252)=0,"",(BD174-MIN($BD$2:$BD$252))/(MAX($BD$2:$BD$252)-MIN($BD$2:$BD$252))*100))</x:f>
      </x:c>
      <x:c r="BF174" s="10">
        <x:f>IF(P174="","",IF(MAX($P$2:$P$252)-MIN($P$2:$P$252)=0,"",(P174-MIN($P$2:$P$252))/(MAX($P$2:$P$252)-MIN($P$2:$P$252))*100))</x:f>
      </x:c>
      <x:c r="BG174">
        <x:f>IF(AF174="","",LOG10(AF174+1))</x:f>
      </x:c>
      <x:c r="BH174" s="10">
        <x:f>IF(BG174="","",IF(MAX($BG$2:$BG$252)-MIN($BG$2:$BG$252)=0,"",(BG174-MIN($BG$2:$BG$252))/(MAX($BG$2:$BG$252)-MIN($BG$2:$BG$252))*100))</x:f>
      </x:c>
      <x:c r="BI174">
        <x:f>IF(AC174="","",LOG10(AC174+1))</x:f>
      </x:c>
      <x:c r="BJ174" s="10">
        <x:f>IF(BI174="","",IF(MAX($BI$2:$BI$252)-MIN($BI$2:$BI$252)=0,"",(BI174-MIN($BI$2:$BI$252))/(MAX($BI$2:$BI$252)-MIN($BI$2:$BI$252))*100))</x:f>
      </x:c>
      <x:c r="BK174">
        <x:f>IF(AD174="","",(AD174*2)+(AE174*1))</x:f>
      </x:c>
      <x:c r="BL174" s="10">
        <x:f>IF(BK174="","",IF(MAX($BK$2:$BK$252)-MIN($BK$2:$BK$252)=0,"",(BK174-MIN($BK$2:$BK$252))/(MAX($BK$2:$BK$252)-MIN($BK$2:$BK$252))*100))</x:f>
      </x:c>
      <x:c r="BM174" s="10">
        <x:f>IF(AB174="","",IF(MAX($AB$2:$AB$252)-MIN($AB$2:$AB$252)=0,"",(AB174-MIN($AB$2:$AB$252))/(MAX($AB$2:$AB$252)-MIN($AB$2:$AB$252))*100))</x:f>
      </x:c>
      <x:c r="BN174" s="10">
        <x:f>IF(X174="","",X174)</x:f>
      </x:c>
      <x:c r="BO174" s="10">
        <x:f>IF(X174="","",100-X174)</x:f>
      </x:c>
      <x:c r="BP174" s="10">
        <x:f>IF((Weights!$C$2*IF(BH174="",0,1)+Weights!$C$3*IF(BJ174="",0,1)+Weights!$C$4*IF(BL174="",0,1))=0,"",(Weights!$C$2*IF(BH174="",0,BH174)+Weights!$C$3*IF(BJ174="",0,BJ174)+Weights!$C$4*IF(BL174="",0,BL174))/(Weights!$C$2*IF(BH174="",0,1)+Weights!$C$3*IF(BJ174="",0,1)+Weights!$C$4*IF(BL174="",0,1)))</x:f>
      </x:c>
      <x:c r="BQ174" s="10">
        <x:f>IF((Weights!$C$5*IF(BA174="",0,1)+Weights!$C$6*IF(AW174="",0,1)+Weights!$C$7*IF(AU174="",0,1))=0,"",(Weights!$C$5*IF(BA174="",0,BA174)+Weights!$C$6*IF(AW174="",0,AW174)+Weights!$C$7*IF(AU174="",0,AU174))/(Weights!$C$5*IF(BA174="",0,1)+Weights!$C$6*IF(AW174="",0,1)+Weights!$C$7*IF(AU174="",0,1)))</x:f>
      </x:c>
      <x:c r="BR174" s="10">
        <x:f>IF((Weights!$C$8*IF(AW174="",0,1)+Weights!$C$9*IF(BC174="",0,1)+Weights!$C$10*IF(BF174="",0,1))=0,"",(Weights!$C$8*IF(AW174="",0,AW174)+Weights!$C$9*IF(BC174="",0,BC174)+Weights!$C$10*IF(BF174="",0,BF174))/(Weights!$C$8*IF(AW174="",0,1)+Weights!$C$9*IF(BC174="",0,1)+Weights!$C$10*IF(BF174="",0,1)))</x:f>
      </x:c>
      <x:c r="BS174" s="10">
        <x:f>IF(Y174="","",Y174)</x:f>
      </x:c>
      <x:c r="BT174" s="10">
        <x:f>IF(AS174="","",AS174)</x:f>
      </x:c>
      <x:c r="BU174" s="10">
        <x:f>IF(AJ174&lt;&gt;"",(0.6*AJ174+0.4*AU174),IF((Weights!$C$11*IF(AU174="",0,1)+Weights!$C$12*IF(BM174="",0,1))=0,"",(Weights!$C$11*IF(AU174="",0,AU174)+Weights!$C$12*IF(BM174="",0,BM174))/(Weights!$C$11*IF(AU174="",0,1)+Weights!$C$12*IF(BM174="",0,1))))</x:f>
      </x:c>
      <x:c r="BV174" s="10">
        <x:f>IF(CG174="",0,CG174)</x:f>
      </x:c>
      <x:c r="BW174" s="10">
        <x:f>IF(AP174="","",AP174)</x:f>
      </x:c>
      <x:c r="BX174" s="10">
        <x:f>IF(AO174="","",AO174)</x:f>
      </x:c>
      <x:c r="BY174" s="10">
        <x:f>IF(AL174="","",AL174)</x:f>
      </x:c>
      <x:c r="BZ174" s="10">
        <x:f>IF(AM174="","",AM174)</x:f>
      </x:c>
      <x:c r="CA174" s="10">
        <x:f>IF(AK174&lt;&gt;"",AK174,AW174)</x:f>
      </x:c>
      <x:c r="CB174" s="10">
        <x:f>IF((Weights!$C$13*IF(BP174="",0,1)+Weights!$C$14*IF(BR174="",0,1)+Weights!$C$15*IF(BQ174="",0,1)+Weights!$C$16*IF(BS174="",0,1)+Weights!$C$17*IF(BU174="",0,1)+Weights!$C$18*IF(BT174="",0,1)+Weights!$C$19*IF(BW174="",0,1)+Weights!$C$20*IF(BZ174="",0,1)+Weights!$C$21*IF(BO174="",0,1)+Weights!$C$22)=0,"",(Weights!$C$13*IF(BP174="",0,BP174)+Weights!$C$14*IF(BR174="",0,BR174)+Weights!$C$15*IF(BQ174="",0,BQ174)+Weights!$C$16*IF(BS174="",0,BS174)+Weights!$C$17*IF(BU174="",0,BU174)+Weights!$C$18*IF(BT174="",0,BT174)+Weights!$C$19*IF(BW174="",0,BW174)+Weights!$C$20*IF(BZ174="",0,BZ174)+Weights!$C$21*IF(BO174="",0,BO174)+Weights!$C$22*BV174)/(Weights!$C$13*IF(BP174="",0,1)+Weights!$C$14*IF(BR174="",0,1)+Weights!$C$15*IF(BQ174="",0,1)+Weights!$C$16*IF(BS174="",0,1)+Weights!$C$17*IF(BU174="",0,1)+Weights!$C$18*IF(BT174="",0,1)+Weights!$C$19*IF(BW174="",0,1)+Weights!$C$20*IF(BZ174="",0,1)+Weights!$C$21*IF(BO174="",0,1)+Weights!$C$22))</x:f>
      </x:c>
      <x:c r="CC174" s="10">
        <x:f>IF((Weights!$C$23*IF(BQ174="",0,1)+Weights!$C$24*IF(BN174="",0,1)+Weights!$C$25*IF(BS174="",0,1)+Weights!$C$26*IF(BY174="",0,1)+Weights!$C$27*IF(BX174="",0,1)+Weights!$C$28*IF(BT174="",0,1)+Weights!$C$29*IF(CA174="",0,1)+Weights!$C$30+Weights!$C$31*IF(BU174="",0,1))=0,"",(Weights!$C$23*IF(BQ174="",0,BQ174)+Weights!$C$24*IF(BN174="",0,BN174)+Weights!$C$25*IF(BS174="",0,BS174)+Weights!$C$26*IF(BY174="",0,BY174)+Weights!$C$27*IF(BX174="",0,BX174)+Weights!$C$28*IF(BT174="",0,BT174)+Weights!$C$29*IF(CA174="",0,CA174)+Weights!$C$30*BV174+Weights!$C$31*IF(BU174="",0,BU174))/(Weights!$C$23*IF(BQ174="",0,1)+Weights!$C$24*IF(BN174="",0,1)+Weights!$C$25*IF(BS174="",0,1)+Weights!$C$26*IF(BY174="",0,1)+Weights!$C$27*IF(BX174="",0,1)+Weights!$C$28*IF(BT174="",0,1)+Weights!$C$29*IF(CA174="",0,1)+Weights!$C$30+Weights!$C$31*IF(BU174="",0,1)))</x:f>
      </x:c>
      <x:c r="CD174" s="10">
        <x:f>IF(AND(CB174="",CC174=""),"",IF(CB174="",CC174,IF(CC174="",CB174,AVERAGE(CB174,CC174))))</x:f>
      </x:c>
      <x:c r="CE174" s="7">
        <x:f>ROUND(100*((IF(BP174&lt;&gt;"",1,0)+IF(BQ174&lt;&gt;"",1,0)+IF(BR174&lt;&gt;"",1,0)+IF(BS174&lt;&gt;"",1,0)+IF(BU174&lt;&gt;"",1,0)+IF(BT174&lt;&gt;"",1,0)+IF(BN174&lt;&gt;"",1,0)+IF(AW174&lt;&gt;"",1,0))/8),0)</x:f>
      </x:c>
      <x:c r="CF174">
        <x:f>IF(V174="","",LOG10(V174+1))</x:f>
      </x:c>
      <x:c r="CG174">
        <x:f>IF(CF174="","",IF(MAX($CF$2:$CF$252)-MIN($CF$2:$CF$252)=0,"",(CF174-MIN($CF$2:$CF$252))/(MAX($CF$2:$CF$252)-MIN($CF$2:$CF$252))*100))</x:f>
      </x:c>
    </x:row>
    <x:row r="175">
      <x:c r="A175" t="inlineStr">
        <x:is>
          <x:t xml:space="preserve">MKD</x:t>
        </x:is>
      </x:c>
      <x:c r="B175" t="inlineStr">
        <x:is>
          <x:t xml:space="preserve">North Macedonia</x:t>
        </x:is>
      </x:c>
      <x:c r="C175" t="inlineStr">
        <x:is>
          <x:t xml:space="preserve">Europe &amp; Central Asia</x:t>
        </x:is>
      </x:c>
      <x:c r="D175" t="inlineStr">
        <x:is>
          <x:t xml:space="preserve">Upper middle income</x:t>
        </x:is>
      </x:c>
      <x:c r="E175" t="inlineStr">
        <x:is>
          <x:t xml:space="preserve">Europe</x:t>
        </x:is>
      </x:c>
      <x:c r="F175" t="n">
        <x:v>2024</x:v>
      </x:c>
      <x:c r="G175" t="n">
        <x:v>1824359</x:v>
      </x:c>
      <x:c r="H175" t="n">
        <x:v>2020</x:v>
      </x:c>
      <x:c r="I175" t="n">
        <x:v>16000</x:v>
      </x:c>
      <x:c r="J175" t="n">
        <x:v>10400</x:v>
      </x:c>
      <x:c r="K175" t="n">
        <x:v>3200</x:v>
      </x:c>
      <x:c r="L175" t="n">
        <x:v>1920</x:v>
      </x:c>
      <x:c r="M175" t="n">
        <x:v>2024</x:v>
      </x:c>
      <x:c r="N175" s="8" t="n">
        <x:v>353684979.985732</x:v>
      </x:c>
      <x:c r="O175" s="9" t="n">
        <x:v>2.10352863426818</x:v>
      </x:c>
      <x:c r="P175" s="8" t="n">
        <x:v>22105.31124910825</x:v>
      </x:c>
      <x:c r="Q175" t="n">
        <x:v>2024</x:v>
      </x:c>
      <x:c r="R175" s="8" t="n">
        <x:v>16951682245.4202</x:v>
      </x:c>
      <x:c r="S175" t="n">
        <x:v>0</x:v>
      </x:c>
      <x:c r="T175" t="n">
        <x:v>0</x:v>
      </x:c>
      <x:c r="U175" t="inlineStr">
        <x:is>
          <x:t xml:space="preserve">No</x:t>
        </x:is>
      </x:c>
      <x:c r="W175" t="inlineStr">
        <x:is>
          <x:t xml:space="preserve">No</x:t>
        </x:is>
      </x:c>
      <x:c r="X175" t="n">
        <x:v>1.707564318282908</x:v>
      </x:c>
      <x:c r="Y175" t="n">
        <x:v>60.30984664253014</x:v>
      </x:c>
      <x:c r="Z175" t="n">
        <x:v>25062.25528605757</x:v>
      </x:c>
      <x:c r="AA175" t="n">
        <x:v>83.93981211939553</x:v>
      </x:c>
      <x:c r="AB175" s="8" t="n">
        <x:v>14032.27899517094</x:v>
      </x:c>
      <x:c r="AR175">
        <x:f>IF(G175="","",LOG10(G175+1))</x:f>
      </x:c>
      <x:c r="AS175" s="10">
        <x:f>IF(AR175="","",IF(MAX($AR$2:$AR$252)-MIN($AR$2:$AR$252)=0,"",(AR175-MIN($AR$2:$AR$252))/(MAX($AR$2:$AR$252)-MIN($AR$2:$AR$252))*100))</x:f>
      </x:c>
      <x:c r="AT175">
        <x:f>IF(R175="","",LOG10(R175+1))</x:f>
      </x:c>
      <x:c r="AU175" s="10">
        <x:f>IF(AT175="","",IF(MAX($AT$2:$AT$252)-MIN($AT$2:$AT$252)=0,"",(AT175-MIN($AT$2:$AT$252))/(MAX($AT$2:$AT$252)-MIN($AT$2:$AT$252))*100))</x:f>
      </x:c>
      <x:c r="AV175">
        <x:f>IF(N175="","",LOG10(N175+1))</x:f>
      </x:c>
      <x:c r="AW175" s="10">
        <x:f>IF(AV175="","",IF(MAX($AV$2:$AV$252)-MIN($AV$2:$AV$252)=0,"",(AV175-MIN($AV$2:$AV$252))/(MAX($AV$2:$AV$252)-MIN($AV$2:$AV$252))*100))</x:f>
      </x:c>
      <x:c r="AX175">
        <x:f>IF(I175="","",LOG10(I175+1))</x:f>
      </x:c>
      <x:c r="AY175" s="10">
        <x:f>IF(AX175="","",IF(MAX($AX$2:$AX$252)-MIN($AX$2:$AX$252)=0,"",(AX175-MIN($AX$2:$AX$252))/(MAX($AX$2:$AX$252)-MIN($AX$2:$AX$252))*100))</x:f>
      </x:c>
      <x:c r="AZ175">
        <x:f>IF(J175="","",LOG10(J175+1))</x:f>
      </x:c>
      <x:c r="BA175" s="10">
        <x:f>IF(AZ175="","",IF(MAX($AZ$2:$AZ$252)-MIN($AZ$2:$AZ$252)=0,"",(AZ175-MIN($AZ$2:$AZ$252))/(MAX($AZ$2:$AZ$252)-MIN($AZ$2:$AZ$252))*100))</x:f>
      </x:c>
      <x:c r="BB175">
        <x:f>IF(K175="","",LOG10(K175+1))</x:f>
      </x:c>
      <x:c r="BC175" s="10">
        <x:f>IF(BB175="","",IF(MAX($BB$2:$BB$252)-MIN($BB$2:$BB$252)=0,"",(BB175-MIN($BB$2:$BB$252))/(MAX($BB$2:$BB$252)-MIN($BB$2:$BB$252))*100))</x:f>
      </x:c>
      <x:c r="BD175">
        <x:f>IF(L175="","",LOG10(L175+1))</x:f>
      </x:c>
      <x:c r="BE175" s="10">
        <x:f>IF(BD175="","",IF(MAX($BD$2:$BD$252)-MIN($BD$2:$BD$252)=0,"",(BD175-MIN($BD$2:$BD$252))/(MAX($BD$2:$BD$252)-MIN($BD$2:$BD$252))*100))</x:f>
      </x:c>
      <x:c r="BF175" s="10">
        <x:f>IF(P175="","",IF(MAX($P$2:$P$252)-MIN($P$2:$P$252)=0,"",(P175-MIN($P$2:$P$252))/(MAX($P$2:$P$252)-MIN($P$2:$P$252))*100))</x:f>
      </x:c>
      <x:c r="BG175">
        <x:f>IF(AF175="","",LOG10(AF175+1))</x:f>
      </x:c>
      <x:c r="BH175" s="10">
        <x:f>IF(BG175="","",IF(MAX($BG$2:$BG$252)-MIN($BG$2:$BG$252)=0,"",(BG175-MIN($BG$2:$BG$252))/(MAX($BG$2:$BG$252)-MIN($BG$2:$BG$252))*100))</x:f>
      </x:c>
      <x:c r="BI175">
        <x:f>IF(AC175="","",LOG10(AC175+1))</x:f>
      </x:c>
      <x:c r="BJ175" s="10">
        <x:f>IF(BI175="","",IF(MAX($BI$2:$BI$252)-MIN($BI$2:$BI$252)=0,"",(BI175-MIN($BI$2:$BI$252))/(MAX($BI$2:$BI$252)-MIN($BI$2:$BI$252))*100))</x:f>
      </x:c>
      <x:c r="BK175">
        <x:f>IF(AD175="","",(AD175*2)+(AE175*1))</x:f>
      </x:c>
      <x:c r="BL175" s="10">
        <x:f>IF(BK175="","",IF(MAX($BK$2:$BK$252)-MIN($BK$2:$BK$252)=0,"",(BK175-MIN($BK$2:$BK$252))/(MAX($BK$2:$BK$252)-MIN($BK$2:$BK$252))*100))</x:f>
      </x:c>
      <x:c r="BM175" s="10">
        <x:f>IF(AB175="","",IF(MAX($AB$2:$AB$252)-MIN($AB$2:$AB$252)=0,"",(AB175-MIN($AB$2:$AB$252))/(MAX($AB$2:$AB$252)-MIN($AB$2:$AB$252))*100))</x:f>
      </x:c>
      <x:c r="BN175" s="10">
        <x:f>IF(X175="","",X175)</x:f>
      </x:c>
      <x:c r="BO175" s="10">
        <x:f>IF(X175="","",100-X175)</x:f>
      </x:c>
      <x:c r="BP175" s="10">
        <x:f>IF((Weights!$C$2*IF(BH175="",0,1)+Weights!$C$3*IF(BJ175="",0,1)+Weights!$C$4*IF(BL175="",0,1))=0,"",(Weights!$C$2*IF(BH175="",0,BH175)+Weights!$C$3*IF(BJ175="",0,BJ175)+Weights!$C$4*IF(BL175="",0,BL175))/(Weights!$C$2*IF(BH175="",0,1)+Weights!$C$3*IF(BJ175="",0,1)+Weights!$C$4*IF(BL175="",0,1)))</x:f>
      </x:c>
      <x:c r="BQ175" s="10">
        <x:f>IF((Weights!$C$5*IF(BA175="",0,1)+Weights!$C$6*IF(AW175="",0,1)+Weights!$C$7*IF(AU175="",0,1))=0,"",(Weights!$C$5*IF(BA175="",0,BA175)+Weights!$C$6*IF(AW175="",0,AW175)+Weights!$C$7*IF(AU175="",0,AU175))/(Weights!$C$5*IF(BA175="",0,1)+Weights!$C$6*IF(AW175="",0,1)+Weights!$C$7*IF(AU175="",0,1)))</x:f>
      </x:c>
      <x:c r="BR175" s="10">
        <x:f>IF((Weights!$C$8*IF(AW175="",0,1)+Weights!$C$9*IF(BC175="",0,1)+Weights!$C$10*IF(BF175="",0,1))=0,"",(Weights!$C$8*IF(AW175="",0,AW175)+Weights!$C$9*IF(BC175="",0,BC175)+Weights!$C$10*IF(BF175="",0,BF175))/(Weights!$C$8*IF(AW175="",0,1)+Weights!$C$9*IF(BC175="",0,1)+Weights!$C$10*IF(BF175="",0,1)))</x:f>
      </x:c>
      <x:c r="BS175" s="10">
        <x:f>IF(Y175="","",Y175)</x:f>
      </x:c>
      <x:c r="BT175" s="10">
        <x:f>IF(AS175="","",AS175)</x:f>
      </x:c>
      <x:c r="BU175" s="10">
        <x:f>IF(AJ175&lt;&gt;"",(0.6*AJ175+0.4*AU175),IF((Weights!$C$11*IF(AU175="",0,1)+Weights!$C$12*IF(BM175="",0,1))=0,"",(Weights!$C$11*IF(AU175="",0,AU175)+Weights!$C$12*IF(BM175="",0,BM175))/(Weights!$C$11*IF(AU175="",0,1)+Weights!$C$12*IF(BM175="",0,1))))</x:f>
      </x:c>
      <x:c r="BV175" s="10">
        <x:f>IF(CG175="",0,CG175)</x:f>
      </x:c>
      <x:c r="BW175" s="10">
        <x:f>IF(AP175="","",AP175)</x:f>
      </x:c>
      <x:c r="BX175" s="10">
        <x:f>IF(AO175="","",AO175)</x:f>
      </x:c>
      <x:c r="BY175" s="10">
        <x:f>IF(AL175="","",AL175)</x:f>
      </x:c>
      <x:c r="BZ175" s="10">
        <x:f>IF(AM175="","",AM175)</x:f>
      </x:c>
      <x:c r="CA175" s="10">
        <x:f>IF(AK175&lt;&gt;"",AK175,AW175)</x:f>
      </x:c>
      <x:c r="CB175" s="10">
        <x:f>IF((Weights!$C$13*IF(BP175="",0,1)+Weights!$C$14*IF(BR175="",0,1)+Weights!$C$15*IF(BQ175="",0,1)+Weights!$C$16*IF(BS175="",0,1)+Weights!$C$17*IF(BU175="",0,1)+Weights!$C$18*IF(BT175="",0,1)+Weights!$C$19*IF(BW175="",0,1)+Weights!$C$20*IF(BZ175="",0,1)+Weights!$C$21*IF(BO175="",0,1)+Weights!$C$22)=0,"",(Weights!$C$13*IF(BP175="",0,BP175)+Weights!$C$14*IF(BR175="",0,BR175)+Weights!$C$15*IF(BQ175="",0,BQ175)+Weights!$C$16*IF(BS175="",0,BS175)+Weights!$C$17*IF(BU175="",0,BU175)+Weights!$C$18*IF(BT175="",0,BT175)+Weights!$C$19*IF(BW175="",0,BW175)+Weights!$C$20*IF(BZ175="",0,BZ175)+Weights!$C$21*IF(BO175="",0,BO175)+Weights!$C$22*BV175)/(Weights!$C$13*IF(BP175="",0,1)+Weights!$C$14*IF(BR175="",0,1)+Weights!$C$15*IF(BQ175="",0,1)+Weights!$C$16*IF(BS175="",0,1)+Weights!$C$17*IF(BU175="",0,1)+Weights!$C$18*IF(BT175="",0,1)+Weights!$C$19*IF(BW175="",0,1)+Weights!$C$20*IF(BZ175="",0,1)+Weights!$C$21*IF(BO175="",0,1)+Weights!$C$22))</x:f>
      </x:c>
      <x:c r="CC175" s="10">
        <x:f>IF((Weights!$C$23*IF(BQ175="",0,1)+Weights!$C$24*IF(BN175="",0,1)+Weights!$C$25*IF(BS175="",0,1)+Weights!$C$26*IF(BY175="",0,1)+Weights!$C$27*IF(BX175="",0,1)+Weights!$C$28*IF(BT175="",0,1)+Weights!$C$29*IF(CA175="",0,1)+Weights!$C$30+Weights!$C$31*IF(BU175="",0,1))=0,"",(Weights!$C$23*IF(BQ175="",0,BQ175)+Weights!$C$24*IF(BN175="",0,BN175)+Weights!$C$25*IF(BS175="",0,BS175)+Weights!$C$26*IF(BY175="",0,BY175)+Weights!$C$27*IF(BX175="",0,BX175)+Weights!$C$28*IF(BT175="",0,BT175)+Weights!$C$29*IF(CA175="",0,CA175)+Weights!$C$30*BV175+Weights!$C$31*IF(BU175="",0,BU175))/(Weights!$C$23*IF(BQ175="",0,1)+Weights!$C$24*IF(BN175="",0,1)+Weights!$C$25*IF(BS175="",0,1)+Weights!$C$26*IF(BY175="",0,1)+Weights!$C$27*IF(BX175="",0,1)+Weights!$C$28*IF(BT175="",0,1)+Weights!$C$29*IF(CA175="",0,1)+Weights!$C$30+Weights!$C$31*IF(BU175="",0,1)))</x:f>
      </x:c>
      <x:c r="CD175" s="10">
        <x:f>IF(AND(CB175="",CC175=""),"",IF(CB175="",CC175,IF(CC175="",CB175,AVERAGE(CB175,CC175))))</x:f>
      </x:c>
      <x:c r="CE175" s="7">
        <x:f>ROUND(100*((IF(BP175&lt;&gt;"",1,0)+IF(BQ175&lt;&gt;"",1,0)+IF(BR175&lt;&gt;"",1,0)+IF(BS175&lt;&gt;"",1,0)+IF(BU175&lt;&gt;"",1,0)+IF(BT175&lt;&gt;"",1,0)+IF(BN175&lt;&gt;"",1,0)+IF(AW175&lt;&gt;"",1,0))/8),0)</x:f>
      </x:c>
      <x:c r="CF175">
        <x:f>IF(V175="","",LOG10(V175+1))</x:f>
      </x:c>
      <x:c r="CG175">
        <x:f>IF(CF175="","",IF(MAX($CF$2:$CF$252)-MIN($CF$2:$CF$252)=0,"",(CF175-MIN($CF$2:$CF$252))/(MAX($CF$2:$CF$252)-MIN($CF$2:$CF$252))*100))</x:f>
      </x:c>
    </x:row>
    <x:row r="176">
      <x:c r="A176" t="inlineStr">
        <x:is>
          <x:t xml:space="preserve">PLW</x:t>
        </x:is>
      </x:c>
      <x:c r="B176" t="inlineStr">
        <x:is>
          <x:t xml:space="preserve">Palau</x:t>
        </x:is>
      </x:c>
      <x:c r="C176" t="inlineStr">
        <x:is>
          <x:t xml:space="preserve">East Asia &amp; Pacific</x:t>
        </x:is>
      </x:c>
      <x:c r="D176" t="inlineStr">
        <x:is>
          <x:t xml:space="preserve">High income</x:t>
        </x:is>
      </x:c>
      <x:c r="F176" t="n">
        <x:v>2024</x:v>
      </x:c>
      <x:c r="G176" t="n">
        <x:v>17695</x:v>
      </x:c>
      <x:c r="N176" s="8" t="n"/>
      <x:c r="O176" s="9" t="n"/>
      <x:c r="P176" s="8" t="n"/>
      <x:c r="Q176" t="n">
        <x:v>2023</x:v>
      </x:c>
      <x:c r="R176" s="8" t="n">
        <x:v>276733062.744141</x:v>
      </x:c>
      <x:c r="S176" t="n">
        <x:v>0</x:v>
      </x:c>
      <x:c r="T176" t="n">
        <x:v>0</x:v>
      </x:c>
      <x:c r="U176" t="inlineStr">
        <x:is>
          <x:t xml:space="preserve">No</x:t>
        </x:is>
      </x:c>
      <x:c r="W176" t="inlineStr">
        <x:is>
          <x:t xml:space="preserve">No</x:t>
        </x:is>
      </x:c>
      <x:c r="AB176" s="8" t="n"/>
      <x:c r="AR176">
        <x:f>IF(G176="","",LOG10(G176+1))</x:f>
      </x:c>
      <x:c r="AS176" s="10">
        <x:f>IF(AR176="","",IF(MAX($AR$2:$AR$252)-MIN($AR$2:$AR$252)=0,"",(AR176-MIN($AR$2:$AR$252))/(MAX($AR$2:$AR$252)-MIN($AR$2:$AR$252))*100))</x:f>
      </x:c>
      <x:c r="AT176">
        <x:f>IF(R176="","",LOG10(R176+1))</x:f>
      </x:c>
      <x:c r="AU176" s="10">
        <x:f>IF(AT176="","",IF(MAX($AT$2:$AT$252)-MIN($AT$2:$AT$252)=0,"",(AT176-MIN($AT$2:$AT$252))/(MAX($AT$2:$AT$252)-MIN($AT$2:$AT$252))*100))</x:f>
      </x:c>
      <x:c r="AV176">
        <x:f>IF(N176="","",LOG10(N176+1))</x:f>
      </x:c>
      <x:c r="AW176" s="10">
        <x:f>IF(AV176="","",IF(MAX($AV$2:$AV$252)-MIN($AV$2:$AV$252)=0,"",(AV176-MIN($AV$2:$AV$252))/(MAX($AV$2:$AV$252)-MIN($AV$2:$AV$252))*100))</x:f>
      </x:c>
      <x:c r="AX176">
        <x:f>IF(I176="","",LOG10(I176+1))</x:f>
      </x:c>
      <x:c r="AY176" s="10">
        <x:f>IF(AX176="","",IF(MAX($AX$2:$AX$252)-MIN($AX$2:$AX$252)=0,"",(AX176-MIN($AX$2:$AX$252))/(MAX($AX$2:$AX$252)-MIN($AX$2:$AX$252))*100))</x:f>
      </x:c>
      <x:c r="AZ176">
        <x:f>IF(J176="","",LOG10(J176+1))</x:f>
      </x:c>
      <x:c r="BA176" s="10">
        <x:f>IF(AZ176="","",IF(MAX($AZ$2:$AZ$252)-MIN($AZ$2:$AZ$252)=0,"",(AZ176-MIN($AZ$2:$AZ$252))/(MAX($AZ$2:$AZ$252)-MIN($AZ$2:$AZ$252))*100))</x:f>
      </x:c>
      <x:c r="BB176">
        <x:f>IF(K176="","",LOG10(K176+1))</x:f>
      </x:c>
      <x:c r="BC176" s="10">
        <x:f>IF(BB176="","",IF(MAX($BB$2:$BB$252)-MIN($BB$2:$BB$252)=0,"",(BB176-MIN($BB$2:$BB$252))/(MAX($BB$2:$BB$252)-MIN($BB$2:$BB$252))*100))</x:f>
      </x:c>
      <x:c r="BD176">
        <x:f>IF(L176="","",LOG10(L176+1))</x:f>
      </x:c>
      <x:c r="BE176" s="10">
        <x:f>IF(BD176="","",IF(MAX($BD$2:$BD$252)-MIN($BD$2:$BD$252)=0,"",(BD176-MIN($BD$2:$BD$252))/(MAX($BD$2:$BD$252)-MIN($BD$2:$BD$252))*100))</x:f>
      </x:c>
      <x:c r="BF176" s="10">
        <x:f>IF(P176="","",IF(MAX($P$2:$P$252)-MIN($P$2:$P$252)=0,"",(P176-MIN($P$2:$P$252))/(MAX($P$2:$P$252)-MIN($P$2:$P$252))*100))</x:f>
      </x:c>
      <x:c r="BG176">
        <x:f>IF(AF176="","",LOG10(AF176+1))</x:f>
      </x:c>
      <x:c r="BH176" s="10">
        <x:f>IF(BG176="","",IF(MAX($BG$2:$BG$252)-MIN($BG$2:$BG$252)=0,"",(BG176-MIN($BG$2:$BG$252))/(MAX($BG$2:$BG$252)-MIN($BG$2:$BG$252))*100))</x:f>
      </x:c>
      <x:c r="BI176">
        <x:f>IF(AC176="","",LOG10(AC176+1))</x:f>
      </x:c>
      <x:c r="BJ176" s="10">
        <x:f>IF(BI176="","",IF(MAX($BI$2:$BI$252)-MIN($BI$2:$BI$252)=0,"",(BI176-MIN($BI$2:$BI$252))/(MAX($BI$2:$BI$252)-MIN($BI$2:$BI$252))*100))</x:f>
      </x:c>
      <x:c r="BK176">
        <x:f>IF(AD176="","",(AD176*2)+(AE176*1))</x:f>
      </x:c>
      <x:c r="BL176" s="10">
        <x:f>IF(BK176="","",IF(MAX($BK$2:$BK$252)-MIN($BK$2:$BK$252)=0,"",(BK176-MIN($BK$2:$BK$252))/(MAX($BK$2:$BK$252)-MIN($BK$2:$BK$252))*100))</x:f>
      </x:c>
      <x:c r="BM176" s="10">
        <x:f>IF(AB176="","",IF(MAX($AB$2:$AB$252)-MIN($AB$2:$AB$252)=0,"",(AB176-MIN($AB$2:$AB$252))/(MAX($AB$2:$AB$252)-MIN($AB$2:$AB$252))*100))</x:f>
      </x:c>
      <x:c r="BN176" s="10">
        <x:f>IF(X176="","",X176)</x:f>
      </x:c>
      <x:c r="BO176" s="10">
        <x:f>IF(X176="","",100-X176)</x:f>
      </x:c>
      <x:c r="BP176" s="10">
        <x:f>IF((Weights!$C$2*IF(BH176="",0,1)+Weights!$C$3*IF(BJ176="",0,1)+Weights!$C$4*IF(BL176="",0,1))=0,"",(Weights!$C$2*IF(BH176="",0,BH176)+Weights!$C$3*IF(BJ176="",0,BJ176)+Weights!$C$4*IF(BL176="",0,BL176))/(Weights!$C$2*IF(BH176="",0,1)+Weights!$C$3*IF(BJ176="",0,1)+Weights!$C$4*IF(BL176="",0,1)))</x:f>
      </x:c>
      <x:c r="BQ176" s="10">
        <x:f>IF((Weights!$C$5*IF(BA176="",0,1)+Weights!$C$6*IF(AW176="",0,1)+Weights!$C$7*IF(AU176="",0,1))=0,"",(Weights!$C$5*IF(BA176="",0,BA176)+Weights!$C$6*IF(AW176="",0,AW176)+Weights!$C$7*IF(AU176="",0,AU176))/(Weights!$C$5*IF(BA176="",0,1)+Weights!$C$6*IF(AW176="",0,1)+Weights!$C$7*IF(AU176="",0,1)))</x:f>
      </x:c>
      <x:c r="BR176" s="10">
        <x:f>IF((Weights!$C$8*IF(AW176="",0,1)+Weights!$C$9*IF(BC176="",0,1)+Weights!$C$10*IF(BF176="",0,1))=0,"",(Weights!$C$8*IF(AW176="",0,AW176)+Weights!$C$9*IF(BC176="",0,BC176)+Weights!$C$10*IF(BF176="",0,BF176))/(Weights!$C$8*IF(AW176="",0,1)+Weights!$C$9*IF(BC176="",0,1)+Weights!$C$10*IF(BF176="",0,1)))</x:f>
      </x:c>
      <x:c r="BS176" s="10">
        <x:f>IF(Y176="","",Y176)</x:f>
      </x:c>
      <x:c r="BT176" s="10">
        <x:f>IF(AS176="","",AS176)</x:f>
      </x:c>
      <x:c r="BU176" s="10">
        <x:f>IF(AJ176&lt;&gt;"",(0.6*AJ176+0.4*AU176),IF((Weights!$C$11*IF(AU176="",0,1)+Weights!$C$12*IF(BM176="",0,1))=0,"",(Weights!$C$11*IF(AU176="",0,AU176)+Weights!$C$12*IF(BM176="",0,BM176))/(Weights!$C$11*IF(AU176="",0,1)+Weights!$C$12*IF(BM176="",0,1))))</x:f>
      </x:c>
      <x:c r="BV176" s="10">
        <x:f>IF(CG176="",0,CG176)</x:f>
      </x:c>
      <x:c r="BW176" s="10">
        <x:f>IF(AP176="","",AP176)</x:f>
      </x:c>
      <x:c r="BX176" s="10">
        <x:f>IF(AO176="","",AO176)</x:f>
      </x:c>
      <x:c r="BY176" s="10">
        <x:f>IF(AL176="","",AL176)</x:f>
      </x:c>
      <x:c r="BZ176" s="10">
        <x:f>IF(AM176="","",AM176)</x:f>
      </x:c>
      <x:c r="CA176" s="10">
        <x:f>IF(AK176&lt;&gt;"",AK176,AW176)</x:f>
      </x:c>
      <x:c r="CB176" s="10">
        <x:f>IF((Weights!$C$13*IF(BP176="",0,1)+Weights!$C$14*IF(BR176="",0,1)+Weights!$C$15*IF(BQ176="",0,1)+Weights!$C$16*IF(BS176="",0,1)+Weights!$C$17*IF(BU176="",0,1)+Weights!$C$18*IF(BT176="",0,1)+Weights!$C$19*IF(BW176="",0,1)+Weights!$C$20*IF(BZ176="",0,1)+Weights!$C$21*IF(BO176="",0,1)+Weights!$C$22)=0,"",(Weights!$C$13*IF(BP176="",0,BP176)+Weights!$C$14*IF(BR176="",0,BR176)+Weights!$C$15*IF(BQ176="",0,BQ176)+Weights!$C$16*IF(BS176="",0,BS176)+Weights!$C$17*IF(BU176="",0,BU176)+Weights!$C$18*IF(BT176="",0,BT176)+Weights!$C$19*IF(BW176="",0,BW176)+Weights!$C$20*IF(BZ176="",0,BZ176)+Weights!$C$21*IF(BO176="",0,BO176)+Weights!$C$22*BV176)/(Weights!$C$13*IF(BP176="",0,1)+Weights!$C$14*IF(BR176="",0,1)+Weights!$C$15*IF(BQ176="",0,1)+Weights!$C$16*IF(BS176="",0,1)+Weights!$C$17*IF(BU176="",0,1)+Weights!$C$18*IF(BT176="",0,1)+Weights!$C$19*IF(BW176="",0,1)+Weights!$C$20*IF(BZ176="",0,1)+Weights!$C$21*IF(BO176="",0,1)+Weights!$C$22))</x:f>
      </x:c>
      <x:c r="CC176" s="10">
        <x:f>IF((Weights!$C$23*IF(BQ176="",0,1)+Weights!$C$24*IF(BN176="",0,1)+Weights!$C$25*IF(BS176="",0,1)+Weights!$C$26*IF(BY176="",0,1)+Weights!$C$27*IF(BX176="",0,1)+Weights!$C$28*IF(BT176="",0,1)+Weights!$C$29*IF(CA176="",0,1)+Weights!$C$30+Weights!$C$31*IF(BU176="",0,1))=0,"",(Weights!$C$23*IF(BQ176="",0,BQ176)+Weights!$C$24*IF(BN176="",0,BN176)+Weights!$C$25*IF(BS176="",0,BS176)+Weights!$C$26*IF(BY176="",0,BY176)+Weights!$C$27*IF(BX176="",0,BX176)+Weights!$C$28*IF(BT176="",0,BT176)+Weights!$C$29*IF(CA176="",0,CA176)+Weights!$C$30*BV176+Weights!$C$31*IF(BU176="",0,BU176))/(Weights!$C$23*IF(BQ176="",0,1)+Weights!$C$24*IF(BN176="",0,1)+Weights!$C$25*IF(BS176="",0,1)+Weights!$C$26*IF(BY176="",0,1)+Weights!$C$27*IF(BX176="",0,1)+Weights!$C$28*IF(BT176="",0,1)+Weights!$C$29*IF(CA176="",0,1)+Weights!$C$30+Weights!$C$31*IF(BU176="",0,1)))</x:f>
      </x:c>
      <x:c r="CD176" s="10">
        <x:f>IF(AND(CB176="",CC176=""),"",IF(CB176="",CC176,IF(CC176="",CB176,AVERAGE(CB176,CC176))))</x:f>
      </x:c>
      <x:c r="CE176" s="7">
        <x:f>ROUND(100*((IF(BP176&lt;&gt;"",1,0)+IF(BQ176&lt;&gt;"",1,0)+IF(BR176&lt;&gt;"",1,0)+IF(BS176&lt;&gt;"",1,0)+IF(BU176&lt;&gt;"",1,0)+IF(BT176&lt;&gt;"",1,0)+IF(BN176&lt;&gt;"",1,0)+IF(AW176&lt;&gt;"",1,0))/8),0)</x:f>
      </x:c>
      <x:c r="CF176">
        <x:f>IF(V176="","",LOG10(V176+1))</x:f>
      </x:c>
      <x:c r="CG176">
        <x:f>IF(CF176="","",IF(MAX($CF$2:$CF$252)-MIN($CF$2:$CF$252)=0,"",(CF176-MIN($CF$2:$CF$252))/(MAX($CF$2:$CF$252)-MIN($CF$2:$CF$252))*100))</x:f>
      </x:c>
    </x:row>
    <x:row r="177">
      <x:c r="A177" t="inlineStr">
        <x:is>
          <x:t xml:space="preserve">PAN</x:t>
        </x:is>
      </x:c>
      <x:c r="B177" t="inlineStr">
        <x:is>
          <x:t xml:space="preserve">Panama</x:t>
        </x:is>
      </x:c>
      <x:c r="C177" t="inlineStr">
        <x:is>
          <x:t xml:space="preserve">Latin America &amp; Caribbean</x:t>
        </x:is>
      </x:c>
      <x:c r="D177" t="inlineStr">
        <x:is>
          <x:t xml:space="preserve">High income</x:t>
        </x:is>
      </x:c>
      <x:c r="E177" t="inlineStr">
        <x:is>
          <x:t xml:space="preserve">North America</x:t>
        </x:is>
      </x:c>
      <x:c r="F177" t="n">
        <x:v>2024</x:v>
      </x:c>
      <x:c r="G177" t="n">
        <x:v>4515577</x:v>
      </x:c>
      <x:c r="H177" t="n">
        <x:v>2020</x:v>
      </x:c>
      <x:c r="I177" t="n">
        <x:v>28000</x:v>
      </x:c>
      <x:c r="J177" t="n">
        <x:v>18200</x:v>
      </x:c>
      <x:c r="K177" t="n">
        <x:v>5600</x:v>
      </x:c>
      <x:c r="L177" t="n">
        <x:v>3360</x:v>
      </x:c>
      <x:c r="M177" t="n">
        <x:v>2024</x:v>
      </x:c>
      <x:c r="N177" s="8" t="n">
        <x:v>0</x:v>
      </x:c>
      <x:c r="O177" s="9" t="n">
        <x:v>0.974136501313688</x:v>
      </x:c>
      <x:c r="P177" s="8" t="n">
        <x:v>0</x:v>
      </x:c>
      <x:c r="Q177" t="n">
        <x:v>2024</x:v>
      </x:c>
      <x:c r="R177" s="8" t="n">
        <x:v>86523959131.74719</x:v>
      </x:c>
      <x:c r="S177" t="n">
        <x:v>0</x:v>
      </x:c>
      <x:c r="T177" t="n">
        <x:v>0</x:v>
      </x:c>
      <x:c r="U177" t="inlineStr">
        <x:is>
          <x:t xml:space="preserve">No</x:t>
        </x:is>
      </x:c>
      <x:c r="W177" t="inlineStr">
        <x:is>
          <x:t xml:space="preserve">No</x:t>
        </x:is>
      </x:c>
      <x:c r="X177" t="n">
        <x:v>36.45122167918993</x:v>
      </x:c>
      <x:c r="Y177" t="n">
        <x:v>65.43777988903155</x:v>
      </x:c>
      <x:c r="Z177" t="n">
        <x:v>75265.44903052162</x:v>
      </x:c>
      <x:c r="AA177" t="n">
        <x:v>49.86540369244362</x:v>
      </x:c>
      <x:c r="AB177" s="8" t="n">
        <x:v>24811.21151291371</x:v>
      </x:c>
      <x:c r="AC177" t="n">
        <x:v>45</x:v>
      </x:c>
      <x:c r="AD177" t="n">
        <x:v>0</x:v>
      </x:c>
      <x:c r="AE177" t="n">
        <x:v>0</x:v>
      </x:c>
      <x:c r="AR177">
        <x:f>IF(G177="","",LOG10(G177+1))</x:f>
      </x:c>
      <x:c r="AS177" s="10">
        <x:f>IF(AR177="","",IF(MAX($AR$2:$AR$252)-MIN($AR$2:$AR$252)=0,"",(AR177-MIN($AR$2:$AR$252))/(MAX($AR$2:$AR$252)-MIN($AR$2:$AR$252))*100))</x:f>
      </x:c>
      <x:c r="AT177">
        <x:f>IF(R177="","",LOG10(R177+1))</x:f>
      </x:c>
      <x:c r="AU177" s="10">
        <x:f>IF(AT177="","",IF(MAX($AT$2:$AT$252)-MIN($AT$2:$AT$252)=0,"",(AT177-MIN($AT$2:$AT$252))/(MAX($AT$2:$AT$252)-MIN($AT$2:$AT$252))*100))</x:f>
      </x:c>
      <x:c r="AV177">
        <x:f>IF(N177="","",LOG10(N177+1))</x:f>
      </x:c>
      <x:c r="AW177" s="10">
        <x:f>IF(AV177="","",IF(MAX($AV$2:$AV$252)-MIN($AV$2:$AV$252)=0,"",(AV177-MIN($AV$2:$AV$252))/(MAX($AV$2:$AV$252)-MIN($AV$2:$AV$252))*100))</x:f>
      </x:c>
      <x:c r="AX177">
        <x:f>IF(I177="","",LOG10(I177+1))</x:f>
      </x:c>
      <x:c r="AY177" s="10">
        <x:f>IF(AX177="","",IF(MAX($AX$2:$AX$252)-MIN($AX$2:$AX$252)=0,"",(AX177-MIN($AX$2:$AX$252))/(MAX($AX$2:$AX$252)-MIN($AX$2:$AX$252))*100))</x:f>
      </x:c>
      <x:c r="AZ177">
        <x:f>IF(J177="","",LOG10(J177+1))</x:f>
      </x:c>
      <x:c r="BA177" s="10">
        <x:f>IF(AZ177="","",IF(MAX($AZ$2:$AZ$252)-MIN($AZ$2:$AZ$252)=0,"",(AZ177-MIN($AZ$2:$AZ$252))/(MAX($AZ$2:$AZ$252)-MIN($AZ$2:$AZ$252))*100))</x:f>
      </x:c>
      <x:c r="BB177">
        <x:f>IF(K177="","",LOG10(K177+1))</x:f>
      </x:c>
      <x:c r="BC177" s="10">
        <x:f>IF(BB177="","",IF(MAX($BB$2:$BB$252)-MIN($BB$2:$BB$252)=0,"",(BB177-MIN($BB$2:$BB$252))/(MAX($BB$2:$BB$252)-MIN($BB$2:$BB$252))*100))</x:f>
      </x:c>
      <x:c r="BD177">
        <x:f>IF(L177="","",LOG10(L177+1))</x:f>
      </x:c>
      <x:c r="BE177" s="10">
        <x:f>IF(BD177="","",IF(MAX($BD$2:$BD$252)-MIN($BD$2:$BD$252)=0,"",(BD177-MIN($BD$2:$BD$252))/(MAX($BD$2:$BD$252)-MIN($BD$2:$BD$252))*100))</x:f>
      </x:c>
      <x:c r="BF177" s="10">
        <x:f>IF(P177="","",IF(MAX($P$2:$P$252)-MIN($P$2:$P$252)=0,"",(P177-MIN($P$2:$P$252))/(MAX($P$2:$P$252)-MIN($P$2:$P$252))*100))</x:f>
      </x:c>
      <x:c r="BG177">
        <x:f>IF(AF177="","",LOG10(AF177+1))</x:f>
      </x:c>
      <x:c r="BH177" s="10">
        <x:f>IF(BG177="","",IF(MAX($BG$2:$BG$252)-MIN($BG$2:$BG$252)=0,"",(BG177-MIN($BG$2:$BG$252))/(MAX($BG$2:$BG$252)-MIN($BG$2:$BG$252))*100))</x:f>
      </x:c>
      <x:c r="BI177">
        <x:f>IF(AC177="","",LOG10(AC177+1))</x:f>
      </x:c>
      <x:c r="BJ177" s="10">
        <x:f>IF(BI177="","",IF(MAX($BI$2:$BI$252)-MIN($BI$2:$BI$252)=0,"",(BI177-MIN($BI$2:$BI$252))/(MAX($BI$2:$BI$252)-MIN($BI$2:$BI$252))*100))</x:f>
      </x:c>
      <x:c r="BK177">
        <x:f>IF(AD177="","",(AD177*2)+(AE177*1))</x:f>
      </x:c>
      <x:c r="BL177" s="10">
        <x:f>IF(BK177="","",IF(MAX($BK$2:$BK$252)-MIN($BK$2:$BK$252)=0,"",(BK177-MIN($BK$2:$BK$252))/(MAX($BK$2:$BK$252)-MIN($BK$2:$BK$252))*100))</x:f>
      </x:c>
      <x:c r="BM177" s="10">
        <x:f>IF(AB177="","",IF(MAX($AB$2:$AB$252)-MIN($AB$2:$AB$252)=0,"",(AB177-MIN($AB$2:$AB$252))/(MAX($AB$2:$AB$252)-MIN($AB$2:$AB$252))*100))</x:f>
      </x:c>
      <x:c r="BN177" s="10">
        <x:f>IF(X177="","",X177)</x:f>
      </x:c>
      <x:c r="BO177" s="10">
        <x:f>IF(X177="","",100-X177)</x:f>
      </x:c>
      <x:c r="BP177" s="10">
        <x:f>IF((Weights!$C$2*IF(BH177="",0,1)+Weights!$C$3*IF(BJ177="",0,1)+Weights!$C$4*IF(BL177="",0,1))=0,"",(Weights!$C$2*IF(BH177="",0,BH177)+Weights!$C$3*IF(BJ177="",0,BJ177)+Weights!$C$4*IF(BL177="",0,BL177))/(Weights!$C$2*IF(BH177="",0,1)+Weights!$C$3*IF(BJ177="",0,1)+Weights!$C$4*IF(BL177="",0,1)))</x:f>
      </x:c>
      <x:c r="BQ177" s="10">
        <x:f>IF((Weights!$C$5*IF(BA177="",0,1)+Weights!$C$6*IF(AW177="",0,1)+Weights!$C$7*IF(AU177="",0,1))=0,"",(Weights!$C$5*IF(BA177="",0,BA177)+Weights!$C$6*IF(AW177="",0,AW177)+Weights!$C$7*IF(AU177="",0,AU177))/(Weights!$C$5*IF(BA177="",0,1)+Weights!$C$6*IF(AW177="",0,1)+Weights!$C$7*IF(AU177="",0,1)))</x:f>
      </x:c>
      <x:c r="BR177" s="10">
        <x:f>IF((Weights!$C$8*IF(AW177="",0,1)+Weights!$C$9*IF(BC177="",0,1)+Weights!$C$10*IF(BF177="",0,1))=0,"",(Weights!$C$8*IF(AW177="",0,AW177)+Weights!$C$9*IF(BC177="",0,BC177)+Weights!$C$10*IF(BF177="",0,BF177))/(Weights!$C$8*IF(AW177="",0,1)+Weights!$C$9*IF(BC177="",0,1)+Weights!$C$10*IF(BF177="",0,1)))</x:f>
      </x:c>
      <x:c r="BS177" s="10">
        <x:f>IF(Y177="","",Y177)</x:f>
      </x:c>
      <x:c r="BT177" s="10">
        <x:f>IF(AS177="","",AS177)</x:f>
      </x:c>
      <x:c r="BU177" s="10">
        <x:f>IF(AJ177&lt;&gt;"",(0.6*AJ177+0.4*AU177),IF((Weights!$C$11*IF(AU177="",0,1)+Weights!$C$12*IF(BM177="",0,1))=0,"",(Weights!$C$11*IF(AU177="",0,AU177)+Weights!$C$12*IF(BM177="",0,BM177))/(Weights!$C$11*IF(AU177="",0,1)+Weights!$C$12*IF(BM177="",0,1))))</x:f>
      </x:c>
      <x:c r="BV177" s="10">
        <x:f>IF(CG177="",0,CG177)</x:f>
      </x:c>
      <x:c r="BW177" s="10">
        <x:f>IF(AP177="","",AP177)</x:f>
      </x:c>
      <x:c r="BX177" s="10">
        <x:f>IF(AO177="","",AO177)</x:f>
      </x:c>
      <x:c r="BY177" s="10">
        <x:f>IF(AL177="","",AL177)</x:f>
      </x:c>
      <x:c r="BZ177" s="10">
        <x:f>IF(AM177="","",AM177)</x:f>
      </x:c>
      <x:c r="CA177" s="10">
        <x:f>IF(AK177&lt;&gt;"",AK177,AW177)</x:f>
      </x:c>
      <x:c r="CB177" s="10">
        <x:f>IF((Weights!$C$13*IF(BP177="",0,1)+Weights!$C$14*IF(BR177="",0,1)+Weights!$C$15*IF(BQ177="",0,1)+Weights!$C$16*IF(BS177="",0,1)+Weights!$C$17*IF(BU177="",0,1)+Weights!$C$18*IF(BT177="",0,1)+Weights!$C$19*IF(BW177="",0,1)+Weights!$C$20*IF(BZ177="",0,1)+Weights!$C$21*IF(BO177="",0,1)+Weights!$C$22)=0,"",(Weights!$C$13*IF(BP177="",0,BP177)+Weights!$C$14*IF(BR177="",0,BR177)+Weights!$C$15*IF(BQ177="",0,BQ177)+Weights!$C$16*IF(BS177="",0,BS177)+Weights!$C$17*IF(BU177="",0,BU177)+Weights!$C$18*IF(BT177="",0,BT177)+Weights!$C$19*IF(BW177="",0,BW177)+Weights!$C$20*IF(BZ177="",0,BZ177)+Weights!$C$21*IF(BO177="",0,BO177)+Weights!$C$22*BV177)/(Weights!$C$13*IF(BP177="",0,1)+Weights!$C$14*IF(BR177="",0,1)+Weights!$C$15*IF(BQ177="",0,1)+Weights!$C$16*IF(BS177="",0,1)+Weights!$C$17*IF(BU177="",0,1)+Weights!$C$18*IF(BT177="",0,1)+Weights!$C$19*IF(BW177="",0,1)+Weights!$C$20*IF(BZ177="",0,1)+Weights!$C$21*IF(BO177="",0,1)+Weights!$C$22))</x:f>
      </x:c>
      <x:c r="CC177" s="10">
        <x:f>IF((Weights!$C$23*IF(BQ177="",0,1)+Weights!$C$24*IF(BN177="",0,1)+Weights!$C$25*IF(BS177="",0,1)+Weights!$C$26*IF(BY177="",0,1)+Weights!$C$27*IF(BX177="",0,1)+Weights!$C$28*IF(BT177="",0,1)+Weights!$C$29*IF(CA177="",0,1)+Weights!$C$30+Weights!$C$31*IF(BU177="",0,1))=0,"",(Weights!$C$23*IF(BQ177="",0,BQ177)+Weights!$C$24*IF(BN177="",0,BN177)+Weights!$C$25*IF(BS177="",0,BS177)+Weights!$C$26*IF(BY177="",0,BY177)+Weights!$C$27*IF(BX177="",0,BX177)+Weights!$C$28*IF(BT177="",0,BT177)+Weights!$C$29*IF(CA177="",0,CA177)+Weights!$C$30*BV177+Weights!$C$31*IF(BU177="",0,BU177))/(Weights!$C$23*IF(BQ177="",0,1)+Weights!$C$24*IF(BN177="",0,1)+Weights!$C$25*IF(BS177="",0,1)+Weights!$C$26*IF(BY177="",0,1)+Weights!$C$27*IF(BX177="",0,1)+Weights!$C$28*IF(BT177="",0,1)+Weights!$C$29*IF(CA177="",0,1)+Weights!$C$30+Weights!$C$31*IF(BU177="",0,1)))</x:f>
      </x:c>
      <x:c r="CD177" s="10">
        <x:f>IF(AND(CB177="",CC177=""),"",IF(CB177="",CC177,IF(CC177="",CB177,AVERAGE(CB177,CC177))))</x:f>
      </x:c>
      <x:c r="CE177" s="7">
        <x:f>ROUND(100*((IF(BP177&lt;&gt;"",1,0)+IF(BQ177&lt;&gt;"",1,0)+IF(BR177&lt;&gt;"",1,0)+IF(BS177&lt;&gt;"",1,0)+IF(BU177&lt;&gt;"",1,0)+IF(BT177&lt;&gt;"",1,0)+IF(BN177&lt;&gt;"",1,0)+IF(AW177&lt;&gt;"",1,0))/8),0)</x:f>
      </x:c>
      <x:c r="CF177">
        <x:f>IF(V177="","",LOG10(V177+1))</x:f>
      </x:c>
      <x:c r="CG177">
        <x:f>IF(CF177="","",IF(MAX($CF$2:$CF$252)-MIN($CF$2:$CF$252)=0,"",(CF177-MIN($CF$2:$CF$252))/(MAX($CF$2:$CF$252)-MIN($CF$2:$CF$252))*100))</x:f>
      </x:c>
    </x:row>
    <x:row r="178">
      <x:c r="A178" t="inlineStr">
        <x:is>
          <x:t xml:space="preserve">PRY</x:t>
        </x:is>
      </x:c>
      <x:c r="B178" t="inlineStr">
        <x:is>
          <x:t xml:space="preserve">Paraguay</x:t>
        </x:is>
      </x:c>
      <x:c r="C178" t="inlineStr">
        <x:is>
          <x:t xml:space="preserve">Latin America &amp; Caribbean</x:t>
        </x:is>
      </x:c>
      <x:c r="D178" t="inlineStr">
        <x:is>
          <x:t xml:space="preserve">Upper middle income</x:t>
        </x:is>
      </x:c>
      <x:c r="E178" t="inlineStr">
        <x:is>
          <x:t xml:space="preserve">South America</x:t>
        </x:is>
      </x:c>
      <x:c r="F178" t="n">
        <x:v>2024</x:v>
      </x:c>
      <x:c r="G178" t="n">
        <x:v>6929153</x:v>
      </x:c>
      <x:c r="H178" t="n">
        <x:v>2020</x:v>
      </x:c>
      <x:c r="I178" t="n">
        <x:v>29000</x:v>
      </x:c>
      <x:c r="J178" t="n">
        <x:v>18850</x:v>
      </x:c>
      <x:c r="K178" t="n">
        <x:v>5800</x:v>
      </x:c>
      <x:c r="L178" t="n">
        <x:v>3480</x:v>
      </x:c>
      <x:c r="M178" t="n">
        <x:v>2024</x:v>
      </x:c>
      <x:c r="N178" s="8" t="n">
        <x:v>413971348.08491</x:v>
      </x:c>
      <x:c r="O178" s="9" t="n">
        <x:v>0.933106143624753</x:v>
      </x:c>
      <x:c r="P178" s="8" t="n">
        <x:v>14274.87407189345</x:v>
      </x:c>
      <x:c r="Q178" t="n">
        <x:v>2024</x:v>
      </x:c>
      <x:c r="R178" s="8" t="n">
        <x:v>44458118397.4445</x:v>
      </x:c>
      <x:c r="S178" t="n">
        <x:v>0</x:v>
      </x:c>
      <x:c r="T178" t="n">
        <x:v>0</x:v>
      </x:c>
      <x:c r="U178" t="inlineStr">
        <x:is>
          <x:t xml:space="preserve">No</x:t>
        </x:is>
      </x:c>
      <x:c r="W178" t="inlineStr">
        <x:is>
          <x:t xml:space="preserve">No</x:t>
        </x:is>
      </x:c>
      <x:c r="X178" t="n">
        <x:v>12.70840622554087</x:v>
      </x:c>
      <x:c r="Y178" t="n">
        <x:v>44.67419694115517</x:v>
      </x:c>
      <x:c r="Z178" t="n">
        <x:v>401335.9163947882</x:v>
      </x:c>
      <x:c r="AA178" t="n">
        <x:v>17.30156389285016</x:v>
      </x:c>
      <x:c r="AB178" s="8" t="n">
        <x:v>9313.426095076442</x:v>
      </x:c>
      <x:c r="AC178" t="n">
        <x:v>69</x:v>
      </x:c>
      <x:c r="AD178" t="n">
        <x:v>0</x:v>
      </x:c>
      <x:c r="AE178" t="n">
        <x:v>0</x:v>
      </x:c>
      <x:c r="AR178">
        <x:f>IF(G178="","",LOG10(G178+1))</x:f>
      </x:c>
      <x:c r="AS178" s="10">
        <x:f>IF(AR178="","",IF(MAX($AR$2:$AR$252)-MIN($AR$2:$AR$252)=0,"",(AR178-MIN($AR$2:$AR$252))/(MAX($AR$2:$AR$252)-MIN($AR$2:$AR$252))*100))</x:f>
      </x:c>
      <x:c r="AT178">
        <x:f>IF(R178="","",LOG10(R178+1))</x:f>
      </x:c>
      <x:c r="AU178" s="10">
        <x:f>IF(AT178="","",IF(MAX($AT$2:$AT$252)-MIN($AT$2:$AT$252)=0,"",(AT178-MIN($AT$2:$AT$252))/(MAX($AT$2:$AT$252)-MIN($AT$2:$AT$252))*100))</x:f>
      </x:c>
      <x:c r="AV178">
        <x:f>IF(N178="","",LOG10(N178+1))</x:f>
      </x:c>
      <x:c r="AW178" s="10">
        <x:f>IF(AV178="","",IF(MAX($AV$2:$AV$252)-MIN($AV$2:$AV$252)=0,"",(AV178-MIN($AV$2:$AV$252))/(MAX($AV$2:$AV$252)-MIN($AV$2:$AV$252))*100))</x:f>
      </x:c>
      <x:c r="AX178">
        <x:f>IF(I178="","",LOG10(I178+1))</x:f>
      </x:c>
      <x:c r="AY178" s="10">
        <x:f>IF(AX178="","",IF(MAX($AX$2:$AX$252)-MIN($AX$2:$AX$252)=0,"",(AX178-MIN($AX$2:$AX$252))/(MAX($AX$2:$AX$252)-MIN($AX$2:$AX$252))*100))</x:f>
      </x:c>
      <x:c r="AZ178">
        <x:f>IF(J178="","",LOG10(J178+1))</x:f>
      </x:c>
      <x:c r="BA178" s="10">
        <x:f>IF(AZ178="","",IF(MAX($AZ$2:$AZ$252)-MIN($AZ$2:$AZ$252)=0,"",(AZ178-MIN($AZ$2:$AZ$252))/(MAX($AZ$2:$AZ$252)-MIN($AZ$2:$AZ$252))*100))</x:f>
      </x:c>
      <x:c r="BB178">
        <x:f>IF(K178="","",LOG10(K178+1))</x:f>
      </x:c>
      <x:c r="BC178" s="10">
        <x:f>IF(BB178="","",IF(MAX($BB$2:$BB$252)-MIN($BB$2:$BB$252)=0,"",(BB178-MIN($BB$2:$BB$252))/(MAX($BB$2:$BB$252)-MIN($BB$2:$BB$252))*100))</x:f>
      </x:c>
      <x:c r="BD178">
        <x:f>IF(L178="","",LOG10(L178+1))</x:f>
      </x:c>
      <x:c r="BE178" s="10">
        <x:f>IF(BD178="","",IF(MAX($BD$2:$BD$252)-MIN($BD$2:$BD$252)=0,"",(BD178-MIN($BD$2:$BD$252))/(MAX($BD$2:$BD$252)-MIN($BD$2:$BD$252))*100))</x:f>
      </x:c>
      <x:c r="BF178" s="10">
        <x:f>IF(P178="","",IF(MAX($P$2:$P$252)-MIN($P$2:$P$252)=0,"",(P178-MIN($P$2:$P$252))/(MAX($P$2:$P$252)-MIN($P$2:$P$252))*100))</x:f>
      </x:c>
      <x:c r="BG178">
        <x:f>IF(AF178="","",LOG10(AF178+1))</x:f>
      </x:c>
      <x:c r="BH178" s="10">
        <x:f>IF(BG178="","",IF(MAX($BG$2:$BG$252)-MIN($BG$2:$BG$252)=0,"",(BG178-MIN($BG$2:$BG$252))/(MAX($BG$2:$BG$252)-MIN($BG$2:$BG$252))*100))</x:f>
      </x:c>
      <x:c r="BI178">
        <x:f>IF(AC178="","",LOG10(AC178+1))</x:f>
      </x:c>
      <x:c r="BJ178" s="10">
        <x:f>IF(BI178="","",IF(MAX($BI$2:$BI$252)-MIN($BI$2:$BI$252)=0,"",(BI178-MIN($BI$2:$BI$252))/(MAX($BI$2:$BI$252)-MIN($BI$2:$BI$252))*100))</x:f>
      </x:c>
      <x:c r="BK178">
        <x:f>IF(AD178="","",(AD178*2)+(AE178*1))</x:f>
      </x:c>
      <x:c r="BL178" s="10">
        <x:f>IF(BK178="","",IF(MAX($BK$2:$BK$252)-MIN($BK$2:$BK$252)=0,"",(BK178-MIN($BK$2:$BK$252))/(MAX($BK$2:$BK$252)-MIN($BK$2:$BK$252))*100))</x:f>
      </x:c>
      <x:c r="BM178" s="10">
        <x:f>IF(AB178="","",IF(MAX($AB$2:$AB$252)-MIN($AB$2:$AB$252)=0,"",(AB178-MIN($AB$2:$AB$252))/(MAX($AB$2:$AB$252)-MIN($AB$2:$AB$252))*100))</x:f>
      </x:c>
      <x:c r="BN178" s="10">
        <x:f>IF(X178="","",X178)</x:f>
      </x:c>
      <x:c r="BO178" s="10">
        <x:f>IF(X178="","",100-X178)</x:f>
      </x:c>
      <x:c r="BP178" s="10">
        <x:f>IF((Weights!$C$2*IF(BH178="",0,1)+Weights!$C$3*IF(BJ178="",0,1)+Weights!$C$4*IF(BL178="",0,1))=0,"",(Weights!$C$2*IF(BH178="",0,BH178)+Weights!$C$3*IF(BJ178="",0,BJ178)+Weights!$C$4*IF(BL178="",0,BL178))/(Weights!$C$2*IF(BH178="",0,1)+Weights!$C$3*IF(BJ178="",0,1)+Weights!$C$4*IF(BL178="",0,1)))</x:f>
      </x:c>
      <x:c r="BQ178" s="10">
        <x:f>IF((Weights!$C$5*IF(BA178="",0,1)+Weights!$C$6*IF(AW178="",0,1)+Weights!$C$7*IF(AU178="",0,1))=0,"",(Weights!$C$5*IF(BA178="",0,BA178)+Weights!$C$6*IF(AW178="",0,AW178)+Weights!$C$7*IF(AU178="",0,AU178))/(Weights!$C$5*IF(BA178="",0,1)+Weights!$C$6*IF(AW178="",0,1)+Weights!$C$7*IF(AU178="",0,1)))</x:f>
      </x:c>
      <x:c r="BR178" s="10">
        <x:f>IF((Weights!$C$8*IF(AW178="",0,1)+Weights!$C$9*IF(BC178="",0,1)+Weights!$C$10*IF(BF178="",0,1))=0,"",(Weights!$C$8*IF(AW178="",0,AW178)+Weights!$C$9*IF(BC178="",0,BC178)+Weights!$C$10*IF(BF178="",0,BF178))/(Weights!$C$8*IF(AW178="",0,1)+Weights!$C$9*IF(BC178="",0,1)+Weights!$C$10*IF(BF178="",0,1)))</x:f>
      </x:c>
      <x:c r="BS178" s="10">
        <x:f>IF(Y178="","",Y178)</x:f>
      </x:c>
      <x:c r="BT178" s="10">
        <x:f>IF(AS178="","",AS178)</x:f>
      </x:c>
      <x:c r="BU178" s="10">
        <x:f>IF(AJ178&lt;&gt;"",(0.6*AJ178+0.4*AU178),IF((Weights!$C$11*IF(AU178="",0,1)+Weights!$C$12*IF(BM178="",0,1))=0,"",(Weights!$C$11*IF(AU178="",0,AU178)+Weights!$C$12*IF(BM178="",0,BM178))/(Weights!$C$11*IF(AU178="",0,1)+Weights!$C$12*IF(BM178="",0,1))))</x:f>
      </x:c>
      <x:c r="BV178" s="10">
        <x:f>IF(CG178="",0,CG178)</x:f>
      </x:c>
      <x:c r="BW178" s="10">
        <x:f>IF(AP178="","",AP178)</x:f>
      </x:c>
      <x:c r="BX178" s="10">
        <x:f>IF(AO178="","",AO178)</x:f>
      </x:c>
      <x:c r="BY178" s="10">
        <x:f>IF(AL178="","",AL178)</x:f>
      </x:c>
      <x:c r="BZ178" s="10">
        <x:f>IF(AM178="","",AM178)</x:f>
      </x:c>
      <x:c r="CA178" s="10">
        <x:f>IF(AK178&lt;&gt;"",AK178,AW178)</x:f>
      </x:c>
      <x:c r="CB178" s="10">
        <x:f>IF((Weights!$C$13*IF(BP178="",0,1)+Weights!$C$14*IF(BR178="",0,1)+Weights!$C$15*IF(BQ178="",0,1)+Weights!$C$16*IF(BS178="",0,1)+Weights!$C$17*IF(BU178="",0,1)+Weights!$C$18*IF(BT178="",0,1)+Weights!$C$19*IF(BW178="",0,1)+Weights!$C$20*IF(BZ178="",0,1)+Weights!$C$21*IF(BO178="",0,1)+Weights!$C$22)=0,"",(Weights!$C$13*IF(BP178="",0,BP178)+Weights!$C$14*IF(BR178="",0,BR178)+Weights!$C$15*IF(BQ178="",0,BQ178)+Weights!$C$16*IF(BS178="",0,BS178)+Weights!$C$17*IF(BU178="",0,BU178)+Weights!$C$18*IF(BT178="",0,BT178)+Weights!$C$19*IF(BW178="",0,BW178)+Weights!$C$20*IF(BZ178="",0,BZ178)+Weights!$C$21*IF(BO178="",0,BO178)+Weights!$C$22*BV178)/(Weights!$C$13*IF(BP178="",0,1)+Weights!$C$14*IF(BR178="",0,1)+Weights!$C$15*IF(BQ178="",0,1)+Weights!$C$16*IF(BS178="",0,1)+Weights!$C$17*IF(BU178="",0,1)+Weights!$C$18*IF(BT178="",0,1)+Weights!$C$19*IF(BW178="",0,1)+Weights!$C$20*IF(BZ178="",0,1)+Weights!$C$21*IF(BO178="",0,1)+Weights!$C$22))</x:f>
      </x:c>
      <x:c r="CC178" s="10">
        <x:f>IF((Weights!$C$23*IF(BQ178="",0,1)+Weights!$C$24*IF(BN178="",0,1)+Weights!$C$25*IF(BS178="",0,1)+Weights!$C$26*IF(BY178="",0,1)+Weights!$C$27*IF(BX178="",0,1)+Weights!$C$28*IF(BT178="",0,1)+Weights!$C$29*IF(CA178="",0,1)+Weights!$C$30+Weights!$C$31*IF(BU178="",0,1))=0,"",(Weights!$C$23*IF(BQ178="",0,BQ178)+Weights!$C$24*IF(BN178="",0,BN178)+Weights!$C$25*IF(BS178="",0,BS178)+Weights!$C$26*IF(BY178="",0,BY178)+Weights!$C$27*IF(BX178="",0,BX178)+Weights!$C$28*IF(BT178="",0,BT178)+Weights!$C$29*IF(CA178="",0,CA178)+Weights!$C$30*BV178+Weights!$C$31*IF(BU178="",0,BU178))/(Weights!$C$23*IF(BQ178="",0,1)+Weights!$C$24*IF(BN178="",0,1)+Weights!$C$25*IF(BS178="",0,1)+Weights!$C$26*IF(BY178="",0,1)+Weights!$C$27*IF(BX178="",0,1)+Weights!$C$28*IF(BT178="",0,1)+Weights!$C$29*IF(CA178="",0,1)+Weights!$C$30+Weights!$C$31*IF(BU178="",0,1)))</x:f>
      </x:c>
      <x:c r="CD178" s="10">
        <x:f>IF(AND(CB178="",CC178=""),"",IF(CB178="",CC178,IF(CC178="",CB178,AVERAGE(CB178,CC178))))</x:f>
      </x:c>
      <x:c r="CE178" s="7">
        <x:f>ROUND(100*((IF(BP178&lt;&gt;"",1,0)+IF(BQ178&lt;&gt;"",1,0)+IF(BR178&lt;&gt;"",1,0)+IF(BS178&lt;&gt;"",1,0)+IF(BU178&lt;&gt;"",1,0)+IF(BT178&lt;&gt;"",1,0)+IF(BN178&lt;&gt;"",1,0)+IF(AW178&lt;&gt;"",1,0))/8),0)</x:f>
      </x:c>
      <x:c r="CF178">
        <x:f>IF(V178="","",LOG10(V178+1))</x:f>
      </x:c>
      <x:c r="CG178">
        <x:f>IF(CF178="","",IF(MAX($CF$2:$CF$252)-MIN($CF$2:$CF$252)=0,"",(CF178-MIN($CF$2:$CF$252))/(MAX($CF$2:$CF$252)-MIN($CF$2:$CF$252))*100))</x:f>
      </x:c>
    </x:row>
    <x:row r="179">
      <x:c r="A179" t="inlineStr">
        <x:is>
          <x:t xml:space="preserve">PER</x:t>
        </x:is>
      </x:c>
      <x:c r="B179" t="inlineStr">
        <x:is>
          <x:t xml:space="preserve">Peru</x:t>
        </x:is>
      </x:c>
      <x:c r="C179" t="inlineStr">
        <x:is>
          <x:t xml:space="preserve">Latin America &amp; Caribbean</x:t>
        </x:is>
      </x:c>
      <x:c r="D179" t="inlineStr">
        <x:is>
          <x:t xml:space="preserve">Upper middle income</x:t>
        </x:is>
      </x:c>
      <x:c r="E179" t="inlineStr">
        <x:is>
          <x:t xml:space="preserve">South America</x:t>
        </x:is>
      </x:c>
      <x:c r="F179" t="n">
        <x:v>2024</x:v>
      </x:c>
      <x:c r="G179" t="n">
        <x:v>34217848</x:v>
      </x:c>
      <x:c r="H179" t="n">
        <x:v>2020</x:v>
      </x:c>
      <x:c r="I179" t="n">
        <x:v>158000</x:v>
      </x:c>
      <x:c r="J179" t="n">
        <x:v>102700</x:v>
      </x:c>
      <x:c r="K179" t="n">
        <x:v>31600</x:v>
      </x:c>
      <x:c r="L179" t="n">
        <x:v>18960</x:v>
      </x:c>
      <x:c r="M179" t="n">
        <x:v>2024</x:v>
      </x:c>
      <x:c r="N179" s="8" t="n">
        <x:v>2565268613.71996</x:v>
      </x:c>
      <x:c r="O179" s="9" t="n">
        <x:v>0.9092886803597861</x:v>
      </x:c>
      <x:c r="P179" s="8" t="n">
        <x:v>16235.87730202506</x:v>
      </x:c>
      <x:c r="Q179" t="n">
        <x:v>2024</x:v>
      </x:c>
      <x:c r="R179" s="8" t="n">
        <x:v>289221969062.941</x:v>
      </x:c>
      <x:c r="S179" t="n">
        <x:v>1</x:v>
      </x:c>
      <x:c r="T179" t="n">
        <x:v>0</x:v>
      </x:c>
      <x:c r="U179" t="inlineStr">
        <x:is>
          <x:t xml:space="preserve">No</x:t>
        </x:is>
      </x:c>
      <x:c r="W179" t="inlineStr">
        <x:is>
          <x:t xml:space="preserve">No</x:t>
        </x:is>
      </x:c>
      <x:c r="X179" t="n">
        <x:v>22.97445198941099</x:v>
      </x:c>
      <x:c r="Y179" t="n">
        <x:v>51.68787367889411</x:v>
      </x:c>
      <x:c r="Z179" t="n">
        <x:v>1309699.636359681</x:v>
      </x:c>
      <x:c r="AA179" t="n">
        <x:v>23.69753731188824</x:v>
      </x:c>
      <x:c r="AB179" s="8" t="n">
        <x:v>13223.07403220244</x:v>
      </x:c>
      <x:c r="AC179" t="n">
        <x:v>69</x:v>
      </x:c>
      <x:c r="AD179" t="n">
        <x:v>0</x:v>
      </x:c>
      <x:c r="AE179" t="n">
        <x:v>0</x:v>
      </x:c>
      <x:c r="AR179">
        <x:f>IF(G179="","",LOG10(G179+1))</x:f>
      </x:c>
      <x:c r="AS179" s="10">
        <x:f>IF(AR179="","",IF(MAX($AR$2:$AR$252)-MIN($AR$2:$AR$252)=0,"",(AR179-MIN($AR$2:$AR$252))/(MAX($AR$2:$AR$252)-MIN($AR$2:$AR$252))*100))</x:f>
      </x:c>
      <x:c r="AT179">
        <x:f>IF(R179="","",LOG10(R179+1))</x:f>
      </x:c>
      <x:c r="AU179" s="10">
        <x:f>IF(AT179="","",IF(MAX($AT$2:$AT$252)-MIN($AT$2:$AT$252)=0,"",(AT179-MIN($AT$2:$AT$252))/(MAX($AT$2:$AT$252)-MIN($AT$2:$AT$252))*100))</x:f>
      </x:c>
      <x:c r="AV179">
        <x:f>IF(N179="","",LOG10(N179+1))</x:f>
      </x:c>
      <x:c r="AW179" s="10">
        <x:f>IF(AV179="","",IF(MAX($AV$2:$AV$252)-MIN($AV$2:$AV$252)=0,"",(AV179-MIN($AV$2:$AV$252))/(MAX($AV$2:$AV$252)-MIN($AV$2:$AV$252))*100))</x:f>
      </x:c>
      <x:c r="AX179">
        <x:f>IF(I179="","",LOG10(I179+1))</x:f>
      </x:c>
      <x:c r="AY179" s="10">
        <x:f>IF(AX179="","",IF(MAX($AX$2:$AX$252)-MIN($AX$2:$AX$252)=0,"",(AX179-MIN($AX$2:$AX$252))/(MAX($AX$2:$AX$252)-MIN($AX$2:$AX$252))*100))</x:f>
      </x:c>
      <x:c r="AZ179">
        <x:f>IF(J179="","",LOG10(J179+1))</x:f>
      </x:c>
      <x:c r="BA179" s="10">
        <x:f>IF(AZ179="","",IF(MAX($AZ$2:$AZ$252)-MIN($AZ$2:$AZ$252)=0,"",(AZ179-MIN($AZ$2:$AZ$252))/(MAX($AZ$2:$AZ$252)-MIN($AZ$2:$AZ$252))*100))</x:f>
      </x:c>
      <x:c r="BB179">
        <x:f>IF(K179="","",LOG10(K179+1))</x:f>
      </x:c>
      <x:c r="BC179" s="10">
        <x:f>IF(BB179="","",IF(MAX($BB$2:$BB$252)-MIN($BB$2:$BB$252)=0,"",(BB179-MIN($BB$2:$BB$252))/(MAX($BB$2:$BB$252)-MIN($BB$2:$BB$252))*100))</x:f>
      </x:c>
      <x:c r="BD179">
        <x:f>IF(L179="","",LOG10(L179+1))</x:f>
      </x:c>
      <x:c r="BE179" s="10">
        <x:f>IF(BD179="","",IF(MAX($BD$2:$BD$252)-MIN($BD$2:$BD$252)=0,"",(BD179-MIN($BD$2:$BD$252))/(MAX($BD$2:$BD$252)-MIN($BD$2:$BD$252))*100))</x:f>
      </x:c>
      <x:c r="BF179" s="10">
        <x:f>IF(P179="","",IF(MAX($P$2:$P$252)-MIN($P$2:$P$252)=0,"",(P179-MIN($P$2:$P$252))/(MAX($P$2:$P$252)-MIN($P$2:$P$252))*100))</x:f>
      </x:c>
      <x:c r="BG179">
        <x:f>IF(AF179="","",LOG10(AF179+1))</x:f>
      </x:c>
      <x:c r="BH179" s="10">
        <x:f>IF(BG179="","",IF(MAX($BG$2:$BG$252)-MIN($BG$2:$BG$252)=0,"",(BG179-MIN($BG$2:$BG$252))/(MAX($BG$2:$BG$252)-MIN($BG$2:$BG$252))*100))</x:f>
      </x:c>
      <x:c r="BI179">
        <x:f>IF(AC179="","",LOG10(AC179+1))</x:f>
      </x:c>
      <x:c r="BJ179" s="10">
        <x:f>IF(BI179="","",IF(MAX($BI$2:$BI$252)-MIN($BI$2:$BI$252)=0,"",(BI179-MIN($BI$2:$BI$252))/(MAX($BI$2:$BI$252)-MIN($BI$2:$BI$252))*100))</x:f>
      </x:c>
      <x:c r="BK179">
        <x:f>IF(AD179="","",(AD179*2)+(AE179*1))</x:f>
      </x:c>
      <x:c r="BL179" s="10">
        <x:f>IF(BK179="","",IF(MAX($BK$2:$BK$252)-MIN($BK$2:$BK$252)=0,"",(BK179-MIN($BK$2:$BK$252))/(MAX($BK$2:$BK$252)-MIN($BK$2:$BK$252))*100))</x:f>
      </x:c>
      <x:c r="BM179" s="10">
        <x:f>IF(AB179="","",IF(MAX($AB$2:$AB$252)-MIN($AB$2:$AB$252)=0,"",(AB179-MIN($AB$2:$AB$252))/(MAX($AB$2:$AB$252)-MIN($AB$2:$AB$252))*100))</x:f>
      </x:c>
      <x:c r="BN179" s="10">
        <x:f>IF(X179="","",X179)</x:f>
      </x:c>
      <x:c r="BO179" s="10">
        <x:f>IF(X179="","",100-X179)</x:f>
      </x:c>
      <x:c r="BP179" s="10">
        <x:f>IF((Weights!$C$2*IF(BH179="",0,1)+Weights!$C$3*IF(BJ179="",0,1)+Weights!$C$4*IF(BL179="",0,1))=0,"",(Weights!$C$2*IF(BH179="",0,BH179)+Weights!$C$3*IF(BJ179="",0,BJ179)+Weights!$C$4*IF(BL179="",0,BL179))/(Weights!$C$2*IF(BH179="",0,1)+Weights!$C$3*IF(BJ179="",0,1)+Weights!$C$4*IF(BL179="",0,1)))</x:f>
      </x:c>
      <x:c r="BQ179" s="10">
        <x:f>IF((Weights!$C$5*IF(BA179="",0,1)+Weights!$C$6*IF(AW179="",0,1)+Weights!$C$7*IF(AU179="",0,1))=0,"",(Weights!$C$5*IF(BA179="",0,BA179)+Weights!$C$6*IF(AW179="",0,AW179)+Weights!$C$7*IF(AU179="",0,AU179))/(Weights!$C$5*IF(BA179="",0,1)+Weights!$C$6*IF(AW179="",0,1)+Weights!$C$7*IF(AU179="",0,1)))</x:f>
      </x:c>
      <x:c r="BR179" s="10">
        <x:f>IF((Weights!$C$8*IF(AW179="",0,1)+Weights!$C$9*IF(BC179="",0,1)+Weights!$C$10*IF(BF179="",0,1))=0,"",(Weights!$C$8*IF(AW179="",0,AW179)+Weights!$C$9*IF(BC179="",0,BC179)+Weights!$C$10*IF(BF179="",0,BF179))/(Weights!$C$8*IF(AW179="",0,1)+Weights!$C$9*IF(BC179="",0,1)+Weights!$C$10*IF(BF179="",0,1)))</x:f>
      </x:c>
      <x:c r="BS179" s="10">
        <x:f>IF(Y179="","",Y179)</x:f>
      </x:c>
      <x:c r="BT179" s="10">
        <x:f>IF(AS179="","",AS179)</x:f>
      </x:c>
      <x:c r="BU179" s="10">
        <x:f>IF(AJ179&lt;&gt;"",(0.6*AJ179+0.4*AU179),IF((Weights!$C$11*IF(AU179="",0,1)+Weights!$C$12*IF(BM179="",0,1))=0,"",(Weights!$C$11*IF(AU179="",0,AU179)+Weights!$C$12*IF(BM179="",0,BM179))/(Weights!$C$11*IF(AU179="",0,1)+Weights!$C$12*IF(BM179="",0,1))))</x:f>
      </x:c>
      <x:c r="BV179" s="10">
        <x:f>IF(CG179="",0,CG179)</x:f>
      </x:c>
      <x:c r="BW179" s="10">
        <x:f>IF(AP179="","",AP179)</x:f>
      </x:c>
      <x:c r="BX179" s="10">
        <x:f>IF(AO179="","",AO179)</x:f>
      </x:c>
      <x:c r="BY179" s="10">
        <x:f>IF(AL179="","",AL179)</x:f>
      </x:c>
      <x:c r="BZ179" s="10">
        <x:f>IF(AM179="","",AM179)</x:f>
      </x:c>
      <x:c r="CA179" s="10">
        <x:f>IF(AK179&lt;&gt;"",AK179,AW179)</x:f>
      </x:c>
      <x:c r="CB179" s="10">
        <x:f>IF((Weights!$C$13*IF(BP179="",0,1)+Weights!$C$14*IF(BR179="",0,1)+Weights!$C$15*IF(BQ179="",0,1)+Weights!$C$16*IF(BS179="",0,1)+Weights!$C$17*IF(BU179="",0,1)+Weights!$C$18*IF(BT179="",0,1)+Weights!$C$19*IF(BW179="",0,1)+Weights!$C$20*IF(BZ179="",0,1)+Weights!$C$21*IF(BO179="",0,1)+Weights!$C$22)=0,"",(Weights!$C$13*IF(BP179="",0,BP179)+Weights!$C$14*IF(BR179="",0,BR179)+Weights!$C$15*IF(BQ179="",0,BQ179)+Weights!$C$16*IF(BS179="",0,BS179)+Weights!$C$17*IF(BU179="",0,BU179)+Weights!$C$18*IF(BT179="",0,BT179)+Weights!$C$19*IF(BW179="",0,BW179)+Weights!$C$20*IF(BZ179="",0,BZ179)+Weights!$C$21*IF(BO179="",0,BO179)+Weights!$C$22*BV179)/(Weights!$C$13*IF(BP179="",0,1)+Weights!$C$14*IF(BR179="",0,1)+Weights!$C$15*IF(BQ179="",0,1)+Weights!$C$16*IF(BS179="",0,1)+Weights!$C$17*IF(BU179="",0,1)+Weights!$C$18*IF(BT179="",0,1)+Weights!$C$19*IF(BW179="",0,1)+Weights!$C$20*IF(BZ179="",0,1)+Weights!$C$21*IF(BO179="",0,1)+Weights!$C$22))</x:f>
      </x:c>
      <x:c r="CC179" s="10">
        <x:f>IF((Weights!$C$23*IF(BQ179="",0,1)+Weights!$C$24*IF(BN179="",0,1)+Weights!$C$25*IF(BS179="",0,1)+Weights!$C$26*IF(BY179="",0,1)+Weights!$C$27*IF(BX179="",0,1)+Weights!$C$28*IF(BT179="",0,1)+Weights!$C$29*IF(CA179="",0,1)+Weights!$C$30+Weights!$C$31*IF(BU179="",0,1))=0,"",(Weights!$C$23*IF(BQ179="",0,BQ179)+Weights!$C$24*IF(BN179="",0,BN179)+Weights!$C$25*IF(BS179="",0,BS179)+Weights!$C$26*IF(BY179="",0,BY179)+Weights!$C$27*IF(BX179="",0,BX179)+Weights!$C$28*IF(BT179="",0,BT179)+Weights!$C$29*IF(CA179="",0,CA179)+Weights!$C$30*BV179+Weights!$C$31*IF(BU179="",0,BU179))/(Weights!$C$23*IF(BQ179="",0,1)+Weights!$C$24*IF(BN179="",0,1)+Weights!$C$25*IF(BS179="",0,1)+Weights!$C$26*IF(BY179="",0,1)+Weights!$C$27*IF(BX179="",0,1)+Weights!$C$28*IF(BT179="",0,1)+Weights!$C$29*IF(CA179="",0,1)+Weights!$C$30+Weights!$C$31*IF(BU179="",0,1)))</x:f>
      </x:c>
      <x:c r="CD179" s="10">
        <x:f>IF(AND(CB179="",CC179=""),"",IF(CB179="",CC179,IF(CC179="",CB179,AVERAGE(CB179,CC179))))</x:f>
      </x:c>
      <x:c r="CE179" s="7">
        <x:f>ROUND(100*((IF(BP179&lt;&gt;"",1,0)+IF(BQ179&lt;&gt;"",1,0)+IF(BR179&lt;&gt;"",1,0)+IF(BS179&lt;&gt;"",1,0)+IF(BU179&lt;&gt;"",1,0)+IF(BT179&lt;&gt;"",1,0)+IF(BN179&lt;&gt;"",1,0)+IF(AW179&lt;&gt;"",1,0))/8),0)</x:f>
      </x:c>
      <x:c r="CF179">
        <x:f>IF(V179="","",LOG10(V179+1))</x:f>
      </x:c>
      <x:c r="CG179">
        <x:f>IF(CF179="","",IF(MAX($CF$2:$CF$252)-MIN($CF$2:$CF$252)=0,"",(CF179-MIN($CF$2:$CF$252))/(MAX($CF$2:$CF$252)-MIN($CF$2:$CF$252))*100))</x:f>
      </x:c>
    </x:row>
    <x:row r="180">
      <x:c r="A180" t="inlineStr">
        <x:is>
          <x:t xml:space="preserve">POL</x:t>
        </x:is>
      </x:c>
      <x:c r="B180" t="inlineStr">
        <x:is>
          <x:t xml:space="preserve">Poland</x:t>
        </x:is>
      </x:c>
      <x:c r="C180" t="inlineStr">
        <x:is>
          <x:t xml:space="preserve">Europe &amp; Central Asia</x:t>
        </x:is>
      </x:c>
      <x:c r="D180" t="inlineStr">
        <x:is>
          <x:t xml:space="preserve">High income</x:t>
        </x:is>
      </x:c>
      <x:c r="E180" t="inlineStr">
        <x:is>
          <x:t xml:space="preserve">Europe</x:t>
        </x:is>
      </x:c>
      <x:c r="F180" t="n">
        <x:v>2024</x:v>
      </x:c>
      <x:c r="G180" t="n">
        <x:v>36559233</x:v>
      </x:c>
      <x:c r="H180" t="n">
        <x:v>2020</x:v>
      </x:c>
      <x:c r="I180" t="n">
        <x:v>189000</x:v>
      </x:c>
      <x:c r="J180" t="n">
        <x:v>122850</x:v>
      </x:c>
      <x:c r="K180" t="n">
        <x:v>37800</x:v>
      </x:c>
      <x:c r="L180" t="n">
        <x:v>22680</x:v>
      </x:c>
      <x:c r="M180" t="n">
        <x:v>2024</x:v>
      </x:c>
      <x:c r="N180" s="8" t="n">
        <x:v>38000728652.37</x:v>
      </x:c>
      <x:c r="O180" s="9" t="n">
        <x:v>4.15439387975356</x:v>
      </x:c>
      <x:c r="P180" s="8" t="n">
        <x:v>201062.056361746</x:v>
      </x:c>
      <x:c r="Q180" t="n">
        <x:v>2024</x:v>
      </x:c>
      <x:c r="R180" s="8" t="n">
        <x:v>917767106146.762</x:v>
      </x:c>
      <x:c r="S180" t="n">
        <x:v>7</x:v>
      </x:c>
      <x:c r="T180" t="n">
        <x:v>0</x:v>
      </x:c>
      <x:c r="U180" t="inlineStr">
        <x:is>
          <x:t xml:space="preserve">No</x:t>
        </x:is>
      </x:c>
      <x:c r="W180" t="inlineStr">
        <x:is>
          <x:t xml:space="preserve">No</x:t>
        </x:is>
      </x:c>
      <x:c r="X180" t="n">
        <x:v>6.602238187914376</x:v>
      </x:c>
      <x:c r="Y180" t="n">
        <x:v>72.50045307592646</x:v>
      </x:c>
      <x:c r="Z180" t="n">
        <x:v>310402.3329867293</x:v>
      </x:c>
      <x:c r="AA180" t="n">
        <x:v>123.9561205284014</x:v>
      </x:c>
      <x:c r="AB180" s="8" t="n">
        <x:v>27341.52835868779</x:v>
      </x:c>
      <x:c r="AC180" t="n">
        <x:v>45</x:v>
      </x:c>
      <x:c r="AD180" t="n">
        <x:v>0</x:v>
      </x:c>
      <x:c r="AE180" t="n">
        <x:v>0</x:v>
      </x:c>
      <x:c r="AF180" t="n">
        <x:v>17.1</x:v>
      </x:c>
      <x:c r="AG180" t="n">
        <x:v>37</x:v>
      </x:c>
      <x:c r="AH180" t="n">
        <x:v>34</x:v>
      </x:c>
      <x:c r="AR180">
        <x:f>IF(G180="","",LOG10(G180+1))</x:f>
      </x:c>
      <x:c r="AS180" s="10">
        <x:f>IF(AR180="","",IF(MAX($AR$2:$AR$252)-MIN($AR$2:$AR$252)=0,"",(AR180-MIN($AR$2:$AR$252))/(MAX($AR$2:$AR$252)-MIN($AR$2:$AR$252))*100))</x:f>
      </x:c>
      <x:c r="AT180">
        <x:f>IF(R180="","",LOG10(R180+1))</x:f>
      </x:c>
      <x:c r="AU180" s="10">
        <x:f>IF(AT180="","",IF(MAX($AT$2:$AT$252)-MIN($AT$2:$AT$252)=0,"",(AT180-MIN($AT$2:$AT$252))/(MAX($AT$2:$AT$252)-MIN($AT$2:$AT$252))*100))</x:f>
      </x:c>
      <x:c r="AV180">
        <x:f>IF(N180="","",LOG10(N180+1))</x:f>
      </x:c>
      <x:c r="AW180" s="10">
        <x:f>IF(AV180="","",IF(MAX($AV$2:$AV$252)-MIN($AV$2:$AV$252)=0,"",(AV180-MIN($AV$2:$AV$252))/(MAX($AV$2:$AV$252)-MIN($AV$2:$AV$252))*100))</x:f>
      </x:c>
      <x:c r="AX180">
        <x:f>IF(I180="","",LOG10(I180+1))</x:f>
      </x:c>
      <x:c r="AY180" s="10">
        <x:f>IF(AX180="","",IF(MAX($AX$2:$AX$252)-MIN($AX$2:$AX$252)=0,"",(AX180-MIN($AX$2:$AX$252))/(MAX($AX$2:$AX$252)-MIN($AX$2:$AX$252))*100))</x:f>
      </x:c>
      <x:c r="AZ180">
        <x:f>IF(J180="","",LOG10(J180+1))</x:f>
      </x:c>
      <x:c r="BA180" s="10">
        <x:f>IF(AZ180="","",IF(MAX($AZ$2:$AZ$252)-MIN($AZ$2:$AZ$252)=0,"",(AZ180-MIN($AZ$2:$AZ$252))/(MAX($AZ$2:$AZ$252)-MIN($AZ$2:$AZ$252))*100))</x:f>
      </x:c>
      <x:c r="BB180">
        <x:f>IF(K180="","",LOG10(K180+1))</x:f>
      </x:c>
      <x:c r="BC180" s="10">
        <x:f>IF(BB180="","",IF(MAX($BB$2:$BB$252)-MIN($BB$2:$BB$252)=0,"",(BB180-MIN($BB$2:$BB$252))/(MAX($BB$2:$BB$252)-MIN($BB$2:$BB$252))*100))</x:f>
      </x:c>
      <x:c r="BD180">
        <x:f>IF(L180="","",LOG10(L180+1))</x:f>
      </x:c>
      <x:c r="BE180" s="10">
        <x:f>IF(BD180="","",IF(MAX($BD$2:$BD$252)-MIN($BD$2:$BD$252)=0,"",(BD180-MIN($BD$2:$BD$252))/(MAX($BD$2:$BD$252)-MIN($BD$2:$BD$252))*100))</x:f>
      </x:c>
      <x:c r="BF180" s="10">
        <x:f>IF(P180="","",IF(MAX($P$2:$P$252)-MIN($P$2:$P$252)=0,"",(P180-MIN($P$2:$P$252))/(MAX($P$2:$P$252)-MIN($P$2:$P$252))*100))</x:f>
      </x:c>
      <x:c r="BG180">
        <x:f>IF(AF180="","",LOG10(AF180+1))</x:f>
      </x:c>
      <x:c r="BH180" s="10">
        <x:f>IF(BG180="","",IF(MAX($BG$2:$BG$252)-MIN($BG$2:$BG$252)=0,"",(BG180-MIN($BG$2:$BG$252))/(MAX($BG$2:$BG$252)-MIN($BG$2:$BG$252))*100))</x:f>
      </x:c>
      <x:c r="BI180">
        <x:f>IF(AC180="","",LOG10(AC180+1))</x:f>
      </x:c>
      <x:c r="BJ180" s="10">
        <x:f>IF(BI180="","",IF(MAX($BI$2:$BI$252)-MIN($BI$2:$BI$252)=0,"",(BI180-MIN($BI$2:$BI$252))/(MAX($BI$2:$BI$252)-MIN($BI$2:$BI$252))*100))</x:f>
      </x:c>
      <x:c r="BK180">
        <x:f>IF(AD180="","",(AD180*2)+(AE180*1))</x:f>
      </x:c>
      <x:c r="BL180" s="10">
        <x:f>IF(BK180="","",IF(MAX($BK$2:$BK$252)-MIN($BK$2:$BK$252)=0,"",(BK180-MIN($BK$2:$BK$252))/(MAX($BK$2:$BK$252)-MIN($BK$2:$BK$252))*100))</x:f>
      </x:c>
      <x:c r="BM180" s="10">
        <x:f>IF(AB180="","",IF(MAX($AB$2:$AB$252)-MIN($AB$2:$AB$252)=0,"",(AB180-MIN($AB$2:$AB$252))/(MAX($AB$2:$AB$252)-MIN($AB$2:$AB$252))*100))</x:f>
      </x:c>
      <x:c r="BN180" s="10">
        <x:f>IF(X180="","",X180)</x:f>
      </x:c>
      <x:c r="BO180" s="10">
        <x:f>IF(X180="","",100-X180)</x:f>
      </x:c>
      <x:c r="BP180" s="10">
        <x:f>IF((Weights!$C$2*IF(BH180="",0,1)+Weights!$C$3*IF(BJ180="",0,1)+Weights!$C$4*IF(BL180="",0,1))=0,"",(Weights!$C$2*IF(BH180="",0,BH180)+Weights!$C$3*IF(BJ180="",0,BJ180)+Weights!$C$4*IF(BL180="",0,BL180))/(Weights!$C$2*IF(BH180="",0,1)+Weights!$C$3*IF(BJ180="",0,1)+Weights!$C$4*IF(BL180="",0,1)))</x:f>
      </x:c>
      <x:c r="BQ180" s="10">
        <x:f>IF((Weights!$C$5*IF(BA180="",0,1)+Weights!$C$6*IF(AW180="",0,1)+Weights!$C$7*IF(AU180="",0,1))=0,"",(Weights!$C$5*IF(BA180="",0,BA180)+Weights!$C$6*IF(AW180="",0,AW180)+Weights!$C$7*IF(AU180="",0,AU180))/(Weights!$C$5*IF(BA180="",0,1)+Weights!$C$6*IF(AW180="",0,1)+Weights!$C$7*IF(AU180="",0,1)))</x:f>
      </x:c>
      <x:c r="BR180" s="10">
        <x:f>IF((Weights!$C$8*IF(AW180="",0,1)+Weights!$C$9*IF(BC180="",0,1)+Weights!$C$10*IF(BF180="",0,1))=0,"",(Weights!$C$8*IF(AW180="",0,AW180)+Weights!$C$9*IF(BC180="",0,BC180)+Weights!$C$10*IF(BF180="",0,BF180))/(Weights!$C$8*IF(AW180="",0,1)+Weights!$C$9*IF(BC180="",0,1)+Weights!$C$10*IF(BF180="",0,1)))</x:f>
      </x:c>
      <x:c r="BS180" s="10">
        <x:f>IF(Y180="","",Y180)</x:f>
      </x:c>
      <x:c r="BT180" s="10">
        <x:f>IF(AS180="","",AS180)</x:f>
      </x:c>
      <x:c r="BU180" s="10">
        <x:f>IF(AJ180&lt;&gt;"",(0.6*AJ180+0.4*AU180),IF((Weights!$C$11*IF(AU180="",0,1)+Weights!$C$12*IF(BM180="",0,1))=0,"",(Weights!$C$11*IF(AU180="",0,AU180)+Weights!$C$12*IF(BM180="",0,BM180))/(Weights!$C$11*IF(AU180="",0,1)+Weights!$C$12*IF(BM180="",0,1))))</x:f>
      </x:c>
      <x:c r="BV180" s="10">
        <x:f>IF(CG180="",0,CG180)</x:f>
      </x:c>
      <x:c r="BW180" s="10">
        <x:f>IF(AP180="","",AP180)</x:f>
      </x:c>
      <x:c r="BX180" s="10">
        <x:f>IF(AO180="","",AO180)</x:f>
      </x:c>
      <x:c r="BY180" s="10">
        <x:f>IF(AL180="","",AL180)</x:f>
      </x:c>
      <x:c r="BZ180" s="10">
        <x:f>IF(AM180="","",AM180)</x:f>
      </x:c>
      <x:c r="CA180" s="10">
        <x:f>IF(AK180&lt;&gt;"",AK180,AW180)</x:f>
      </x:c>
      <x:c r="CB180" s="10">
        <x:f>IF((Weights!$C$13*IF(BP180="",0,1)+Weights!$C$14*IF(BR180="",0,1)+Weights!$C$15*IF(BQ180="",0,1)+Weights!$C$16*IF(BS180="",0,1)+Weights!$C$17*IF(BU180="",0,1)+Weights!$C$18*IF(BT180="",0,1)+Weights!$C$19*IF(BW180="",0,1)+Weights!$C$20*IF(BZ180="",0,1)+Weights!$C$21*IF(BO180="",0,1)+Weights!$C$22)=0,"",(Weights!$C$13*IF(BP180="",0,BP180)+Weights!$C$14*IF(BR180="",0,BR180)+Weights!$C$15*IF(BQ180="",0,BQ180)+Weights!$C$16*IF(BS180="",0,BS180)+Weights!$C$17*IF(BU180="",0,BU180)+Weights!$C$18*IF(BT180="",0,BT180)+Weights!$C$19*IF(BW180="",0,BW180)+Weights!$C$20*IF(BZ180="",0,BZ180)+Weights!$C$21*IF(BO180="",0,BO180)+Weights!$C$22*BV180)/(Weights!$C$13*IF(BP180="",0,1)+Weights!$C$14*IF(BR180="",0,1)+Weights!$C$15*IF(BQ180="",0,1)+Weights!$C$16*IF(BS180="",0,1)+Weights!$C$17*IF(BU180="",0,1)+Weights!$C$18*IF(BT180="",0,1)+Weights!$C$19*IF(BW180="",0,1)+Weights!$C$20*IF(BZ180="",0,1)+Weights!$C$21*IF(BO180="",0,1)+Weights!$C$22))</x:f>
      </x:c>
      <x:c r="CC180" s="10">
        <x:f>IF((Weights!$C$23*IF(BQ180="",0,1)+Weights!$C$24*IF(BN180="",0,1)+Weights!$C$25*IF(BS180="",0,1)+Weights!$C$26*IF(BY180="",0,1)+Weights!$C$27*IF(BX180="",0,1)+Weights!$C$28*IF(BT180="",0,1)+Weights!$C$29*IF(CA180="",0,1)+Weights!$C$30+Weights!$C$31*IF(BU180="",0,1))=0,"",(Weights!$C$23*IF(BQ180="",0,BQ180)+Weights!$C$24*IF(BN180="",0,BN180)+Weights!$C$25*IF(BS180="",0,BS180)+Weights!$C$26*IF(BY180="",0,BY180)+Weights!$C$27*IF(BX180="",0,BX180)+Weights!$C$28*IF(BT180="",0,BT180)+Weights!$C$29*IF(CA180="",0,CA180)+Weights!$C$30*BV180+Weights!$C$31*IF(BU180="",0,BU180))/(Weights!$C$23*IF(BQ180="",0,1)+Weights!$C$24*IF(BN180="",0,1)+Weights!$C$25*IF(BS180="",0,1)+Weights!$C$26*IF(BY180="",0,1)+Weights!$C$27*IF(BX180="",0,1)+Weights!$C$28*IF(BT180="",0,1)+Weights!$C$29*IF(CA180="",0,1)+Weights!$C$30+Weights!$C$31*IF(BU180="",0,1)))</x:f>
      </x:c>
      <x:c r="CD180" s="10">
        <x:f>IF(AND(CB180="",CC180=""),"",IF(CB180="",CC180,IF(CC180="",CB180,AVERAGE(CB180,CC180))))</x:f>
      </x:c>
      <x:c r="CE180" s="7">
        <x:f>ROUND(100*((IF(BP180&lt;&gt;"",1,0)+IF(BQ180&lt;&gt;"",1,0)+IF(BR180&lt;&gt;"",1,0)+IF(BS180&lt;&gt;"",1,0)+IF(BU180&lt;&gt;"",1,0)+IF(BT180&lt;&gt;"",1,0)+IF(BN180&lt;&gt;"",1,0)+IF(AW180&lt;&gt;"",1,0))/8),0)</x:f>
      </x:c>
      <x:c r="CF180">
        <x:f>IF(V180="","",LOG10(V180+1))</x:f>
      </x:c>
      <x:c r="CG180">
        <x:f>IF(CF180="","",IF(MAX($CF$2:$CF$252)-MIN($CF$2:$CF$252)=0,"",(CF180-MIN($CF$2:$CF$252))/(MAX($CF$2:$CF$252)-MIN($CF$2:$CF$252))*100))</x:f>
      </x:c>
    </x:row>
    <x:row r="181">
      <x:c r="A181" t="inlineStr">
        <x:is>
          <x:t xml:space="preserve">SMR</x:t>
        </x:is>
      </x:c>
      <x:c r="B181" t="inlineStr">
        <x:is>
          <x:t xml:space="preserve">San Marino</x:t>
        </x:is>
      </x:c>
      <x:c r="C181" t="inlineStr">
        <x:is>
          <x:t xml:space="preserve">Europe &amp; Central Asia</x:t>
        </x:is>
      </x:c>
      <x:c r="D181" t="inlineStr">
        <x:is>
          <x:t xml:space="preserve">High income</x:t>
        </x:is>
      </x:c>
      <x:c r="F181" t="n">
        <x:v>2024</x:v>
      </x:c>
      <x:c r="G181" t="n">
        <x:v>33977</x:v>
      </x:c>
      <x:c r="N181" s="8" t="n"/>
      <x:c r="O181" s="9" t="n"/>
      <x:c r="P181" s="8" t="n"/>
      <x:c r="Q181" t="n">
        <x:v>2023</x:v>
      </x:c>
      <x:c r="R181" s="8" t="n">
        <x:v>2027527227.831</x:v>
      </x:c>
      <x:c r="S181" t="n">
        <x:v>0</x:v>
      </x:c>
      <x:c r="T181" t="n">
        <x:v>0</x:v>
      </x:c>
      <x:c r="U181" t="inlineStr">
        <x:is>
          <x:t xml:space="preserve">No</x:t>
        </x:is>
      </x:c>
      <x:c r="W181" t="inlineStr">
        <x:is>
          <x:t xml:space="preserve">No</x:t>
        </x:is>
      </x:c>
      <x:c r="AB181" s="8" t="n"/>
      <x:c r="AR181">
        <x:f>IF(G181="","",LOG10(G181+1))</x:f>
      </x:c>
      <x:c r="AS181" s="10">
        <x:f>IF(AR181="","",IF(MAX($AR$2:$AR$252)-MIN($AR$2:$AR$252)=0,"",(AR181-MIN($AR$2:$AR$252))/(MAX($AR$2:$AR$252)-MIN($AR$2:$AR$252))*100))</x:f>
      </x:c>
      <x:c r="AT181">
        <x:f>IF(R181="","",LOG10(R181+1))</x:f>
      </x:c>
      <x:c r="AU181" s="10">
        <x:f>IF(AT181="","",IF(MAX($AT$2:$AT$252)-MIN($AT$2:$AT$252)=0,"",(AT181-MIN($AT$2:$AT$252))/(MAX($AT$2:$AT$252)-MIN($AT$2:$AT$252))*100))</x:f>
      </x:c>
      <x:c r="AV181">
        <x:f>IF(N181="","",LOG10(N181+1))</x:f>
      </x:c>
      <x:c r="AW181" s="10">
        <x:f>IF(AV181="","",IF(MAX($AV$2:$AV$252)-MIN($AV$2:$AV$252)=0,"",(AV181-MIN($AV$2:$AV$252))/(MAX($AV$2:$AV$252)-MIN($AV$2:$AV$252))*100))</x:f>
      </x:c>
      <x:c r="AX181">
        <x:f>IF(I181="","",LOG10(I181+1))</x:f>
      </x:c>
      <x:c r="AY181" s="10">
        <x:f>IF(AX181="","",IF(MAX($AX$2:$AX$252)-MIN($AX$2:$AX$252)=0,"",(AX181-MIN($AX$2:$AX$252))/(MAX($AX$2:$AX$252)-MIN($AX$2:$AX$252))*100))</x:f>
      </x:c>
      <x:c r="AZ181">
        <x:f>IF(J181="","",LOG10(J181+1))</x:f>
      </x:c>
      <x:c r="BA181" s="10">
        <x:f>IF(AZ181="","",IF(MAX($AZ$2:$AZ$252)-MIN($AZ$2:$AZ$252)=0,"",(AZ181-MIN($AZ$2:$AZ$252))/(MAX($AZ$2:$AZ$252)-MIN($AZ$2:$AZ$252))*100))</x:f>
      </x:c>
      <x:c r="BB181">
        <x:f>IF(K181="","",LOG10(K181+1))</x:f>
      </x:c>
      <x:c r="BC181" s="10">
        <x:f>IF(BB181="","",IF(MAX($BB$2:$BB$252)-MIN($BB$2:$BB$252)=0,"",(BB181-MIN($BB$2:$BB$252))/(MAX($BB$2:$BB$252)-MIN($BB$2:$BB$252))*100))</x:f>
      </x:c>
      <x:c r="BD181">
        <x:f>IF(L181="","",LOG10(L181+1))</x:f>
      </x:c>
      <x:c r="BE181" s="10">
        <x:f>IF(BD181="","",IF(MAX($BD$2:$BD$252)-MIN($BD$2:$BD$252)=0,"",(BD181-MIN($BD$2:$BD$252))/(MAX($BD$2:$BD$252)-MIN($BD$2:$BD$252))*100))</x:f>
      </x:c>
      <x:c r="BF181" s="10">
        <x:f>IF(P181="","",IF(MAX($P$2:$P$252)-MIN($P$2:$P$252)=0,"",(P181-MIN($P$2:$P$252))/(MAX($P$2:$P$252)-MIN($P$2:$P$252))*100))</x:f>
      </x:c>
      <x:c r="BG181">
        <x:f>IF(AF181="","",LOG10(AF181+1))</x:f>
      </x:c>
      <x:c r="BH181" s="10">
        <x:f>IF(BG181="","",IF(MAX($BG$2:$BG$252)-MIN($BG$2:$BG$252)=0,"",(BG181-MIN($BG$2:$BG$252))/(MAX($BG$2:$BG$252)-MIN($BG$2:$BG$252))*100))</x:f>
      </x:c>
      <x:c r="BI181">
        <x:f>IF(AC181="","",LOG10(AC181+1))</x:f>
      </x:c>
      <x:c r="BJ181" s="10">
        <x:f>IF(BI181="","",IF(MAX($BI$2:$BI$252)-MIN($BI$2:$BI$252)=0,"",(BI181-MIN($BI$2:$BI$252))/(MAX($BI$2:$BI$252)-MIN($BI$2:$BI$252))*100))</x:f>
      </x:c>
      <x:c r="BK181">
        <x:f>IF(AD181="","",(AD181*2)+(AE181*1))</x:f>
      </x:c>
      <x:c r="BL181" s="10">
        <x:f>IF(BK181="","",IF(MAX($BK$2:$BK$252)-MIN($BK$2:$BK$252)=0,"",(BK181-MIN($BK$2:$BK$252))/(MAX($BK$2:$BK$252)-MIN($BK$2:$BK$252))*100))</x:f>
      </x:c>
      <x:c r="BM181" s="10">
        <x:f>IF(AB181="","",IF(MAX($AB$2:$AB$252)-MIN($AB$2:$AB$252)=0,"",(AB181-MIN($AB$2:$AB$252))/(MAX($AB$2:$AB$252)-MIN($AB$2:$AB$252))*100))</x:f>
      </x:c>
      <x:c r="BN181" s="10">
        <x:f>IF(X181="","",X181)</x:f>
      </x:c>
      <x:c r="BO181" s="10">
        <x:f>IF(X181="","",100-X181)</x:f>
      </x:c>
      <x:c r="BP181" s="10">
        <x:f>IF((Weights!$C$2*IF(BH181="",0,1)+Weights!$C$3*IF(BJ181="",0,1)+Weights!$C$4*IF(BL181="",0,1))=0,"",(Weights!$C$2*IF(BH181="",0,BH181)+Weights!$C$3*IF(BJ181="",0,BJ181)+Weights!$C$4*IF(BL181="",0,BL181))/(Weights!$C$2*IF(BH181="",0,1)+Weights!$C$3*IF(BJ181="",0,1)+Weights!$C$4*IF(BL181="",0,1)))</x:f>
      </x:c>
      <x:c r="BQ181" s="10">
        <x:f>IF((Weights!$C$5*IF(BA181="",0,1)+Weights!$C$6*IF(AW181="",0,1)+Weights!$C$7*IF(AU181="",0,1))=0,"",(Weights!$C$5*IF(BA181="",0,BA181)+Weights!$C$6*IF(AW181="",0,AW181)+Weights!$C$7*IF(AU181="",0,AU181))/(Weights!$C$5*IF(BA181="",0,1)+Weights!$C$6*IF(AW181="",0,1)+Weights!$C$7*IF(AU181="",0,1)))</x:f>
      </x:c>
      <x:c r="BR181" s="10">
        <x:f>IF((Weights!$C$8*IF(AW181="",0,1)+Weights!$C$9*IF(BC181="",0,1)+Weights!$C$10*IF(BF181="",0,1))=0,"",(Weights!$C$8*IF(AW181="",0,AW181)+Weights!$C$9*IF(BC181="",0,BC181)+Weights!$C$10*IF(BF181="",0,BF181))/(Weights!$C$8*IF(AW181="",0,1)+Weights!$C$9*IF(BC181="",0,1)+Weights!$C$10*IF(BF181="",0,1)))</x:f>
      </x:c>
      <x:c r="BS181" s="10">
        <x:f>IF(Y181="","",Y181)</x:f>
      </x:c>
      <x:c r="BT181" s="10">
        <x:f>IF(AS181="","",AS181)</x:f>
      </x:c>
      <x:c r="BU181" s="10">
        <x:f>IF(AJ181&lt;&gt;"",(0.6*AJ181+0.4*AU181),IF((Weights!$C$11*IF(AU181="",0,1)+Weights!$C$12*IF(BM181="",0,1))=0,"",(Weights!$C$11*IF(AU181="",0,AU181)+Weights!$C$12*IF(BM181="",0,BM181))/(Weights!$C$11*IF(AU181="",0,1)+Weights!$C$12*IF(BM181="",0,1))))</x:f>
      </x:c>
      <x:c r="BV181" s="10">
        <x:f>IF(CG181="",0,CG181)</x:f>
      </x:c>
      <x:c r="BW181" s="10">
        <x:f>IF(AP181="","",AP181)</x:f>
      </x:c>
      <x:c r="BX181" s="10">
        <x:f>IF(AO181="","",AO181)</x:f>
      </x:c>
      <x:c r="BY181" s="10">
        <x:f>IF(AL181="","",AL181)</x:f>
      </x:c>
      <x:c r="BZ181" s="10">
        <x:f>IF(AM181="","",AM181)</x:f>
      </x:c>
      <x:c r="CA181" s="10">
        <x:f>IF(AK181&lt;&gt;"",AK181,AW181)</x:f>
      </x:c>
      <x:c r="CB181" s="10">
        <x:f>IF((Weights!$C$13*IF(BP181="",0,1)+Weights!$C$14*IF(BR181="",0,1)+Weights!$C$15*IF(BQ181="",0,1)+Weights!$C$16*IF(BS181="",0,1)+Weights!$C$17*IF(BU181="",0,1)+Weights!$C$18*IF(BT181="",0,1)+Weights!$C$19*IF(BW181="",0,1)+Weights!$C$20*IF(BZ181="",0,1)+Weights!$C$21*IF(BO181="",0,1)+Weights!$C$22)=0,"",(Weights!$C$13*IF(BP181="",0,BP181)+Weights!$C$14*IF(BR181="",0,BR181)+Weights!$C$15*IF(BQ181="",0,BQ181)+Weights!$C$16*IF(BS181="",0,BS181)+Weights!$C$17*IF(BU181="",0,BU181)+Weights!$C$18*IF(BT181="",0,BT181)+Weights!$C$19*IF(BW181="",0,BW181)+Weights!$C$20*IF(BZ181="",0,BZ181)+Weights!$C$21*IF(BO181="",0,BO181)+Weights!$C$22*BV181)/(Weights!$C$13*IF(BP181="",0,1)+Weights!$C$14*IF(BR181="",0,1)+Weights!$C$15*IF(BQ181="",0,1)+Weights!$C$16*IF(BS181="",0,1)+Weights!$C$17*IF(BU181="",0,1)+Weights!$C$18*IF(BT181="",0,1)+Weights!$C$19*IF(BW181="",0,1)+Weights!$C$20*IF(BZ181="",0,1)+Weights!$C$21*IF(BO181="",0,1)+Weights!$C$22))</x:f>
      </x:c>
      <x:c r="CC181" s="10">
        <x:f>IF((Weights!$C$23*IF(BQ181="",0,1)+Weights!$C$24*IF(BN181="",0,1)+Weights!$C$25*IF(BS181="",0,1)+Weights!$C$26*IF(BY181="",0,1)+Weights!$C$27*IF(BX181="",0,1)+Weights!$C$28*IF(BT181="",0,1)+Weights!$C$29*IF(CA181="",0,1)+Weights!$C$30+Weights!$C$31*IF(BU181="",0,1))=0,"",(Weights!$C$23*IF(BQ181="",0,BQ181)+Weights!$C$24*IF(BN181="",0,BN181)+Weights!$C$25*IF(BS181="",0,BS181)+Weights!$C$26*IF(BY181="",0,BY181)+Weights!$C$27*IF(BX181="",0,BX181)+Weights!$C$28*IF(BT181="",0,BT181)+Weights!$C$29*IF(CA181="",0,CA181)+Weights!$C$30*BV181+Weights!$C$31*IF(BU181="",0,BU181))/(Weights!$C$23*IF(BQ181="",0,1)+Weights!$C$24*IF(BN181="",0,1)+Weights!$C$25*IF(BS181="",0,1)+Weights!$C$26*IF(BY181="",0,1)+Weights!$C$27*IF(BX181="",0,1)+Weights!$C$28*IF(BT181="",0,1)+Weights!$C$29*IF(CA181="",0,1)+Weights!$C$30+Weights!$C$31*IF(BU181="",0,1)))</x:f>
      </x:c>
      <x:c r="CD181" s="10">
        <x:f>IF(AND(CB181="",CC181=""),"",IF(CB181="",CC181,IF(CC181="",CB181,AVERAGE(CB181,CC181))))</x:f>
      </x:c>
      <x:c r="CE181" s="7">
        <x:f>ROUND(100*((IF(BP181&lt;&gt;"",1,0)+IF(BQ181&lt;&gt;"",1,0)+IF(BR181&lt;&gt;"",1,0)+IF(BS181&lt;&gt;"",1,0)+IF(BU181&lt;&gt;"",1,0)+IF(BT181&lt;&gt;"",1,0)+IF(BN181&lt;&gt;"",1,0)+IF(AW181&lt;&gt;"",1,0))/8),0)</x:f>
      </x:c>
      <x:c r="CF181">
        <x:f>IF(V181="","",LOG10(V181+1))</x:f>
      </x:c>
      <x:c r="CG181">
        <x:f>IF(CF181="","",IF(MAX($CF$2:$CF$252)-MIN($CF$2:$CF$252)=0,"",(CF181-MIN($CF$2:$CF$252))/(MAX($CF$2:$CF$252)-MIN($CF$2:$CF$252))*100))</x:f>
      </x:c>
    </x:row>
    <x:row r="182">
      <x:c r="A182" t="inlineStr">
        <x:is>
          <x:t xml:space="preserve">SEN</x:t>
        </x:is>
      </x:c>
      <x:c r="B182" t="inlineStr">
        <x:is>
          <x:t xml:space="preserve">Senegal</x:t>
        </x:is>
      </x:c>
      <x:c r="C182" t="inlineStr">
        <x:is>
          <x:t xml:space="preserve">Sub-Saharan Africa</x:t>
        </x:is>
      </x:c>
      <x:c r="D182" t="inlineStr">
        <x:is>
          <x:t xml:space="preserve">Lower middle income</x:t>
        </x:is>
      </x:c>
      <x:c r="E182" t="inlineStr">
        <x:is>
          <x:t xml:space="preserve">Africa</x:t>
        </x:is>
      </x:c>
      <x:c r="F182" t="n">
        <x:v>2024</x:v>
      </x:c>
      <x:c r="G182" t="n">
        <x:v>18501984</x:v>
      </x:c>
      <x:c r="H182" t="n">
        <x:v>2020</x:v>
      </x:c>
      <x:c r="I182" t="n">
        <x:v>19000</x:v>
      </x:c>
      <x:c r="J182" t="n">
        <x:v>12350</x:v>
      </x:c>
      <x:c r="K182" t="n">
        <x:v>3800</x:v>
      </x:c>
      <x:c r="L182" t="n">
        <x:v>2280</x:v>
      </x:c>
      <x:c r="M182" t="n">
        <x:v>2024</x:v>
      </x:c>
      <x:c r="N182" s="8" t="n">
        <x:v>514941285.308382</x:v>
      </x:c>
      <x:c r="O182" s="9" t="n">
        <x:v>1.56647768181405</x:v>
      </x:c>
      <x:c r="P182" s="8" t="n">
        <x:v>27102.17291096747</x:v>
      </x:c>
      <x:c r="Q182" t="n">
        <x:v>2024</x:v>
      </x:c>
      <x:c r="R182" s="8" t="n">
        <x:v>32808056600.9436</x:v>
      </x:c>
      <x:c r="S182" t="n">
        <x:v>0</x:v>
      </x:c>
      <x:c r="T182" t="n">
        <x:v>0</x:v>
      </x:c>
      <x:c r="U182" t="inlineStr">
        <x:is>
          <x:t xml:space="preserve">No</x:t>
        </x:is>
      </x:c>
      <x:c r="W182" t="inlineStr">
        <x:is>
          <x:t xml:space="preserve">No</x:t>
        </x:is>
      </x:c>
      <x:c r="X182" t="n">
        <x:v>21.96663555031201</x:v>
      </x:c>
      <x:c r="Y182" t="n">
        <x:v>35.5578163827424</x:v>
      </x:c>
      <x:c r="Z182" t="n">
        <x:v>194390.4388819229</x:v>
      </x:c>
      <x:c r="AA182" t="n">
        <x:v>75.45907136363834</x:v>
      </x:c>
      <x:c r="AB182" s="8" t="n">
        <x:v>2707.839276513339</x:v>
      </x:c>
      <x:c r="AC182" t="n">
        <x:v>4</x:v>
      </x:c>
      <x:c r="AD182" t="n">
        <x:v>0</x:v>
      </x:c>
      <x:c r="AE182" t="n">
        <x:v>0</x:v>
      </x:c>
      <x:c r="AR182">
        <x:f>IF(G182="","",LOG10(G182+1))</x:f>
      </x:c>
      <x:c r="AS182" s="10">
        <x:f>IF(AR182="","",IF(MAX($AR$2:$AR$252)-MIN($AR$2:$AR$252)=0,"",(AR182-MIN($AR$2:$AR$252))/(MAX($AR$2:$AR$252)-MIN($AR$2:$AR$252))*100))</x:f>
      </x:c>
      <x:c r="AT182">
        <x:f>IF(R182="","",LOG10(R182+1))</x:f>
      </x:c>
      <x:c r="AU182" s="10">
        <x:f>IF(AT182="","",IF(MAX($AT$2:$AT$252)-MIN($AT$2:$AT$252)=0,"",(AT182-MIN($AT$2:$AT$252))/(MAX($AT$2:$AT$252)-MIN($AT$2:$AT$252))*100))</x:f>
      </x:c>
      <x:c r="AV182">
        <x:f>IF(N182="","",LOG10(N182+1))</x:f>
      </x:c>
      <x:c r="AW182" s="10">
        <x:f>IF(AV182="","",IF(MAX($AV$2:$AV$252)-MIN($AV$2:$AV$252)=0,"",(AV182-MIN($AV$2:$AV$252))/(MAX($AV$2:$AV$252)-MIN($AV$2:$AV$252))*100))</x:f>
      </x:c>
      <x:c r="AX182">
        <x:f>IF(I182="","",LOG10(I182+1))</x:f>
      </x:c>
      <x:c r="AY182" s="10">
        <x:f>IF(AX182="","",IF(MAX($AX$2:$AX$252)-MIN($AX$2:$AX$252)=0,"",(AX182-MIN($AX$2:$AX$252))/(MAX($AX$2:$AX$252)-MIN($AX$2:$AX$252))*100))</x:f>
      </x:c>
      <x:c r="AZ182">
        <x:f>IF(J182="","",LOG10(J182+1))</x:f>
      </x:c>
      <x:c r="BA182" s="10">
        <x:f>IF(AZ182="","",IF(MAX($AZ$2:$AZ$252)-MIN($AZ$2:$AZ$252)=0,"",(AZ182-MIN($AZ$2:$AZ$252))/(MAX($AZ$2:$AZ$252)-MIN($AZ$2:$AZ$252))*100))</x:f>
      </x:c>
      <x:c r="BB182">
        <x:f>IF(K182="","",LOG10(K182+1))</x:f>
      </x:c>
      <x:c r="BC182" s="10">
        <x:f>IF(BB182="","",IF(MAX($BB$2:$BB$252)-MIN($BB$2:$BB$252)=0,"",(BB182-MIN($BB$2:$BB$252))/(MAX($BB$2:$BB$252)-MIN($BB$2:$BB$252))*100))</x:f>
      </x:c>
      <x:c r="BD182">
        <x:f>IF(L182="","",LOG10(L182+1))</x:f>
      </x:c>
      <x:c r="BE182" s="10">
        <x:f>IF(BD182="","",IF(MAX($BD$2:$BD$252)-MIN($BD$2:$BD$252)=0,"",(BD182-MIN($BD$2:$BD$252))/(MAX($BD$2:$BD$252)-MIN($BD$2:$BD$252))*100))</x:f>
      </x:c>
      <x:c r="BF182" s="10">
        <x:f>IF(P182="","",IF(MAX($P$2:$P$252)-MIN($P$2:$P$252)=0,"",(P182-MIN($P$2:$P$252))/(MAX($P$2:$P$252)-MIN($P$2:$P$252))*100))</x:f>
      </x:c>
      <x:c r="BG182">
        <x:f>IF(AF182="","",LOG10(AF182+1))</x:f>
      </x:c>
      <x:c r="BH182" s="10">
        <x:f>IF(BG182="","",IF(MAX($BG$2:$BG$252)-MIN($BG$2:$BG$252)=0,"",(BG182-MIN($BG$2:$BG$252))/(MAX($BG$2:$BG$252)-MIN($BG$2:$BG$252))*100))</x:f>
      </x:c>
      <x:c r="BI182">
        <x:f>IF(AC182="","",LOG10(AC182+1))</x:f>
      </x:c>
      <x:c r="BJ182" s="10">
        <x:f>IF(BI182="","",IF(MAX($BI$2:$BI$252)-MIN($BI$2:$BI$252)=0,"",(BI182-MIN($BI$2:$BI$252))/(MAX($BI$2:$BI$252)-MIN($BI$2:$BI$252))*100))</x:f>
      </x:c>
      <x:c r="BK182">
        <x:f>IF(AD182="","",(AD182*2)+(AE182*1))</x:f>
      </x:c>
      <x:c r="BL182" s="10">
        <x:f>IF(BK182="","",IF(MAX($BK$2:$BK$252)-MIN($BK$2:$BK$252)=0,"",(BK182-MIN($BK$2:$BK$252))/(MAX($BK$2:$BK$252)-MIN($BK$2:$BK$252))*100))</x:f>
      </x:c>
      <x:c r="BM182" s="10">
        <x:f>IF(AB182="","",IF(MAX($AB$2:$AB$252)-MIN($AB$2:$AB$252)=0,"",(AB182-MIN($AB$2:$AB$252))/(MAX($AB$2:$AB$252)-MIN($AB$2:$AB$252))*100))</x:f>
      </x:c>
      <x:c r="BN182" s="10">
        <x:f>IF(X182="","",X182)</x:f>
      </x:c>
      <x:c r="BO182" s="10">
        <x:f>IF(X182="","",100-X182)</x:f>
      </x:c>
      <x:c r="BP182" s="10">
        <x:f>IF((Weights!$C$2*IF(BH182="",0,1)+Weights!$C$3*IF(BJ182="",0,1)+Weights!$C$4*IF(BL182="",0,1))=0,"",(Weights!$C$2*IF(BH182="",0,BH182)+Weights!$C$3*IF(BJ182="",0,BJ182)+Weights!$C$4*IF(BL182="",0,BL182))/(Weights!$C$2*IF(BH182="",0,1)+Weights!$C$3*IF(BJ182="",0,1)+Weights!$C$4*IF(BL182="",0,1)))</x:f>
      </x:c>
      <x:c r="BQ182" s="10">
        <x:f>IF((Weights!$C$5*IF(BA182="",0,1)+Weights!$C$6*IF(AW182="",0,1)+Weights!$C$7*IF(AU182="",0,1))=0,"",(Weights!$C$5*IF(BA182="",0,BA182)+Weights!$C$6*IF(AW182="",0,AW182)+Weights!$C$7*IF(AU182="",0,AU182))/(Weights!$C$5*IF(BA182="",0,1)+Weights!$C$6*IF(AW182="",0,1)+Weights!$C$7*IF(AU182="",0,1)))</x:f>
      </x:c>
      <x:c r="BR182" s="10">
        <x:f>IF((Weights!$C$8*IF(AW182="",0,1)+Weights!$C$9*IF(BC182="",0,1)+Weights!$C$10*IF(BF182="",0,1))=0,"",(Weights!$C$8*IF(AW182="",0,AW182)+Weights!$C$9*IF(BC182="",0,BC182)+Weights!$C$10*IF(BF182="",0,BF182))/(Weights!$C$8*IF(AW182="",0,1)+Weights!$C$9*IF(BC182="",0,1)+Weights!$C$10*IF(BF182="",0,1)))</x:f>
      </x:c>
      <x:c r="BS182" s="10">
        <x:f>IF(Y182="","",Y182)</x:f>
      </x:c>
      <x:c r="BT182" s="10">
        <x:f>IF(AS182="","",AS182)</x:f>
      </x:c>
      <x:c r="BU182" s="10">
        <x:f>IF(AJ182&lt;&gt;"",(0.6*AJ182+0.4*AU182),IF((Weights!$C$11*IF(AU182="",0,1)+Weights!$C$12*IF(BM182="",0,1))=0,"",(Weights!$C$11*IF(AU182="",0,AU182)+Weights!$C$12*IF(BM182="",0,BM182))/(Weights!$C$11*IF(AU182="",0,1)+Weights!$C$12*IF(BM182="",0,1))))</x:f>
      </x:c>
      <x:c r="BV182" s="10">
        <x:f>IF(CG182="",0,CG182)</x:f>
      </x:c>
      <x:c r="BW182" s="10">
        <x:f>IF(AP182="","",AP182)</x:f>
      </x:c>
      <x:c r="BX182" s="10">
        <x:f>IF(AO182="","",AO182)</x:f>
      </x:c>
      <x:c r="BY182" s="10">
        <x:f>IF(AL182="","",AL182)</x:f>
      </x:c>
      <x:c r="BZ182" s="10">
        <x:f>IF(AM182="","",AM182)</x:f>
      </x:c>
      <x:c r="CA182" s="10">
        <x:f>IF(AK182&lt;&gt;"",AK182,AW182)</x:f>
      </x:c>
      <x:c r="CB182" s="10">
        <x:f>IF((Weights!$C$13*IF(BP182="",0,1)+Weights!$C$14*IF(BR182="",0,1)+Weights!$C$15*IF(BQ182="",0,1)+Weights!$C$16*IF(BS182="",0,1)+Weights!$C$17*IF(BU182="",0,1)+Weights!$C$18*IF(BT182="",0,1)+Weights!$C$19*IF(BW182="",0,1)+Weights!$C$20*IF(BZ182="",0,1)+Weights!$C$21*IF(BO182="",0,1)+Weights!$C$22)=0,"",(Weights!$C$13*IF(BP182="",0,BP182)+Weights!$C$14*IF(BR182="",0,BR182)+Weights!$C$15*IF(BQ182="",0,BQ182)+Weights!$C$16*IF(BS182="",0,BS182)+Weights!$C$17*IF(BU182="",0,BU182)+Weights!$C$18*IF(BT182="",0,BT182)+Weights!$C$19*IF(BW182="",0,BW182)+Weights!$C$20*IF(BZ182="",0,BZ182)+Weights!$C$21*IF(BO182="",0,BO182)+Weights!$C$22*BV182)/(Weights!$C$13*IF(BP182="",0,1)+Weights!$C$14*IF(BR182="",0,1)+Weights!$C$15*IF(BQ182="",0,1)+Weights!$C$16*IF(BS182="",0,1)+Weights!$C$17*IF(BU182="",0,1)+Weights!$C$18*IF(BT182="",0,1)+Weights!$C$19*IF(BW182="",0,1)+Weights!$C$20*IF(BZ182="",0,1)+Weights!$C$21*IF(BO182="",0,1)+Weights!$C$22))</x:f>
      </x:c>
      <x:c r="CC182" s="10">
        <x:f>IF((Weights!$C$23*IF(BQ182="",0,1)+Weights!$C$24*IF(BN182="",0,1)+Weights!$C$25*IF(BS182="",0,1)+Weights!$C$26*IF(BY182="",0,1)+Weights!$C$27*IF(BX182="",0,1)+Weights!$C$28*IF(BT182="",0,1)+Weights!$C$29*IF(CA182="",0,1)+Weights!$C$30+Weights!$C$31*IF(BU182="",0,1))=0,"",(Weights!$C$23*IF(BQ182="",0,BQ182)+Weights!$C$24*IF(BN182="",0,BN182)+Weights!$C$25*IF(BS182="",0,BS182)+Weights!$C$26*IF(BY182="",0,BY182)+Weights!$C$27*IF(BX182="",0,BX182)+Weights!$C$28*IF(BT182="",0,BT182)+Weights!$C$29*IF(CA182="",0,CA182)+Weights!$C$30*BV182+Weights!$C$31*IF(BU182="",0,BU182))/(Weights!$C$23*IF(BQ182="",0,1)+Weights!$C$24*IF(BN182="",0,1)+Weights!$C$25*IF(BS182="",0,1)+Weights!$C$26*IF(BY182="",0,1)+Weights!$C$27*IF(BX182="",0,1)+Weights!$C$28*IF(BT182="",0,1)+Weights!$C$29*IF(CA182="",0,1)+Weights!$C$30+Weights!$C$31*IF(BU182="",0,1)))</x:f>
      </x:c>
      <x:c r="CD182" s="10">
        <x:f>IF(AND(CB182="",CC182=""),"",IF(CB182="",CC182,IF(CC182="",CB182,AVERAGE(CB182,CC182))))</x:f>
      </x:c>
      <x:c r="CE182" s="7">
        <x:f>ROUND(100*((IF(BP182&lt;&gt;"",1,0)+IF(BQ182&lt;&gt;"",1,0)+IF(BR182&lt;&gt;"",1,0)+IF(BS182&lt;&gt;"",1,0)+IF(BU182&lt;&gt;"",1,0)+IF(BT182&lt;&gt;"",1,0)+IF(BN182&lt;&gt;"",1,0)+IF(AW182&lt;&gt;"",1,0))/8),0)</x:f>
      </x:c>
      <x:c r="CF182">
        <x:f>IF(V182="","",LOG10(V182+1))</x:f>
      </x:c>
      <x:c r="CG182">
        <x:f>IF(CF182="","",IF(MAX($CF$2:$CF$252)-MIN($CF$2:$CF$252)=0,"",(CF182-MIN($CF$2:$CF$252))/(MAX($CF$2:$CF$252)-MIN($CF$2:$CF$252))*100))</x:f>
      </x:c>
    </x:row>
    <x:row r="183">
      <x:c r="A183" t="inlineStr">
        <x:is>
          <x:t xml:space="preserve">SRB</x:t>
        </x:is>
      </x:c>
      <x:c r="B183" t="inlineStr">
        <x:is>
          <x:t xml:space="preserve">Serbia</x:t>
        </x:is>
      </x:c>
      <x:c r="C183" t="inlineStr">
        <x:is>
          <x:t xml:space="preserve">Europe &amp; Central Asia</x:t>
        </x:is>
      </x:c>
      <x:c r="D183" t="inlineStr">
        <x:is>
          <x:t xml:space="preserve">Upper middle income</x:t>
        </x:is>
      </x:c>
      <x:c r="E183" t="inlineStr">
        <x:is>
          <x:t xml:space="preserve">Europe</x:t>
        </x:is>
      </x:c>
      <x:c r="F183" t="n">
        <x:v>2024</x:v>
      </x:c>
      <x:c r="G183" t="n">
        <x:v>6586476</x:v>
      </x:c>
      <x:c r="H183" t="n">
        <x:v>2020</x:v>
      </x:c>
      <x:c r="I183" t="n">
        <x:v>32000</x:v>
      </x:c>
      <x:c r="J183" t="n">
        <x:v>20800</x:v>
      </x:c>
      <x:c r="K183" t="n">
        <x:v>6400</x:v>
      </x:c>
      <x:c r="L183" t="n">
        <x:v>3840</x:v>
      </x:c>
      <x:c r="M183" t="n">
        <x:v>2024</x:v>
      </x:c>
      <x:c r="N183" s="8" t="n">
        <x:v>2322830101.6066</x:v>
      </x:c>
      <x:c r="O183" s="9" t="n">
        <x:v>2.59513983105714</x:v>
      </x:c>
      <x:c r="P183" s="8" t="n">
        <x:v>72588.44067520625</x:v>
      </x:c>
      <x:c r="Q183" t="n">
        <x:v>2024</x:v>
      </x:c>
      <x:c r="R183" s="8" t="n">
        <x:v>90097765959.1114</x:v>
      </x:c>
      <x:c r="S183" t="n">
        <x:v>0</x:v>
      </x:c>
      <x:c r="T183" t="n">
        <x:v>0</x:v>
      </x:c>
      <x:c r="U183" t="inlineStr">
        <x:is>
          <x:t xml:space="preserve">No</x:t>
        </x:is>
      </x:c>
      <x:c r="W183" t="inlineStr">
        <x:is>
          <x:t xml:space="preserve">No</x:t>
        </x:is>
      </x:c>
      <x:c r="X183" t="n">
        <x:v>19.04549522074833</x:v>
      </x:c>
      <x:c r="Y183" t="n">
        <x:v>61.24485481639158</x:v>
      </x:c>
      <x:c r="Z183" t="n">
        <x:v>76388.6050646263</x:v>
      </x:c>
      <x:c r="AA183" t="n">
        <x:v>93.09011460523372</x:v>
      </x:c>
      <x:c r="AB183" s="8" t="n">
        <x:v>14315.80036855452</x:v>
      </x:c>
      <x:c r="AC183" t="n">
        <x:v>29</x:v>
      </x:c>
      <x:c r="AD183" t="n">
        <x:v>0</x:v>
      </x:c>
      <x:c r="AE183" t="n">
        <x:v>0</x:v>
      </x:c>
      <x:c r="AR183">
        <x:f>IF(G183="","",LOG10(G183+1))</x:f>
      </x:c>
      <x:c r="AS183" s="10">
        <x:f>IF(AR183="","",IF(MAX($AR$2:$AR$252)-MIN($AR$2:$AR$252)=0,"",(AR183-MIN($AR$2:$AR$252))/(MAX($AR$2:$AR$252)-MIN($AR$2:$AR$252))*100))</x:f>
      </x:c>
      <x:c r="AT183">
        <x:f>IF(R183="","",LOG10(R183+1))</x:f>
      </x:c>
      <x:c r="AU183" s="10">
        <x:f>IF(AT183="","",IF(MAX($AT$2:$AT$252)-MIN($AT$2:$AT$252)=0,"",(AT183-MIN($AT$2:$AT$252))/(MAX($AT$2:$AT$252)-MIN($AT$2:$AT$252))*100))</x:f>
      </x:c>
      <x:c r="AV183">
        <x:f>IF(N183="","",LOG10(N183+1))</x:f>
      </x:c>
      <x:c r="AW183" s="10">
        <x:f>IF(AV183="","",IF(MAX($AV$2:$AV$252)-MIN($AV$2:$AV$252)=0,"",(AV183-MIN($AV$2:$AV$252))/(MAX($AV$2:$AV$252)-MIN($AV$2:$AV$252))*100))</x:f>
      </x:c>
      <x:c r="AX183">
        <x:f>IF(I183="","",LOG10(I183+1))</x:f>
      </x:c>
      <x:c r="AY183" s="10">
        <x:f>IF(AX183="","",IF(MAX($AX$2:$AX$252)-MIN($AX$2:$AX$252)=0,"",(AX183-MIN($AX$2:$AX$252))/(MAX($AX$2:$AX$252)-MIN($AX$2:$AX$252))*100))</x:f>
      </x:c>
      <x:c r="AZ183">
        <x:f>IF(J183="","",LOG10(J183+1))</x:f>
      </x:c>
      <x:c r="BA183" s="10">
        <x:f>IF(AZ183="","",IF(MAX($AZ$2:$AZ$252)-MIN($AZ$2:$AZ$252)=0,"",(AZ183-MIN($AZ$2:$AZ$252))/(MAX($AZ$2:$AZ$252)-MIN($AZ$2:$AZ$252))*100))</x:f>
      </x:c>
      <x:c r="BB183">
        <x:f>IF(K183="","",LOG10(K183+1))</x:f>
      </x:c>
      <x:c r="BC183" s="10">
        <x:f>IF(BB183="","",IF(MAX($BB$2:$BB$252)-MIN($BB$2:$BB$252)=0,"",(BB183-MIN($BB$2:$BB$252))/(MAX($BB$2:$BB$252)-MIN($BB$2:$BB$252))*100))</x:f>
      </x:c>
      <x:c r="BD183">
        <x:f>IF(L183="","",LOG10(L183+1))</x:f>
      </x:c>
      <x:c r="BE183" s="10">
        <x:f>IF(BD183="","",IF(MAX($BD$2:$BD$252)-MIN($BD$2:$BD$252)=0,"",(BD183-MIN($BD$2:$BD$252))/(MAX($BD$2:$BD$252)-MIN($BD$2:$BD$252))*100))</x:f>
      </x:c>
      <x:c r="BF183" s="10">
        <x:f>IF(P183="","",IF(MAX($P$2:$P$252)-MIN($P$2:$P$252)=0,"",(P183-MIN($P$2:$P$252))/(MAX($P$2:$P$252)-MIN($P$2:$P$252))*100))</x:f>
      </x:c>
      <x:c r="BG183">
        <x:f>IF(AF183="","",LOG10(AF183+1))</x:f>
      </x:c>
      <x:c r="BH183" s="10">
        <x:f>IF(BG183="","",IF(MAX($BG$2:$BG$252)-MIN($BG$2:$BG$252)=0,"",(BG183-MIN($BG$2:$BG$252))/(MAX($BG$2:$BG$252)-MIN($BG$2:$BG$252))*100))</x:f>
      </x:c>
      <x:c r="BI183">
        <x:f>IF(AC183="","",LOG10(AC183+1))</x:f>
      </x:c>
      <x:c r="BJ183" s="10">
        <x:f>IF(BI183="","",IF(MAX($BI$2:$BI$252)-MIN($BI$2:$BI$252)=0,"",(BI183-MIN($BI$2:$BI$252))/(MAX($BI$2:$BI$252)-MIN($BI$2:$BI$252))*100))</x:f>
      </x:c>
      <x:c r="BK183">
        <x:f>IF(AD183="","",(AD183*2)+(AE183*1))</x:f>
      </x:c>
      <x:c r="BL183" s="10">
        <x:f>IF(BK183="","",IF(MAX($BK$2:$BK$252)-MIN($BK$2:$BK$252)=0,"",(BK183-MIN($BK$2:$BK$252))/(MAX($BK$2:$BK$252)-MIN($BK$2:$BK$252))*100))</x:f>
      </x:c>
      <x:c r="BM183" s="10">
        <x:f>IF(AB183="","",IF(MAX($AB$2:$AB$252)-MIN($AB$2:$AB$252)=0,"",(AB183-MIN($AB$2:$AB$252))/(MAX($AB$2:$AB$252)-MIN($AB$2:$AB$252))*100))</x:f>
      </x:c>
      <x:c r="BN183" s="10">
        <x:f>IF(X183="","",X183)</x:f>
      </x:c>
      <x:c r="BO183" s="10">
        <x:f>IF(X183="","",100-X183)</x:f>
      </x:c>
      <x:c r="BP183" s="10">
        <x:f>IF((Weights!$C$2*IF(BH183="",0,1)+Weights!$C$3*IF(BJ183="",0,1)+Weights!$C$4*IF(BL183="",0,1))=0,"",(Weights!$C$2*IF(BH183="",0,BH183)+Weights!$C$3*IF(BJ183="",0,BJ183)+Weights!$C$4*IF(BL183="",0,BL183))/(Weights!$C$2*IF(BH183="",0,1)+Weights!$C$3*IF(BJ183="",0,1)+Weights!$C$4*IF(BL183="",0,1)))</x:f>
      </x:c>
      <x:c r="BQ183" s="10">
        <x:f>IF((Weights!$C$5*IF(BA183="",0,1)+Weights!$C$6*IF(AW183="",0,1)+Weights!$C$7*IF(AU183="",0,1))=0,"",(Weights!$C$5*IF(BA183="",0,BA183)+Weights!$C$6*IF(AW183="",0,AW183)+Weights!$C$7*IF(AU183="",0,AU183))/(Weights!$C$5*IF(BA183="",0,1)+Weights!$C$6*IF(AW183="",0,1)+Weights!$C$7*IF(AU183="",0,1)))</x:f>
      </x:c>
      <x:c r="BR183" s="10">
        <x:f>IF((Weights!$C$8*IF(AW183="",0,1)+Weights!$C$9*IF(BC183="",0,1)+Weights!$C$10*IF(BF183="",0,1))=0,"",(Weights!$C$8*IF(AW183="",0,AW183)+Weights!$C$9*IF(BC183="",0,BC183)+Weights!$C$10*IF(BF183="",0,BF183))/(Weights!$C$8*IF(AW183="",0,1)+Weights!$C$9*IF(BC183="",0,1)+Weights!$C$10*IF(BF183="",0,1)))</x:f>
      </x:c>
      <x:c r="BS183" s="10">
        <x:f>IF(Y183="","",Y183)</x:f>
      </x:c>
      <x:c r="BT183" s="10">
        <x:f>IF(AS183="","",AS183)</x:f>
      </x:c>
      <x:c r="BU183" s="10">
        <x:f>IF(AJ183&lt;&gt;"",(0.6*AJ183+0.4*AU183),IF((Weights!$C$11*IF(AU183="",0,1)+Weights!$C$12*IF(BM183="",0,1))=0,"",(Weights!$C$11*IF(AU183="",0,AU183)+Weights!$C$12*IF(BM183="",0,BM183))/(Weights!$C$11*IF(AU183="",0,1)+Weights!$C$12*IF(BM183="",0,1))))</x:f>
      </x:c>
      <x:c r="BV183" s="10">
        <x:f>IF(CG183="",0,CG183)</x:f>
      </x:c>
      <x:c r="BW183" s="10">
        <x:f>IF(AP183="","",AP183)</x:f>
      </x:c>
      <x:c r="BX183" s="10">
        <x:f>IF(AO183="","",AO183)</x:f>
      </x:c>
      <x:c r="BY183" s="10">
        <x:f>IF(AL183="","",AL183)</x:f>
      </x:c>
      <x:c r="BZ183" s="10">
        <x:f>IF(AM183="","",AM183)</x:f>
      </x:c>
      <x:c r="CA183" s="10">
        <x:f>IF(AK183&lt;&gt;"",AK183,AW183)</x:f>
      </x:c>
      <x:c r="CB183" s="10">
        <x:f>IF((Weights!$C$13*IF(BP183="",0,1)+Weights!$C$14*IF(BR183="",0,1)+Weights!$C$15*IF(BQ183="",0,1)+Weights!$C$16*IF(BS183="",0,1)+Weights!$C$17*IF(BU183="",0,1)+Weights!$C$18*IF(BT183="",0,1)+Weights!$C$19*IF(BW183="",0,1)+Weights!$C$20*IF(BZ183="",0,1)+Weights!$C$21*IF(BO183="",0,1)+Weights!$C$22)=0,"",(Weights!$C$13*IF(BP183="",0,BP183)+Weights!$C$14*IF(BR183="",0,BR183)+Weights!$C$15*IF(BQ183="",0,BQ183)+Weights!$C$16*IF(BS183="",0,BS183)+Weights!$C$17*IF(BU183="",0,BU183)+Weights!$C$18*IF(BT183="",0,BT183)+Weights!$C$19*IF(BW183="",0,BW183)+Weights!$C$20*IF(BZ183="",0,BZ183)+Weights!$C$21*IF(BO183="",0,BO183)+Weights!$C$22*BV183)/(Weights!$C$13*IF(BP183="",0,1)+Weights!$C$14*IF(BR183="",0,1)+Weights!$C$15*IF(BQ183="",0,1)+Weights!$C$16*IF(BS183="",0,1)+Weights!$C$17*IF(BU183="",0,1)+Weights!$C$18*IF(BT183="",0,1)+Weights!$C$19*IF(BW183="",0,1)+Weights!$C$20*IF(BZ183="",0,1)+Weights!$C$21*IF(BO183="",0,1)+Weights!$C$22))</x:f>
      </x:c>
      <x:c r="CC183" s="10">
        <x:f>IF((Weights!$C$23*IF(BQ183="",0,1)+Weights!$C$24*IF(BN183="",0,1)+Weights!$C$25*IF(BS183="",0,1)+Weights!$C$26*IF(BY183="",0,1)+Weights!$C$27*IF(BX183="",0,1)+Weights!$C$28*IF(BT183="",0,1)+Weights!$C$29*IF(CA183="",0,1)+Weights!$C$30+Weights!$C$31*IF(BU183="",0,1))=0,"",(Weights!$C$23*IF(BQ183="",0,BQ183)+Weights!$C$24*IF(BN183="",0,BN183)+Weights!$C$25*IF(BS183="",0,BS183)+Weights!$C$26*IF(BY183="",0,BY183)+Weights!$C$27*IF(BX183="",0,BX183)+Weights!$C$28*IF(BT183="",0,BT183)+Weights!$C$29*IF(CA183="",0,CA183)+Weights!$C$30*BV183+Weights!$C$31*IF(BU183="",0,BU183))/(Weights!$C$23*IF(BQ183="",0,1)+Weights!$C$24*IF(BN183="",0,1)+Weights!$C$25*IF(BS183="",0,1)+Weights!$C$26*IF(BY183="",0,1)+Weights!$C$27*IF(BX183="",0,1)+Weights!$C$28*IF(BT183="",0,1)+Weights!$C$29*IF(CA183="",0,1)+Weights!$C$30+Weights!$C$31*IF(BU183="",0,1)))</x:f>
      </x:c>
      <x:c r="CD183" s="10">
        <x:f>IF(AND(CB183="",CC183=""),"",IF(CB183="",CC183,IF(CC183="",CB183,AVERAGE(CB183,CC183))))</x:f>
      </x:c>
      <x:c r="CE183" s="7">
        <x:f>ROUND(100*((IF(BP183&lt;&gt;"",1,0)+IF(BQ183&lt;&gt;"",1,0)+IF(BR183&lt;&gt;"",1,0)+IF(BS183&lt;&gt;"",1,0)+IF(BU183&lt;&gt;"",1,0)+IF(BT183&lt;&gt;"",1,0)+IF(BN183&lt;&gt;"",1,0)+IF(AW183&lt;&gt;"",1,0))/8),0)</x:f>
      </x:c>
      <x:c r="CF183">
        <x:f>IF(V183="","",LOG10(V183+1))</x:f>
      </x:c>
      <x:c r="CG183">
        <x:f>IF(CF183="","",IF(MAX($CF$2:$CF$252)-MIN($CF$2:$CF$252)=0,"",(CF183-MIN($CF$2:$CF$252))/(MAX($CF$2:$CF$252)-MIN($CF$2:$CF$252))*100))</x:f>
      </x:c>
    </x:row>
    <x:row r="184">
      <x:c r="A184" t="inlineStr">
        <x:is>
          <x:t xml:space="preserve">SYC</x:t>
        </x:is>
      </x:c>
      <x:c r="B184" t="inlineStr">
        <x:is>
          <x:t xml:space="preserve">Seychelles</x:t>
        </x:is>
      </x:c>
      <x:c r="C184" t="inlineStr">
        <x:is>
          <x:t xml:space="preserve">Sub-Saharan Africa</x:t>
        </x:is>
      </x:c>
      <x:c r="D184" t="inlineStr">
        <x:is>
          <x:t xml:space="preserve">High income</x:t>
        </x:is>
      </x:c>
      <x:c r="F184" t="n">
        <x:v>2024</x:v>
      </x:c>
      <x:c r="G184" t="n">
        <x:v>121354</x:v>
      </x:c>
      <x:c r="H184" t="n">
        <x:v>2020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2024</x:v>
      </x:c>
      <x:c r="N184" s="8" t="n">
        <x:v>26860869.6918082</x:v>
      </x:c>
      <x:c r="O184" s="9" t="n">
        <x:v>1.17906851761683</x:v>
      </x:c>
      <x:c r="P184" s="8" t="n"/>
      <x:c r="Q184" t="n">
        <x:v>2024</x:v>
      </x:c>
      <x:c r="R184" s="8" t="n">
        <x:v>2167239562.46013</x:v>
      </x:c>
      <x:c r="S184" t="n">
        <x:v>0</x:v>
      </x:c>
      <x:c r="T184" t="n">
        <x:v>0</x:v>
      </x:c>
      <x:c r="U184" t="inlineStr">
        <x:is>
          <x:t xml:space="preserve">No</x:t>
        </x:is>
      </x:c>
      <x:c r="W184" t="inlineStr">
        <x:is>
          <x:t xml:space="preserve">No</x:t>
        </x:is>
      </x:c>
      <x:c r="AB184" s="8" t="n"/>
      <x:c r="AR184">
        <x:f>IF(G184="","",LOG10(G184+1))</x:f>
      </x:c>
      <x:c r="AS184" s="10">
        <x:f>IF(AR184="","",IF(MAX($AR$2:$AR$252)-MIN($AR$2:$AR$252)=0,"",(AR184-MIN($AR$2:$AR$252))/(MAX($AR$2:$AR$252)-MIN($AR$2:$AR$252))*100))</x:f>
      </x:c>
      <x:c r="AT184">
        <x:f>IF(R184="","",LOG10(R184+1))</x:f>
      </x:c>
      <x:c r="AU184" s="10">
        <x:f>IF(AT184="","",IF(MAX($AT$2:$AT$252)-MIN($AT$2:$AT$252)=0,"",(AT184-MIN($AT$2:$AT$252))/(MAX($AT$2:$AT$252)-MIN($AT$2:$AT$252))*100))</x:f>
      </x:c>
      <x:c r="AV184">
        <x:f>IF(N184="","",LOG10(N184+1))</x:f>
      </x:c>
      <x:c r="AW184" s="10">
        <x:f>IF(AV184="","",IF(MAX($AV$2:$AV$252)-MIN($AV$2:$AV$252)=0,"",(AV184-MIN($AV$2:$AV$252))/(MAX($AV$2:$AV$252)-MIN($AV$2:$AV$252))*100))</x:f>
      </x:c>
      <x:c r="AX184">
        <x:f>IF(I184="","",LOG10(I184+1))</x:f>
      </x:c>
      <x:c r="AY184" s="10">
        <x:f>IF(AX184="","",IF(MAX($AX$2:$AX$252)-MIN($AX$2:$AX$252)=0,"",(AX184-MIN($AX$2:$AX$252))/(MAX($AX$2:$AX$252)-MIN($AX$2:$AX$252))*100))</x:f>
      </x:c>
      <x:c r="AZ184">
        <x:f>IF(J184="","",LOG10(J184+1))</x:f>
      </x:c>
      <x:c r="BA184" s="10">
        <x:f>IF(AZ184="","",IF(MAX($AZ$2:$AZ$252)-MIN($AZ$2:$AZ$252)=0,"",(AZ184-MIN($AZ$2:$AZ$252))/(MAX($AZ$2:$AZ$252)-MIN($AZ$2:$AZ$252))*100))</x:f>
      </x:c>
      <x:c r="BB184">
        <x:f>IF(K184="","",LOG10(K184+1))</x:f>
      </x:c>
      <x:c r="BC184" s="10">
        <x:f>IF(BB184="","",IF(MAX($BB$2:$BB$252)-MIN($BB$2:$BB$252)=0,"",(BB184-MIN($BB$2:$BB$252))/(MAX($BB$2:$BB$252)-MIN($BB$2:$BB$252))*100))</x:f>
      </x:c>
      <x:c r="BD184">
        <x:f>IF(L184="","",LOG10(L184+1))</x:f>
      </x:c>
      <x:c r="BE184" s="10">
        <x:f>IF(BD184="","",IF(MAX($BD$2:$BD$252)-MIN($BD$2:$BD$252)=0,"",(BD184-MIN($BD$2:$BD$252))/(MAX($BD$2:$BD$252)-MIN($BD$2:$BD$252))*100))</x:f>
      </x:c>
      <x:c r="BF184" s="10">
        <x:f>IF(P184="","",IF(MAX($P$2:$P$252)-MIN($P$2:$P$252)=0,"",(P184-MIN($P$2:$P$252))/(MAX($P$2:$P$252)-MIN($P$2:$P$252))*100))</x:f>
      </x:c>
      <x:c r="BG184">
        <x:f>IF(AF184="","",LOG10(AF184+1))</x:f>
      </x:c>
      <x:c r="BH184" s="10">
        <x:f>IF(BG184="","",IF(MAX($BG$2:$BG$252)-MIN($BG$2:$BG$252)=0,"",(BG184-MIN($BG$2:$BG$252))/(MAX($BG$2:$BG$252)-MIN($BG$2:$BG$252))*100))</x:f>
      </x:c>
      <x:c r="BI184">
        <x:f>IF(AC184="","",LOG10(AC184+1))</x:f>
      </x:c>
      <x:c r="BJ184" s="10">
        <x:f>IF(BI184="","",IF(MAX($BI$2:$BI$252)-MIN($BI$2:$BI$252)=0,"",(BI184-MIN($BI$2:$BI$252))/(MAX($BI$2:$BI$252)-MIN($BI$2:$BI$252))*100))</x:f>
      </x:c>
      <x:c r="BK184">
        <x:f>IF(AD184="","",(AD184*2)+(AE184*1))</x:f>
      </x:c>
      <x:c r="BL184" s="10">
        <x:f>IF(BK184="","",IF(MAX($BK$2:$BK$252)-MIN($BK$2:$BK$252)=0,"",(BK184-MIN($BK$2:$BK$252))/(MAX($BK$2:$BK$252)-MIN($BK$2:$BK$252))*100))</x:f>
      </x:c>
      <x:c r="BM184" s="10">
        <x:f>IF(AB184="","",IF(MAX($AB$2:$AB$252)-MIN($AB$2:$AB$252)=0,"",(AB184-MIN($AB$2:$AB$252))/(MAX($AB$2:$AB$252)-MIN($AB$2:$AB$252))*100))</x:f>
      </x:c>
      <x:c r="BN184" s="10">
        <x:f>IF(X184="","",X184)</x:f>
      </x:c>
      <x:c r="BO184" s="10">
        <x:f>IF(X184="","",100-X184)</x:f>
      </x:c>
      <x:c r="BP184" s="10">
        <x:f>IF((Weights!$C$2*IF(BH184="",0,1)+Weights!$C$3*IF(BJ184="",0,1)+Weights!$C$4*IF(BL184="",0,1))=0,"",(Weights!$C$2*IF(BH184="",0,BH184)+Weights!$C$3*IF(BJ184="",0,BJ184)+Weights!$C$4*IF(BL184="",0,BL184))/(Weights!$C$2*IF(BH184="",0,1)+Weights!$C$3*IF(BJ184="",0,1)+Weights!$C$4*IF(BL184="",0,1)))</x:f>
      </x:c>
      <x:c r="BQ184" s="10">
        <x:f>IF((Weights!$C$5*IF(BA184="",0,1)+Weights!$C$6*IF(AW184="",0,1)+Weights!$C$7*IF(AU184="",0,1))=0,"",(Weights!$C$5*IF(BA184="",0,BA184)+Weights!$C$6*IF(AW184="",0,AW184)+Weights!$C$7*IF(AU184="",0,AU184))/(Weights!$C$5*IF(BA184="",0,1)+Weights!$C$6*IF(AW184="",0,1)+Weights!$C$7*IF(AU184="",0,1)))</x:f>
      </x:c>
      <x:c r="BR184" s="10">
        <x:f>IF((Weights!$C$8*IF(AW184="",0,1)+Weights!$C$9*IF(BC184="",0,1)+Weights!$C$10*IF(BF184="",0,1))=0,"",(Weights!$C$8*IF(AW184="",0,AW184)+Weights!$C$9*IF(BC184="",0,BC184)+Weights!$C$10*IF(BF184="",0,BF184))/(Weights!$C$8*IF(AW184="",0,1)+Weights!$C$9*IF(BC184="",0,1)+Weights!$C$10*IF(BF184="",0,1)))</x:f>
      </x:c>
      <x:c r="BS184" s="10">
        <x:f>IF(Y184="","",Y184)</x:f>
      </x:c>
      <x:c r="BT184" s="10">
        <x:f>IF(AS184="","",AS184)</x:f>
      </x:c>
      <x:c r="BU184" s="10">
        <x:f>IF(AJ184&lt;&gt;"",(0.6*AJ184+0.4*AU184),IF((Weights!$C$11*IF(AU184="",0,1)+Weights!$C$12*IF(BM184="",0,1))=0,"",(Weights!$C$11*IF(AU184="",0,AU184)+Weights!$C$12*IF(BM184="",0,BM184))/(Weights!$C$11*IF(AU184="",0,1)+Weights!$C$12*IF(BM184="",0,1))))</x:f>
      </x:c>
      <x:c r="BV184" s="10">
        <x:f>IF(CG184="",0,CG184)</x:f>
      </x:c>
      <x:c r="BW184" s="10">
        <x:f>IF(AP184="","",AP184)</x:f>
      </x:c>
      <x:c r="BX184" s="10">
        <x:f>IF(AO184="","",AO184)</x:f>
      </x:c>
      <x:c r="BY184" s="10">
        <x:f>IF(AL184="","",AL184)</x:f>
      </x:c>
      <x:c r="BZ184" s="10">
        <x:f>IF(AM184="","",AM184)</x:f>
      </x:c>
      <x:c r="CA184" s="10">
        <x:f>IF(AK184&lt;&gt;"",AK184,AW184)</x:f>
      </x:c>
      <x:c r="CB184" s="10">
        <x:f>IF((Weights!$C$13*IF(BP184="",0,1)+Weights!$C$14*IF(BR184="",0,1)+Weights!$C$15*IF(BQ184="",0,1)+Weights!$C$16*IF(BS184="",0,1)+Weights!$C$17*IF(BU184="",0,1)+Weights!$C$18*IF(BT184="",0,1)+Weights!$C$19*IF(BW184="",0,1)+Weights!$C$20*IF(BZ184="",0,1)+Weights!$C$21*IF(BO184="",0,1)+Weights!$C$22)=0,"",(Weights!$C$13*IF(BP184="",0,BP184)+Weights!$C$14*IF(BR184="",0,BR184)+Weights!$C$15*IF(BQ184="",0,BQ184)+Weights!$C$16*IF(BS184="",0,BS184)+Weights!$C$17*IF(BU184="",0,BU184)+Weights!$C$18*IF(BT184="",0,BT184)+Weights!$C$19*IF(BW184="",0,BW184)+Weights!$C$20*IF(BZ184="",0,BZ184)+Weights!$C$21*IF(BO184="",0,BO184)+Weights!$C$22*BV184)/(Weights!$C$13*IF(BP184="",0,1)+Weights!$C$14*IF(BR184="",0,1)+Weights!$C$15*IF(BQ184="",0,1)+Weights!$C$16*IF(BS184="",0,1)+Weights!$C$17*IF(BU184="",0,1)+Weights!$C$18*IF(BT184="",0,1)+Weights!$C$19*IF(BW184="",0,1)+Weights!$C$20*IF(BZ184="",0,1)+Weights!$C$21*IF(BO184="",0,1)+Weights!$C$22))</x:f>
      </x:c>
      <x:c r="CC184" s="10">
        <x:f>IF((Weights!$C$23*IF(BQ184="",0,1)+Weights!$C$24*IF(BN184="",0,1)+Weights!$C$25*IF(BS184="",0,1)+Weights!$C$26*IF(BY184="",0,1)+Weights!$C$27*IF(BX184="",0,1)+Weights!$C$28*IF(BT184="",0,1)+Weights!$C$29*IF(CA184="",0,1)+Weights!$C$30+Weights!$C$31*IF(BU184="",0,1))=0,"",(Weights!$C$23*IF(BQ184="",0,BQ184)+Weights!$C$24*IF(BN184="",0,BN184)+Weights!$C$25*IF(BS184="",0,BS184)+Weights!$C$26*IF(BY184="",0,BY184)+Weights!$C$27*IF(BX184="",0,BX184)+Weights!$C$28*IF(BT184="",0,BT184)+Weights!$C$29*IF(CA184="",0,CA184)+Weights!$C$30*BV184+Weights!$C$31*IF(BU184="",0,BU184))/(Weights!$C$23*IF(BQ184="",0,1)+Weights!$C$24*IF(BN184="",0,1)+Weights!$C$25*IF(BS184="",0,1)+Weights!$C$26*IF(BY184="",0,1)+Weights!$C$27*IF(BX184="",0,1)+Weights!$C$28*IF(BT184="",0,1)+Weights!$C$29*IF(CA184="",0,1)+Weights!$C$30+Weights!$C$31*IF(BU184="",0,1)))</x:f>
      </x:c>
      <x:c r="CD184" s="10">
        <x:f>IF(AND(CB184="",CC184=""),"",IF(CB184="",CC184,IF(CC184="",CB184,AVERAGE(CB184,CC184))))</x:f>
      </x:c>
      <x:c r="CE184" s="7">
        <x:f>ROUND(100*((IF(BP184&lt;&gt;"",1,0)+IF(BQ184&lt;&gt;"",1,0)+IF(BR184&lt;&gt;"",1,0)+IF(BS184&lt;&gt;"",1,0)+IF(BU184&lt;&gt;"",1,0)+IF(BT184&lt;&gt;"",1,0)+IF(BN184&lt;&gt;"",1,0)+IF(AW184&lt;&gt;"",1,0))/8),0)</x:f>
      </x:c>
      <x:c r="CF184">
        <x:f>IF(V184="","",LOG10(V184+1))</x:f>
      </x:c>
      <x:c r="CG184">
        <x:f>IF(CF184="","",IF(MAX($CF$2:$CF$252)-MIN($CF$2:$CF$252)=0,"",(CF184-MIN($CF$2:$CF$252))/(MAX($CF$2:$CF$252)-MIN($CF$2:$CF$252))*100))</x:f>
      </x:c>
    </x:row>
    <x:row r="185">
      <x:c r="A185" t="inlineStr">
        <x:is>
          <x:t xml:space="preserve">SLE</x:t>
        </x:is>
      </x:c>
      <x:c r="B185" t="inlineStr">
        <x:is>
          <x:t xml:space="preserve">Sierra Leone</x:t>
        </x:is>
      </x:c>
      <x:c r="C185" t="inlineStr">
        <x:is>
          <x:t xml:space="preserve">Sub-Saharan Africa</x:t>
        </x:is>
      </x:c>
      <x:c r="D185" t="inlineStr">
        <x:is>
          <x:t xml:space="preserve">Low income</x:t>
        </x:is>
      </x:c>
      <x:c r="E185" t="inlineStr">
        <x:is>
          <x:t xml:space="preserve">Africa</x:t>
        </x:is>
      </x:c>
      <x:c r="F185" t="n">
        <x:v>2024</x:v>
      </x:c>
      <x:c r="G185" t="n">
        <x:v>8642022</x:v>
      </x:c>
      <x:c r="H185" t="n">
        <x:v>2020</x:v>
      </x:c>
      <x:c r="I185" t="n">
        <x:v>9000</x:v>
      </x:c>
      <x:c r="J185" t="n">
        <x:v>5850</x:v>
      </x:c>
      <x:c r="K185" t="n">
        <x:v>1800</x:v>
      </x:c>
      <x:c r="L185" t="n">
        <x:v>1080</x:v>
      </x:c>
      <x:c r="M185" t="n">
        <x:v>2024</x:v>
      </x:c>
      <x:c r="N185" s="8" t="n">
        <x:v>36447048.8625476</x:v>
      </x:c>
      <x:c r="O185" s="9" t="n">
        <x:v>0.462539633893509</x:v>
      </x:c>
      <x:c r="P185" s="8" t="n">
        <x:v>4049.672095838622</x:v>
      </x:c>
      <x:c r="Q185" t="n">
        <x:v>2024</x:v>
      </x:c>
      <x:c r="R185" s="8" t="n">
        <x:v>6971127235.3123</x:v>
      </x:c>
      <x:c r="S185" t="n">
        <x:v>0</x:v>
      </x:c>
      <x:c r="T185" t="n">
        <x:v>0</x:v>
      </x:c>
      <x:c r="U185" t="inlineStr">
        <x:is>
          <x:t xml:space="preserve">No</x:t>
        </x:is>
      </x:c>
      <x:c r="W185" t="inlineStr">
        <x:is>
          <x:t xml:space="preserve">No</x:t>
        </x:is>
      </x:c>
      <x:c r="X185" t="n">
        <x:v>2.684712660998795</x:v>
      </x:c>
      <x:c r="Y185" t="n">
        <x:v>29.4142535777282</x:v>
      </x:c>
      <x:c r="Z185" t="n">
        <x:v>75980.33146654349</x:v>
      </x:c>
      <x:c r="AA185" t="n">
        <x:v>81.11566350186096</x:v>
      </x:c>
      <x:c r="AB185" s="8" t="n">
        <x:v>1726.377309171623</x:v>
      </x:c>
      <x:c r="AC185" t="n">
        <x:v>10</x:v>
      </x:c>
      <x:c r="AD185" t="n">
        <x:v>0</x:v>
      </x:c>
      <x:c r="AE185" t="n">
        <x:v>0</x:v>
      </x:c>
      <x:c r="AR185">
        <x:f>IF(G185="","",LOG10(G185+1))</x:f>
      </x:c>
      <x:c r="AS185" s="10">
        <x:f>IF(AR185="","",IF(MAX($AR$2:$AR$252)-MIN($AR$2:$AR$252)=0,"",(AR185-MIN($AR$2:$AR$252))/(MAX($AR$2:$AR$252)-MIN($AR$2:$AR$252))*100))</x:f>
      </x:c>
      <x:c r="AT185">
        <x:f>IF(R185="","",LOG10(R185+1))</x:f>
      </x:c>
      <x:c r="AU185" s="10">
        <x:f>IF(AT185="","",IF(MAX($AT$2:$AT$252)-MIN($AT$2:$AT$252)=0,"",(AT185-MIN($AT$2:$AT$252))/(MAX($AT$2:$AT$252)-MIN($AT$2:$AT$252))*100))</x:f>
      </x:c>
      <x:c r="AV185">
        <x:f>IF(N185="","",LOG10(N185+1))</x:f>
      </x:c>
      <x:c r="AW185" s="10">
        <x:f>IF(AV185="","",IF(MAX($AV$2:$AV$252)-MIN($AV$2:$AV$252)=0,"",(AV185-MIN($AV$2:$AV$252))/(MAX($AV$2:$AV$252)-MIN($AV$2:$AV$252))*100))</x:f>
      </x:c>
      <x:c r="AX185">
        <x:f>IF(I185="","",LOG10(I185+1))</x:f>
      </x:c>
      <x:c r="AY185" s="10">
        <x:f>IF(AX185="","",IF(MAX($AX$2:$AX$252)-MIN($AX$2:$AX$252)=0,"",(AX185-MIN($AX$2:$AX$252))/(MAX($AX$2:$AX$252)-MIN($AX$2:$AX$252))*100))</x:f>
      </x:c>
      <x:c r="AZ185">
        <x:f>IF(J185="","",LOG10(J185+1))</x:f>
      </x:c>
      <x:c r="BA185" s="10">
        <x:f>IF(AZ185="","",IF(MAX($AZ$2:$AZ$252)-MIN($AZ$2:$AZ$252)=0,"",(AZ185-MIN($AZ$2:$AZ$252))/(MAX($AZ$2:$AZ$252)-MIN($AZ$2:$AZ$252))*100))</x:f>
      </x:c>
      <x:c r="BB185">
        <x:f>IF(K185="","",LOG10(K185+1))</x:f>
      </x:c>
      <x:c r="BC185" s="10">
        <x:f>IF(BB185="","",IF(MAX($BB$2:$BB$252)-MIN($BB$2:$BB$252)=0,"",(BB185-MIN($BB$2:$BB$252))/(MAX($BB$2:$BB$252)-MIN($BB$2:$BB$252))*100))</x:f>
      </x:c>
      <x:c r="BD185">
        <x:f>IF(L185="","",LOG10(L185+1))</x:f>
      </x:c>
      <x:c r="BE185" s="10">
        <x:f>IF(BD185="","",IF(MAX($BD$2:$BD$252)-MIN($BD$2:$BD$252)=0,"",(BD185-MIN($BD$2:$BD$252))/(MAX($BD$2:$BD$252)-MIN($BD$2:$BD$252))*100))</x:f>
      </x:c>
      <x:c r="BF185" s="10">
        <x:f>IF(P185="","",IF(MAX($P$2:$P$252)-MIN($P$2:$P$252)=0,"",(P185-MIN($P$2:$P$252))/(MAX($P$2:$P$252)-MIN($P$2:$P$252))*100))</x:f>
      </x:c>
      <x:c r="BG185">
        <x:f>IF(AF185="","",LOG10(AF185+1))</x:f>
      </x:c>
      <x:c r="BH185" s="10">
        <x:f>IF(BG185="","",IF(MAX($BG$2:$BG$252)-MIN($BG$2:$BG$252)=0,"",(BG185-MIN($BG$2:$BG$252))/(MAX($BG$2:$BG$252)-MIN($BG$2:$BG$252))*100))</x:f>
      </x:c>
      <x:c r="BI185">
        <x:f>IF(AC185="","",LOG10(AC185+1))</x:f>
      </x:c>
      <x:c r="BJ185" s="10">
        <x:f>IF(BI185="","",IF(MAX($BI$2:$BI$252)-MIN($BI$2:$BI$252)=0,"",(BI185-MIN($BI$2:$BI$252))/(MAX($BI$2:$BI$252)-MIN($BI$2:$BI$252))*100))</x:f>
      </x:c>
      <x:c r="BK185">
        <x:f>IF(AD185="","",(AD185*2)+(AE185*1))</x:f>
      </x:c>
      <x:c r="BL185" s="10">
        <x:f>IF(BK185="","",IF(MAX($BK$2:$BK$252)-MIN($BK$2:$BK$252)=0,"",(BK185-MIN($BK$2:$BK$252))/(MAX($BK$2:$BK$252)-MIN($BK$2:$BK$252))*100))</x:f>
      </x:c>
      <x:c r="BM185" s="10">
        <x:f>IF(AB185="","",IF(MAX($AB$2:$AB$252)-MIN($AB$2:$AB$252)=0,"",(AB185-MIN($AB$2:$AB$252))/(MAX($AB$2:$AB$252)-MIN($AB$2:$AB$252))*100))</x:f>
      </x:c>
      <x:c r="BN185" s="10">
        <x:f>IF(X185="","",X185)</x:f>
      </x:c>
      <x:c r="BO185" s="10">
        <x:f>IF(X185="","",100-X185)</x:f>
      </x:c>
      <x:c r="BP185" s="10">
        <x:f>IF((Weights!$C$2*IF(BH185="",0,1)+Weights!$C$3*IF(BJ185="",0,1)+Weights!$C$4*IF(BL185="",0,1))=0,"",(Weights!$C$2*IF(BH185="",0,BH185)+Weights!$C$3*IF(BJ185="",0,BJ185)+Weights!$C$4*IF(BL185="",0,BL185))/(Weights!$C$2*IF(BH185="",0,1)+Weights!$C$3*IF(BJ185="",0,1)+Weights!$C$4*IF(BL185="",0,1)))</x:f>
      </x:c>
      <x:c r="BQ185" s="10">
        <x:f>IF((Weights!$C$5*IF(BA185="",0,1)+Weights!$C$6*IF(AW185="",0,1)+Weights!$C$7*IF(AU185="",0,1))=0,"",(Weights!$C$5*IF(BA185="",0,BA185)+Weights!$C$6*IF(AW185="",0,AW185)+Weights!$C$7*IF(AU185="",0,AU185))/(Weights!$C$5*IF(BA185="",0,1)+Weights!$C$6*IF(AW185="",0,1)+Weights!$C$7*IF(AU185="",0,1)))</x:f>
      </x:c>
      <x:c r="BR185" s="10">
        <x:f>IF((Weights!$C$8*IF(AW185="",0,1)+Weights!$C$9*IF(BC185="",0,1)+Weights!$C$10*IF(BF185="",0,1))=0,"",(Weights!$C$8*IF(AW185="",0,AW185)+Weights!$C$9*IF(BC185="",0,BC185)+Weights!$C$10*IF(BF185="",0,BF185))/(Weights!$C$8*IF(AW185="",0,1)+Weights!$C$9*IF(BC185="",0,1)+Weights!$C$10*IF(BF185="",0,1)))</x:f>
      </x:c>
      <x:c r="BS185" s="10">
        <x:f>IF(Y185="","",Y185)</x:f>
      </x:c>
      <x:c r="BT185" s="10">
        <x:f>IF(AS185="","",AS185)</x:f>
      </x:c>
      <x:c r="BU185" s="10">
        <x:f>IF(AJ185&lt;&gt;"",(0.6*AJ185+0.4*AU185),IF((Weights!$C$11*IF(AU185="",0,1)+Weights!$C$12*IF(BM185="",0,1))=0,"",(Weights!$C$11*IF(AU185="",0,AU185)+Weights!$C$12*IF(BM185="",0,BM185))/(Weights!$C$11*IF(AU185="",0,1)+Weights!$C$12*IF(BM185="",0,1))))</x:f>
      </x:c>
      <x:c r="BV185" s="10">
        <x:f>IF(CG185="",0,CG185)</x:f>
      </x:c>
      <x:c r="BW185" s="10">
        <x:f>IF(AP185="","",AP185)</x:f>
      </x:c>
      <x:c r="BX185" s="10">
        <x:f>IF(AO185="","",AO185)</x:f>
      </x:c>
      <x:c r="BY185" s="10">
        <x:f>IF(AL185="","",AL185)</x:f>
      </x:c>
      <x:c r="BZ185" s="10">
        <x:f>IF(AM185="","",AM185)</x:f>
      </x:c>
      <x:c r="CA185" s="10">
        <x:f>IF(AK185&lt;&gt;"",AK185,AW185)</x:f>
      </x:c>
      <x:c r="CB185" s="10">
        <x:f>IF((Weights!$C$13*IF(BP185="",0,1)+Weights!$C$14*IF(BR185="",0,1)+Weights!$C$15*IF(BQ185="",0,1)+Weights!$C$16*IF(BS185="",0,1)+Weights!$C$17*IF(BU185="",0,1)+Weights!$C$18*IF(BT185="",0,1)+Weights!$C$19*IF(BW185="",0,1)+Weights!$C$20*IF(BZ185="",0,1)+Weights!$C$21*IF(BO185="",0,1)+Weights!$C$22)=0,"",(Weights!$C$13*IF(BP185="",0,BP185)+Weights!$C$14*IF(BR185="",0,BR185)+Weights!$C$15*IF(BQ185="",0,BQ185)+Weights!$C$16*IF(BS185="",0,BS185)+Weights!$C$17*IF(BU185="",0,BU185)+Weights!$C$18*IF(BT185="",0,BT185)+Weights!$C$19*IF(BW185="",0,BW185)+Weights!$C$20*IF(BZ185="",0,BZ185)+Weights!$C$21*IF(BO185="",0,BO185)+Weights!$C$22*BV185)/(Weights!$C$13*IF(BP185="",0,1)+Weights!$C$14*IF(BR185="",0,1)+Weights!$C$15*IF(BQ185="",0,1)+Weights!$C$16*IF(BS185="",0,1)+Weights!$C$17*IF(BU185="",0,1)+Weights!$C$18*IF(BT185="",0,1)+Weights!$C$19*IF(BW185="",0,1)+Weights!$C$20*IF(BZ185="",0,1)+Weights!$C$21*IF(BO185="",0,1)+Weights!$C$22))</x:f>
      </x:c>
      <x:c r="CC185" s="10">
        <x:f>IF((Weights!$C$23*IF(BQ185="",0,1)+Weights!$C$24*IF(BN185="",0,1)+Weights!$C$25*IF(BS185="",0,1)+Weights!$C$26*IF(BY185="",0,1)+Weights!$C$27*IF(BX185="",0,1)+Weights!$C$28*IF(BT185="",0,1)+Weights!$C$29*IF(CA185="",0,1)+Weights!$C$30+Weights!$C$31*IF(BU185="",0,1))=0,"",(Weights!$C$23*IF(BQ185="",0,BQ185)+Weights!$C$24*IF(BN185="",0,BN185)+Weights!$C$25*IF(BS185="",0,BS185)+Weights!$C$26*IF(BY185="",0,BY185)+Weights!$C$27*IF(BX185="",0,BX185)+Weights!$C$28*IF(BT185="",0,BT185)+Weights!$C$29*IF(CA185="",0,CA185)+Weights!$C$30*BV185+Weights!$C$31*IF(BU185="",0,BU185))/(Weights!$C$23*IF(BQ185="",0,1)+Weights!$C$24*IF(BN185="",0,1)+Weights!$C$25*IF(BS185="",0,1)+Weights!$C$26*IF(BY185="",0,1)+Weights!$C$27*IF(BX185="",0,1)+Weights!$C$28*IF(BT185="",0,1)+Weights!$C$29*IF(CA185="",0,1)+Weights!$C$30+Weights!$C$31*IF(BU185="",0,1)))</x:f>
      </x:c>
      <x:c r="CD185" s="10">
        <x:f>IF(AND(CB185="",CC185=""),"",IF(CB185="",CC185,IF(CC185="",CB185,AVERAGE(CB185,CC185))))</x:f>
      </x:c>
      <x:c r="CE185" s="7">
        <x:f>ROUND(100*((IF(BP185&lt;&gt;"",1,0)+IF(BQ185&lt;&gt;"",1,0)+IF(BR185&lt;&gt;"",1,0)+IF(BS185&lt;&gt;"",1,0)+IF(BU185&lt;&gt;"",1,0)+IF(BT185&lt;&gt;"",1,0)+IF(BN185&lt;&gt;"",1,0)+IF(AW185&lt;&gt;"",1,0))/8),0)</x:f>
      </x:c>
      <x:c r="CF185">
        <x:f>IF(V185="","",LOG10(V185+1))</x:f>
      </x:c>
      <x:c r="CG185">
        <x:f>IF(CF185="","",IF(MAX($CF$2:$CF$252)-MIN($CF$2:$CF$252)=0,"",(CF185-MIN($CF$2:$CF$252))/(MAX($CF$2:$CF$252)-MIN($CF$2:$CF$252))*100))</x:f>
      </x:c>
    </x:row>
    <x:row r="186">
      <x:c r="A186" t="inlineStr">
        <x:is>
          <x:t xml:space="preserve">SGP</x:t>
        </x:is>
      </x:c>
      <x:c r="B186" t="inlineStr">
        <x:is>
          <x:t xml:space="preserve">Singapore</x:t>
        </x:is>
      </x:c>
      <x:c r="C186" t="inlineStr">
        <x:is>
          <x:t xml:space="preserve">East Asia &amp; Pacific</x:t>
        </x:is>
      </x:c>
      <x:c r="D186" t="inlineStr">
        <x:is>
          <x:t xml:space="preserve">High income</x:t>
        </x:is>
      </x:c>
      <x:c r="F186" t="n">
        <x:v>2024</x:v>
      </x:c>
      <x:c r="G186" t="n">
        <x:v>6036860</x:v>
      </x:c>
      <x:c r="H186" t="n">
        <x:v>2020</x:v>
      </x:c>
      <x:c r="I186" t="n">
        <x:v>59000</x:v>
      </x:c>
      <x:c r="J186" t="n">
        <x:v>38350</x:v>
      </x:c>
      <x:c r="K186" t="n">
        <x:v>11800</x:v>
      </x:c>
      <x:c r="L186" t="n">
        <x:v>7080</x:v>
      </x:c>
      <x:c r="M186" t="n">
        <x:v>2024</x:v>
      </x:c>
      <x:c r="N186" s="8" t="n">
        <x:v>15061025802.2031</x:v>
      </x:c>
      <x:c r="O186" s="9" t="n">
        <x:v>2.8417655746547</x:v>
      </x:c>
      <x:c r="P186" s="8" t="n">
        <x:v>255271.6237661543</x:v>
      </x:c>
      <x:c r="Q186" t="n">
        <x:v>2024</x:v>
      </x:c>
      <x:c r="R186" s="8" t="n">
        <x:v>547386645891.847</x:v>
      </x:c>
      <x:c r="S186" t="n">
        <x:v>12</x:v>
      </x:c>
      <x:c r="T186" t="n">
        <x:v>1</x:v>
      </x:c>
      <x:c r="U186" t="inlineStr">
        <x:is>
          <x:t xml:space="preserve">No</x:t>
        </x:is>
      </x:c>
      <x:c r="W186" t="inlineStr">
        <x:is>
          <x:t xml:space="preserve">No</x:t>
        </x:is>
      </x:c>
      <x:c r="AB186" s="8" t="n"/>
      <x:c r="AC186" t="n">
        <x:v>43</x:v>
      </x:c>
      <x:c r="AD186" t="n">
        <x:v>0</x:v>
      </x:c>
      <x:c r="AE186" t="n">
        <x:v>0</x:v>
      </x:c>
      <x:c r="AF186" t="n">
        <x:v>43.2</x:v>
      </x:c>
      <x:c r="AG186" t="n">
        <x:v>38</x:v>
      </x:c>
      <x:c r="AH186" t="n">
        <x:v>24</x:v>
      </x:c>
      <x:c r="AI186" t="n">
        <x:v>26.8</x:v>
      </x:c>
      <x:c r="AJ186" t="n">
        <x:v>15.1</x:v>
      </x:c>
      <x:c r="AK186" t="n">
        <x:v>25</x:v>
      </x:c>
      <x:c r="AL186" t="n">
        <x:v>29.1</x:v>
      </x:c>
      <x:c r="AM186" t="n">
        <x:v>7.7</x:v>
      </x:c>
      <x:c r="AN186" t="n">
        <x:v>32.5</x:v>
      </x:c>
      <x:c r="AO186" t="n">
        <x:v>26.8</x:v>
      </x:c>
      <x:c r="AP186" t="n">
        <x:v>56.9</x:v>
      </x:c>
      <x:c r="AQ186" t="n">
        <x:v>28.6</x:v>
      </x:c>
      <x:c r="AR186">
        <x:f>IF(G186="","",LOG10(G186+1))</x:f>
      </x:c>
      <x:c r="AS186" s="10">
        <x:f>IF(AR186="","",IF(MAX($AR$2:$AR$252)-MIN($AR$2:$AR$252)=0,"",(AR186-MIN($AR$2:$AR$252))/(MAX($AR$2:$AR$252)-MIN($AR$2:$AR$252))*100))</x:f>
      </x:c>
      <x:c r="AT186">
        <x:f>IF(R186="","",LOG10(R186+1))</x:f>
      </x:c>
      <x:c r="AU186" s="10">
        <x:f>IF(AT186="","",IF(MAX($AT$2:$AT$252)-MIN($AT$2:$AT$252)=0,"",(AT186-MIN($AT$2:$AT$252))/(MAX($AT$2:$AT$252)-MIN($AT$2:$AT$252))*100))</x:f>
      </x:c>
      <x:c r="AV186">
        <x:f>IF(N186="","",LOG10(N186+1))</x:f>
      </x:c>
      <x:c r="AW186" s="10">
        <x:f>IF(AV186="","",IF(MAX($AV$2:$AV$252)-MIN($AV$2:$AV$252)=0,"",(AV186-MIN($AV$2:$AV$252))/(MAX($AV$2:$AV$252)-MIN($AV$2:$AV$252))*100))</x:f>
      </x:c>
      <x:c r="AX186">
        <x:f>IF(I186="","",LOG10(I186+1))</x:f>
      </x:c>
      <x:c r="AY186" s="10">
        <x:f>IF(AX186="","",IF(MAX($AX$2:$AX$252)-MIN($AX$2:$AX$252)=0,"",(AX186-MIN($AX$2:$AX$252))/(MAX($AX$2:$AX$252)-MIN($AX$2:$AX$252))*100))</x:f>
      </x:c>
      <x:c r="AZ186">
        <x:f>IF(J186="","",LOG10(J186+1))</x:f>
      </x:c>
      <x:c r="BA186" s="10">
        <x:f>IF(AZ186="","",IF(MAX($AZ$2:$AZ$252)-MIN($AZ$2:$AZ$252)=0,"",(AZ186-MIN($AZ$2:$AZ$252))/(MAX($AZ$2:$AZ$252)-MIN($AZ$2:$AZ$252))*100))</x:f>
      </x:c>
      <x:c r="BB186">
        <x:f>IF(K186="","",LOG10(K186+1))</x:f>
      </x:c>
      <x:c r="BC186" s="10">
        <x:f>IF(BB186="","",IF(MAX($BB$2:$BB$252)-MIN($BB$2:$BB$252)=0,"",(BB186-MIN($BB$2:$BB$252))/(MAX($BB$2:$BB$252)-MIN($BB$2:$BB$252))*100))</x:f>
      </x:c>
      <x:c r="BD186">
        <x:f>IF(L186="","",LOG10(L186+1))</x:f>
      </x:c>
      <x:c r="BE186" s="10">
        <x:f>IF(BD186="","",IF(MAX($BD$2:$BD$252)-MIN($BD$2:$BD$252)=0,"",(BD186-MIN($BD$2:$BD$252))/(MAX($BD$2:$BD$252)-MIN($BD$2:$BD$252))*100))</x:f>
      </x:c>
      <x:c r="BF186" s="10">
        <x:f>IF(P186="","",IF(MAX($P$2:$P$252)-MIN($P$2:$P$252)=0,"",(P186-MIN($P$2:$P$252))/(MAX($P$2:$P$252)-MIN($P$2:$P$252))*100))</x:f>
      </x:c>
      <x:c r="BG186">
        <x:f>IF(AF186="","",LOG10(AF186+1))</x:f>
      </x:c>
      <x:c r="BH186" s="10">
        <x:f>IF(BG186="","",IF(MAX($BG$2:$BG$252)-MIN($BG$2:$BG$252)=0,"",(BG186-MIN($BG$2:$BG$252))/(MAX($BG$2:$BG$252)-MIN($BG$2:$BG$252))*100))</x:f>
      </x:c>
      <x:c r="BI186">
        <x:f>IF(AC186="","",LOG10(AC186+1))</x:f>
      </x:c>
      <x:c r="BJ186" s="10">
        <x:f>IF(BI186="","",IF(MAX($BI$2:$BI$252)-MIN($BI$2:$BI$252)=0,"",(BI186-MIN($BI$2:$BI$252))/(MAX($BI$2:$BI$252)-MIN($BI$2:$BI$252))*100))</x:f>
      </x:c>
      <x:c r="BK186">
        <x:f>IF(AD186="","",(AD186*2)+(AE186*1))</x:f>
      </x:c>
      <x:c r="BL186" s="10">
        <x:f>IF(BK186="","",IF(MAX($BK$2:$BK$252)-MIN($BK$2:$BK$252)=0,"",(BK186-MIN($BK$2:$BK$252))/(MAX($BK$2:$BK$252)-MIN($BK$2:$BK$252))*100))</x:f>
      </x:c>
      <x:c r="BM186" s="10">
        <x:f>IF(AB186="","",IF(MAX($AB$2:$AB$252)-MIN($AB$2:$AB$252)=0,"",(AB186-MIN($AB$2:$AB$252))/(MAX($AB$2:$AB$252)-MIN($AB$2:$AB$252))*100))</x:f>
      </x:c>
      <x:c r="BN186" s="10">
        <x:f>IF(X186="","",X186)</x:f>
      </x:c>
      <x:c r="BO186" s="10">
        <x:f>IF(X186="","",100-X186)</x:f>
      </x:c>
      <x:c r="BP186" s="10">
        <x:f>IF((Weights!$C$2*IF(BH186="",0,1)+Weights!$C$3*IF(BJ186="",0,1)+Weights!$C$4*IF(BL186="",0,1))=0,"",(Weights!$C$2*IF(BH186="",0,BH186)+Weights!$C$3*IF(BJ186="",0,BJ186)+Weights!$C$4*IF(BL186="",0,BL186))/(Weights!$C$2*IF(BH186="",0,1)+Weights!$C$3*IF(BJ186="",0,1)+Weights!$C$4*IF(BL186="",0,1)))</x:f>
      </x:c>
      <x:c r="BQ186" s="10">
        <x:f>IF((Weights!$C$5*IF(BA186="",0,1)+Weights!$C$6*IF(AW186="",0,1)+Weights!$C$7*IF(AU186="",0,1))=0,"",(Weights!$C$5*IF(BA186="",0,BA186)+Weights!$C$6*IF(AW186="",0,AW186)+Weights!$C$7*IF(AU186="",0,AU186))/(Weights!$C$5*IF(BA186="",0,1)+Weights!$C$6*IF(AW186="",0,1)+Weights!$C$7*IF(AU186="",0,1)))</x:f>
      </x:c>
      <x:c r="BR186" s="10">
        <x:f>IF((Weights!$C$8*IF(AW186="",0,1)+Weights!$C$9*IF(BC186="",0,1)+Weights!$C$10*IF(BF186="",0,1))=0,"",(Weights!$C$8*IF(AW186="",0,AW186)+Weights!$C$9*IF(BC186="",0,BC186)+Weights!$C$10*IF(BF186="",0,BF186))/(Weights!$C$8*IF(AW186="",0,1)+Weights!$C$9*IF(BC186="",0,1)+Weights!$C$10*IF(BF186="",0,1)))</x:f>
      </x:c>
      <x:c r="BS186" s="10">
        <x:f>IF(Y186="","",Y186)</x:f>
      </x:c>
      <x:c r="BT186" s="10">
        <x:f>IF(AS186="","",AS186)</x:f>
      </x:c>
      <x:c r="BU186" s="10">
        <x:f>IF(AJ186&lt;&gt;"",(0.6*AJ186+0.4*AU186),IF((Weights!$C$11*IF(AU186="",0,1)+Weights!$C$12*IF(BM186="",0,1))=0,"",(Weights!$C$11*IF(AU186="",0,AU186)+Weights!$C$12*IF(BM186="",0,BM186))/(Weights!$C$11*IF(AU186="",0,1)+Weights!$C$12*IF(BM186="",0,1))))</x:f>
      </x:c>
      <x:c r="BV186" s="10">
        <x:f>IF(CG186="",0,CG186)</x:f>
      </x:c>
      <x:c r="BW186" s="10">
        <x:f>IF(AP186="","",AP186)</x:f>
      </x:c>
      <x:c r="BX186" s="10">
        <x:f>IF(AO186="","",AO186)</x:f>
      </x:c>
      <x:c r="BY186" s="10">
        <x:f>IF(AL186="","",AL186)</x:f>
      </x:c>
      <x:c r="BZ186" s="10">
        <x:f>IF(AM186="","",AM186)</x:f>
      </x:c>
      <x:c r="CA186" s="10">
        <x:f>IF(AK186&lt;&gt;"",AK186,AW186)</x:f>
      </x:c>
      <x:c r="CB186" s="10">
        <x:f>IF((Weights!$C$13*IF(BP186="",0,1)+Weights!$C$14*IF(BR186="",0,1)+Weights!$C$15*IF(BQ186="",0,1)+Weights!$C$16*IF(BS186="",0,1)+Weights!$C$17*IF(BU186="",0,1)+Weights!$C$18*IF(BT186="",0,1)+Weights!$C$19*IF(BW186="",0,1)+Weights!$C$20*IF(BZ186="",0,1)+Weights!$C$21*IF(BO186="",0,1)+Weights!$C$22)=0,"",(Weights!$C$13*IF(BP186="",0,BP186)+Weights!$C$14*IF(BR186="",0,BR186)+Weights!$C$15*IF(BQ186="",0,BQ186)+Weights!$C$16*IF(BS186="",0,BS186)+Weights!$C$17*IF(BU186="",0,BU186)+Weights!$C$18*IF(BT186="",0,BT186)+Weights!$C$19*IF(BW186="",0,BW186)+Weights!$C$20*IF(BZ186="",0,BZ186)+Weights!$C$21*IF(BO186="",0,BO186)+Weights!$C$22*BV186)/(Weights!$C$13*IF(BP186="",0,1)+Weights!$C$14*IF(BR186="",0,1)+Weights!$C$15*IF(BQ186="",0,1)+Weights!$C$16*IF(BS186="",0,1)+Weights!$C$17*IF(BU186="",0,1)+Weights!$C$18*IF(BT186="",0,1)+Weights!$C$19*IF(BW186="",0,1)+Weights!$C$20*IF(BZ186="",0,1)+Weights!$C$21*IF(BO186="",0,1)+Weights!$C$22))</x:f>
      </x:c>
      <x:c r="CC186" s="10">
        <x:f>IF((Weights!$C$23*IF(BQ186="",0,1)+Weights!$C$24*IF(BN186="",0,1)+Weights!$C$25*IF(BS186="",0,1)+Weights!$C$26*IF(BY186="",0,1)+Weights!$C$27*IF(BX186="",0,1)+Weights!$C$28*IF(BT186="",0,1)+Weights!$C$29*IF(CA186="",0,1)+Weights!$C$30+Weights!$C$31*IF(BU186="",0,1))=0,"",(Weights!$C$23*IF(BQ186="",0,BQ186)+Weights!$C$24*IF(BN186="",0,BN186)+Weights!$C$25*IF(BS186="",0,BS186)+Weights!$C$26*IF(BY186="",0,BY186)+Weights!$C$27*IF(BX186="",0,BX186)+Weights!$C$28*IF(BT186="",0,BT186)+Weights!$C$29*IF(CA186="",0,CA186)+Weights!$C$30*BV186+Weights!$C$31*IF(BU186="",0,BU186))/(Weights!$C$23*IF(BQ186="",0,1)+Weights!$C$24*IF(BN186="",0,1)+Weights!$C$25*IF(BS186="",0,1)+Weights!$C$26*IF(BY186="",0,1)+Weights!$C$27*IF(BX186="",0,1)+Weights!$C$28*IF(BT186="",0,1)+Weights!$C$29*IF(CA186="",0,1)+Weights!$C$30+Weights!$C$31*IF(BU186="",0,1)))</x:f>
      </x:c>
      <x:c r="CD186" s="10">
        <x:f>IF(AND(CB186="",CC186=""),"",IF(CB186="",CC186,IF(CC186="",CB186,AVERAGE(CB186,CC186))))</x:f>
      </x:c>
      <x:c r="CE186" s="7">
        <x:f>ROUND(100*((IF(BP186&lt;&gt;"",1,0)+IF(BQ186&lt;&gt;"",1,0)+IF(BR186&lt;&gt;"",1,0)+IF(BS186&lt;&gt;"",1,0)+IF(BU186&lt;&gt;"",1,0)+IF(BT186&lt;&gt;"",1,0)+IF(BN186&lt;&gt;"",1,0)+IF(AW186&lt;&gt;"",1,0))/8),0)</x:f>
      </x:c>
      <x:c r="CF186">
        <x:f>IF(V186="","",LOG10(V186+1))</x:f>
      </x:c>
      <x:c r="CG186">
        <x:f>IF(CF186="","",IF(MAX($CF$2:$CF$252)-MIN($CF$2:$CF$252)=0,"",(CF186-MIN($CF$2:$CF$252))/(MAX($CF$2:$CF$252)-MIN($CF$2:$CF$252))*100))</x:f>
      </x:c>
    </x:row>
    <x:row r="187">
      <x:c r="A187" t="inlineStr">
        <x:is>
          <x:t xml:space="preserve">SVN</x:t>
        </x:is>
      </x:c>
      <x:c r="B187" t="inlineStr">
        <x:is>
          <x:t xml:space="preserve">Slovenia</x:t>
        </x:is>
      </x:c>
      <x:c r="C187" t="inlineStr">
        <x:is>
          <x:t xml:space="preserve">Europe &amp; Central Asia</x:t>
        </x:is>
      </x:c>
      <x:c r="D187" t="inlineStr">
        <x:is>
          <x:t xml:space="preserve">High income</x:t>
        </x:is>
      </x:c>
      <x:c r="E187" t="inlineStr">
        <x:is>
          <x:t xml:space="preserve">Europe</x:t>
        </x:is>
      </x:c>
      <x:c r="F187" t="n">
        <x:v>2024</x:v>
      </x:c>
      <x:c r="G187" t="n">
        <x:v>2127400</x:v>
      </x:c>
      <x:c r="H187" t="n">
        <x:v>2020</x:v>
      </x:c>
      <x:c r="I187" t="n">
        <x:v>7000</x:v>
      </x:c>
      <x:c r="J187" t="n">
        <x:v>4550</x:v>
      </x:c>
      <x:c r="K187" t="n">
        <x:v>1400</x:v>
      </x:c>
      <x:c r="L187" t="n">
        <x:v>840</x:v>
      </x:c>
      <x:c r="M187" t="n">
        <x:v>2024</x:v>
      </x:c>
      <x:c r="N187" s="8" t="n">
        <x:v>951904999.881012</x:v>
      </x:c>
      <x:c r="O187" s="9" t="n">
        <x:v>1.31001116486788</x:v>
      </x:c>
      <x:c r="P187" s="8" t="n">
        <x:v>135986.4285544303</x:v>
      </x:c>
      <x:c r="Q187" t="n">
        <x:v>2024</x:v>
      </x:c>
      <x:c r="R187" s="8" t="n">
        <x:v>72972015197.38589</x:v>
      </x:c>
      <x:c r="S187" t="n">
        <x:v>2</x:v>
      </x:c>
      <x:c r="T187" t="n">
        <x:v>0</x:v>
      </x:c>
      <x:c r="U187" t="inlineStr">
        <x:is>
          <x:t xml:space="preserve">No</x:t>
        </x:is>
      </x:c>
      <x:c r="W187" t="inlineStr">
        <x:is>
          <x:t xml:space="preserve">No</x:t>
        </x:is>
      </x:c>
      <x:c r="X187" t="n">
        <x:v>14.6361487156168</x:v>
      </x:c>
      <x:c r="Y187" t="n">
        <x:v>74.8300619341136</x:v>
      </x:c>
      <x:c r="Z187" t="n">
        <x:v>19118.12271794954</x:v>
      </x:c>
      <x:c r="AA187" t="n">
        <x:v>103.1547934436271</x:v>
      </x:c>
      <x:c r="AB187" s="8" t="n">
        <x:v>34658.02894946875</x:v>
      </x:c>
      <x:c r="AC187" t="n">
        <x:v>2</x:v>
      </x:c>
      <x:c r="AD187" t="n">
        <x:v>0</x:v>
      </x:c>
      <x:c r="AE187" t="n">
        <x:v>0</x:v>
      </x:c>
      <x:c r="AR187">
        <x:f>IF(G187="","",LOG10(G187+1))</x:f>
      </x:c>
      <x:c r="AS187" s="10">
        <x:f>IF(AR187="","",IF(MAX($AR$2:$AR$252)-MIN($AR$2:$AR$252)=0,"",(AR187-MIN($AR$2:$AR$252))/(MAX($AR$2:$AR$252)-MIN($AR$2:$AR$252))*100))</x:f>
      </x:c>
      <x:c r="AT187">
        <x:f>IF(R187="","",LOG10(R187+1))</x:f>
      </x:c>
      <x:c r="AU187" s="10">
        <x:f>IF(AT187="","",IF(MAX($AT$2:$AT$252)-MIN($AT$2:$AT$252)=0,"",(AT187-MIN($AT$2:$AT$252))/(MAX($AT$2:$AT$252)-MIN($AT$2:$AT$252))*100))</x:f>
      </x:c>
      <x:c r="AV187">
        <x:f>IF(N187="","",LOG10(N187+1))</x:f>
      </x:c>
      <x:c r="AW187" s="10">
        <x:f>IF(AV187="","",IF(MAX($AV$2:$AV$252)-MIN($AV$2:$AV$252)=0,"",(AV187-MIN($AV$2:$AV$252))/(MAX($AV$2:$AV$252)-MIN($AV$2:$AV$252))*100))</x:f>
      </x:c>
      <x:c r="AX187">
        <x:f>IF(I187="","",LOG10(I187+1))</x:f>
      </x:c>
      <x:c r="AY187" s="10">
        <x:f>IF(AX187="","",IF(MAX($AX$2:$AX$252)-MIN($AX$2:$AX$252)=0,"",(AX187-MIN($AX$2:$AX$252))/(MAX($AX$2:$AX$252)-MIN($AX$2:$AX$252))*100))</x:f>
      </x:c>
      <x:c r="AZ187">
        <x:f>IF(J187="","",LOG10(J187+1))</x:f>
      </x:c>
      <x:c r="BA187" s="10">
        <x:f>IF(AZ187="","",IF(MAX($AZ$2:$AZ$252)-MIN($AZ$2:$AZ$252)=0,"",(AZ187-MIN($AZ$2:$AZ$252))/(MAX($AZ$2:$AZ$252)-MIN($AZ$2:$AZ$252))*100))</x:f>
      </x:c>
      <x:c r="BB187">
        <x:f>IF(K187="","",LOG10(K187+1))</x:f>
      </x:c>
      <x:c r="BC187" s="10">
        <x:f>IF(BB187="","",IF(MAX($BB$2:$BB$252)-MIN($BB$2:$BB$252)=0,"",(BB187-MIN($BB$2:$BB$252))/(MAX($BB$2:$BB$252)-MIN($BB$2:$BB$252))*100))</x:f>
      </x:c>
      <x:c r="BD187">
        <x:f>IF(L187="","",LOG10(L187+1))</x:f>
      </x:c>
      <x:c r="BE187" s="10">
        <x:f>IF(BD187="","",IF(MAX($BD$2:$BD$252)-MIN($BD$2:$BD$252)=0,"",(BD187-MIN($BD$2:$BD$252))/(MAX($BD$2:$BD$252)-MIN($BD$2:$BD$252))*100))</x:f>
      </x:c>
      <x:c r="BF187" s="10">
        <x:f>IF(P187="","",IF(MAX($P$2:$P$252)-MIN($P$2:$P$252)=0,"",(P187-MIN($P$2:$P$252))/(MAX($P$2:$P$252)-MIN($P$2:$P$252))*100))</x:f>
      </x:c>
      <x:c r="BG187">
        <x:f>IF(AF187="","",LOG10(AF187+1))</x:f>
      </x:c>
      <x:c r="BH187" s="10">
        <x:f>IF(BG187="","",IF(MAX($BG$2:$BG$252)-MIN($BG$2:$BG$252)=0,"",(BG187-MIN($BG$2:$BG$252))/(MAX($BG$2:$BG$252)-MIN($BG$2:$BG$252))*100))</x:f>
      </x:c>
      <x:c r="BI187">
        <x:f>IF(AC187="","",LOG10(AC187+1))</x:f>
      </x:c>
      <x:c r="BJ187" s="10">
        <x:f>IF(BI187="","",IF(MAX($BI$2:$BI$252)-MIN($BI$2:$BI$252)=0,"",(BI187-MIN($BI$2:$BI$252))/(MAX($BI$2:$BI$252)-MIN($BI$2:$BI$252))*100))</x:f>
      </x:c>
      <x:c r="BK187">
        <x:f>IF(AD187="","",(AD187*2)+(AE187*1))</x:f>
      </x:c>
      <x:c r="BL187" s="10">
        <x:f>IF(BK187="","",IF(MAX($BK$2:$BK$252)-MIN($BK$2:$BK$252)=0,"",(BK187-MIN($BK$2:$BK$252))/(MAX($BK$2:$BK$252)-MIN($BK$2:$BK$252))*100))</x:f>
      </x:c>
      <x:c r="BM187" s="10">
        <x:f>IF(AB187="","",IF(MAX($AB$2:$AB$252)-MIN($AB$2:$AB$252)=0,"",(AB187-MIN($AB$2:$AB$252))/(MAX($AB$2:$AB$252)-MIN($AB$2:$AB$252))*100))</x:f>
      </x:c>
      <x:c r="BN187" s="10">
        <x:f>IF(X187="","",X187)</x:f>
      </x:c>
      <x:c r="BO187" s="10">
        <x:f>IF(X187="","",100-X187)</x:f>
      </x:c>
      <x:c r="BP187" s="10">
        <x:f>IF((Weights!$C$2*IF(BH187="",0,1)+Weights!$C$3*IF(BJ187="",0,1)+Weights!$C$4*IF(BL187="",0,1))=0,"",(Weights!$C$2*IF(BH187="",0,BH187)+Weights!$C$3*IF(BJ187="",0,BJ187)+Weights!$C$4*IF(BL187="",0,BL187))/(Weights!$C$2*IF(BH187="",0,1)+Weights!$C$3*IF(BJ187="",0,1)+Weights!$C$4*IF(BL187="",0,1)))</x:f>
      </x:c>
      <x:c r="BQ187" s="10">
        <x:f>IF((Weights!$C$5*IF(BA187="",0,1)+Weights!$C$6*IF(AW187="",0,1)+Weights!$C$7*IF(AU187="",0,1))=0,"",(Weights!$C$5*IF(BA187="",0,BA187)+Weights!$C$6*IF(AW187="",0,AW187)+Weights!$C$7*IF(AU187="",0,AU187))/(Weights!$C$5*IF(BA187="",0,1)+Weights!$C$6*IF(AW187="",0,1)+Weights!$C$7*IF(AU187="",0,1)))</x:f>
      </x:c>
      <x:c r="BR187" s="10">
        <x:f>IF((Weights!$C$8*IF(AW187="",0,1)+Weights!$C$9*IF(BC187="",0,1)+Weights!$C$10*IF(BF187="",0,1))=0,"",(Weights!$C$8*IF(AW187="",0,AW187)+Weights!$C$9*IF(BC187="",0,BC187)+Weights!$C$10*IF(BF187="",0,BF187))/(Weights!$C$8*IF(AW187="",0,1)+Weights!$C$9*IF(BC187="",0,1)+Weights!$C$10*IF(BF187="",0,1)))</x:f>
      </x:c>
      <x:c r="BS187" s="10">
        <x:f>IF(Y187="","",Y187)</x:f>
      </x:c>
      <x:c r="BT187" s="10">
        <x:f>IF(AS187="","",AS187)</x:f>
      </x:c>
      <x:c r="BU187" s="10">
        <x:f>IF(AJ187&lt;&gt;"",(0.6*AJ187+0.4*AU187),IF((Weights!$C$11*IF(AU187="",0,1)+Weights!$C$12*IF(BM187="",0,1))=0,"",(Weights!$C$11*IF(AU187="",0,AU187)+Weights!$C$12*IF(BM187="",0,BM187))/(Weights!$C$11*IF(AU187="",0,1)+Weights!$C$12*IF(BM187="",0,1))))</x:f>
      </x:c>
      <x:c r="BV187" s="10">
        <x:f>IF(CG187="",0,CG187)</x:f>
      </x:c>
      <x:c r="BW187" s="10">
        <x:f>IF(AP187="","",AP187)</x:f>
      </x:c>
      <x:c r="BX187" s="10">
        <x:f>IF(AO187="","",AO187)</x:f>
      </x:c>
      <x:c r="BY187" s="10">
        <x:f>IF(AL187="","",AL187)</x:f>
      </x:c>
      <x:c r="BZ187" s="10">
        <x:f>IF(AM187="","",AM187)</x:f>
      </x:c>
      <x:c r="CA187" s="10">
        <x:f>IF(AK187&lt;&gt;"",AK187,AW187)</x:f>
      </x:c>
      <x:c r="CB187" s="10">
        <x:f>IF((Weights!$C$13*IF(BP187="",0,1)+Weights!$C$14*IF(BR187="",0,1)+Weights!$C$15*IF(BQ187="",0,1)+Weights!$C$16*IF(BS187="",0,1)+Weights!$C$17*IF(BU187="",0,1)+Weights!$C$18*IF(BT187="",0,1)+Weights!$C$19*IF(BW187="",0,1)+Weights!$C$20*IF(BZ187="",0,1)+Weights!$C$21*IF(BO187="",0,1)+Weights!$C$22)=0,"",(Weights!$C$13*IF(BP187="",0,BP187)+Weights!$C$14*IF(BR187="",0,BR187)+Weights!$C$15*IF(BQ187="",0,BQ187)+Weights!$C$16*IF(BS187="",0,BS187)+Weights!$C$17*IF(BU187="",0,BU187)+Weights!$C$18*IF(BT187="",0,BT187)+Weights!$C$19*IF(BW187="",0,BW187)+Weights!$C$20*IF(BZ187="",0,BZ187)+Weights!$C$21*IF(BO187="",0,BO187)+Weights!$C$22*BV187)/(Weights!$C$13*IF(BP187="",0,1)+Weights!$C$14*IF(BR187="",0,1)+Weights!$C$15*IF(BQ187="",0,1)+Weights!$C$16*IF(BS187="",0,1)+Weights!$C$17*IF(BU187="",0,1)+Weights!$C$18*IF(BT187="",0,1)+Weights!$C$19*IF(BW187="",0,1)+Weights!$C$20*IF(BZ187="",0,1)+Weights!$C$21*IF(BO187="",0,1)+Weights!$C$22))</x:f>
      </x:c>
      <x:c r="CC187" s="10">
        <x:f>IF((Weights!$C$23*IF(BQ187="",0,1)+Weights!$C$24*IF(BN187="",0,1)+Weights!$C$25*IF(BS187="",0,1)+Weights!$C$26*IF(BY187="",0,1)+Weights!$C$27*IF(BX187="",0,1)+Weights!$C$28*IF(BT187="",0,1)+Weights!$C$29*IF(CA187="",0,1)+Weights!$C$30+Weights!$C$31*IF(BU187="",0,1))=0,"",(Weights!$C$23*IF(BQ187="",0,BQ187)+Weights!$C$24*IF(BN187="",0,BN187)+Weights!$C$25*IF(BS187="",0,BS187)+Weights!$C$26*IF(BY187="",0,BY187)+Weights!$C$27*IF(BX187="",0,BX187)+Weights!$C$28*IF(BT187="",0,BT187)+Weights!$C$29*IF(CA187="",0,CA187)+Weights!$C$30*BV187+Weights!$C$31*IF(BU187="",0,BU187))/(Weights!$C$23*IF(BQ187="",0,1)+Weights!$C$24*IF(BN187="",0,1)+Weights!$C$25*IF(BS187="",0,1)+Weights!$C$26*IF(BY187="",0,1)+Weights!$C$27*IF(BX187="",0,1)+Weights!$C$28*IF(BT187="",0,1)+Weights!$C$29*IF(CA187="",0,1)+Weights!$C$30+Weights!$C$31*IF(BU187="",0,1)))</x:f>
      </x:c>
      <x:c r="CD187" s="10">
        <x:f>IF(AND(CB187="",CC187=""),"",IF(CB187="",CC187,IF(CC187="",CB187,AVERAGE(CB187,CC187))))</x:f>
      </x:c>
      <x:c r="CE187" s="7">
        <x:f>ROUND(100*((IF(BP187&lt;&gt;"",1,0)+IF(BQ187&lt;&gt;"",1,0)+IF(BR187&lt;&gt;"",1,0)+IF(BS187&lt;&gt;"",1,0)+IF(BU187&lt;&gt;"",1,0)+IF(BT187&lt;&gt;"",1,0)+IF(BN187&lt;&gt;"",1,0)+IF(AW187&lt;&gt;"",1,0))/8),0)</x:f>
      </x:c>
      <x:c r="CF187">
        <x:f>IF(V187="","",LOG10(V187+1))</x:f>
      </x:c>
      <x:c r="CG187">
        <x:f>IF(CF187="","",IF(MAX($CF$2:$CF$252)-MIN($CF$2:$CF$252)=0,"",(CF187-MIN($CF$2:$CF$252))/(MAX($CF$2:$CF$252)-MIN($CF$2:$CF$252))*100))</x:f>
      </x:c>
    </x:row>
    <x:row r="188">
      <x:c r="A188" t="inlineStr">
        <x:is>
          <x:t xml:space="preserve">ZAF</x:t>
        </x:is>
      </x:c>
      <x:c r="B188" t="inlineStr">
        <x:is>
          <x:t xml:space="preserve">South Africa</x:t>
        </x:is>
      </x:c>
      <x:c r="C188" t="inlineStr">
        <x:is>
          <x:t xml:space="preserve">Sub-Saharan Africa</x:t>
        </x:is>
      </x:c>
      <x:c r="D188" t="inlineStr">
        <x:is>
          <x:t xml:space="preserve">Upper middle income</x:t>
        </x:is>
      </x:c>
      <x:c r="E188" t="inlineStr">
        <x:is>
          <x:t xml:space="preserve">Africa</x:t>
        </x:is>
      </x:c>
      <x:c r="F188" t="n">
        <x:v>2024</x:v>
      </x:c>
      <x:c r="G188" t="n">
        <x:v>64007187</x:v>
      </x:c>
      <x:c r="H188" t="n">
        <x:v>2020</x:v>
      </x:c>
      <x:c r="I188" t="n">
        <x:v>89000</x:v>
      </x:c>
      <x:c r="J188" t="n">
        <x:v>57850</x:v>
      </x:c>
      <x:c r="K188" t="n">
        <x:v>17800</x:v>
      </x:c>
      <x:c r="L188" t="n">
        <x:v>10680</x:v>
      </x:c>
      <x:c r="M188" t="n">
        <x:v>2024</x:v>
      </x:c>
      <x:c r="N188" s="8" t="n">
        <x:v>2835956043.23652</x:v>
      </x:c>
      <x:c r="O188" s="9" t="n">
        <x:v>0.700150834276412</x:v>
      </x:c>
      <x:c r="P188" s="8" t="n">
        <x:v>31864.67464310697</x:v>
      </x:c>
      <x:c r="Q188" t="n">
        <x:v>2024</x:v>
      </x:c>
      <x:c r="R188" s="8" t="n">
        <x:v>401144998373.585</x:v>
      </x:c>
      <x:c r="S188" t="n">
        <x:v>5</x:v>
      </x:c>
      <x:c r="T188" t="n">
        <x:v>0</x:v>
      </x:c>
      <x:c r="U188" t="inlineStr">
        <x:is>
          <x:t xml:space="preserve">No</x:t>
        </x:is>
      </x:c>
      <x:c r="W188" t="inlineStr">
        <x:is>
          <x:t xml:space="preserve">No</x:t>
        </x:is>
      </x:c>
      <x:c r="X188" t="n">
        <x:v>17.57355576230023</x:v>
      </x:c>
      <x:c r="Y188" t="n">
        <x:v>55.88121311363091</x:v>
      </x:c>
      <x:c r="Z188" t="n">
        <x:v>1216400.83108031</x:v>
      </x:c>
      <x:c r="AA188" t="n">
        <x:v>45.08509908801536</x:v>
      </x:c>
      <x:c r="AB188" s="8" t="n">
        <x:v>13477.00736113376</x:v>
      </x:c>
      <x:c r="AC188" t="n">
        <x:v>47</x:v>
      </x:c>
      <x:c r="AD188" t="n">
        <x:v>0</x:v>
      </x:c>
      <x:c r="AE188" t="n">
        <x:v>0</x:v>
      </x:c>
      <x:c r="AF188" t="n">
        <x:v>13.7</x:v>
      </x:c>
      <x:c r="AG188" t="n">
        <x:v>11</x:v>
      </x:c>
      <x:c r="AH188" t="n">
        <x:v>35</x:v>
      </x:c>
      <x:c r="AR188">
        <x:f>IF(G188="","",LOG10(G188+1))</x:f>
      </x:c>
      <x:c r="AS188" s="10">
        <x:f>IF(AR188="","",IF(MAX($AR$2:$AR$252)-MIN($AR$2:$AR$252)=0,"",(AR188-MIN($AR$2:$AR$252))/(MAX($AR$2:$AR$252)-MIN($AR$2:$AR$252))*100))</x:f>
      </x:c>
      <x:c r="AT188">
        <x:f>IF(R188="","",LOG10(R188+1))</x:f>
      </x:c>
      <x:c r="AU188" s="10">
        <x:f>IF(AT188="","",IF(MAX($AT$2:$AT$252)-MIN($AT$2:$AT$252)=0,"",(AT188-MIN($AT$2:$AT$252))/(MAX($AT$2:$AT$252)-MIN($AT$2:$AT$252))*100))</x:f>
      </x:c>
      <x:c r="AV188">
        <x:f>IF(N188="","",LOG10(N188+1))</x:f>
      </x:c>
      <x:c r="AW188" s="10">
        <x:f>IF(AV188="","",IF(MAX($AV$2:$AV$252)-MIN($AV$2:$AV$252)=0,"",(AV188-MIN($AV$2:$AV$252))/(MAX($AV$2:$AV$252)-MIN($AV$2:$AV$252))*100))</x:f>
      </x:c>
      <x:c r="AX188">
        <x:f>IF(I188="","",LOG10(I188+1))</x:f>
      </x:c>
      <x:c r="AY188" s="10">
        <x:f>IF(AX188="","",IF(MAX($AX$2:$AX$252)-MIN($AX$2:$AX$252)=0,"",(AX188-MIN($AX$2:$AX$252))/(MAX($AX$2:$AX$252)-MIN($AX$2:$AX$252))*100))</x:f>
      </x:c>
      <x:c r="AZ188">
        <x:f>IF(J188="","",LOG10(J188+1))</x:f>
      </x:c>
      <x:c r="BA188" s="10">
        <x:f>IF(AZ188="","",IF(MAX($AZ$2:$AZ$252)-MIN($AZ$2:$AZ$252)=0,"",(AZ188-MIN($AZ$2:$AZ$252))/(MAX($AZ$2:$AZ$252)-MIN($AZ$2:$AZ$252))*100))</x:f>
      </x:c>
      <x:c r="BB188">
        <x:f>IF(K188="","",LOG10(K188+1))</x:f>
      </x:c>
      <x:c r="BC188" s="10">
        <x:f>IF(BB188="","",IF(MAX($BB$2:$BB$252)-MIN($BB$2:$BB$252)=0,"",(BB188-MIN($BB$2:$BB$252))/(MAX($BB$2:$BB$252)-MIN($BB$2:$BB$252))*100))</x:f>
      </x:c>
      <x:c r="BD188">
        <x:f>IF(L188="","",LOG10(L188+1))</x:f>
      </x:c>
      <x:c r="BE188" s="10">
        <x:f>IF(BD188="","",IF(MAX($BD$2:$BD$252)-MIN($BD$2:$BD$252)=0,"",(BD188-MIN($BD$2:$BD$252))/(MAX($BD$2:$BD$252)-MIN($BD$2:$BD$252))*100))</x:f>
      </x:c>
      <x:c r="BF188" s="10">
        <x:f>IF(P188="","",IF(MAX($P$2:$P$252)-MIN($P$2:$P$252)=0,"",(P188-MIN($P$2:$P$252))/(MAX($P$2:$P$252)-MIN($P$2:$P$252))*100))</x:f>
      </x:c>
      <x:c r="BG188">
        <x:f>IF(AF188="","",LOG10(AF188+1))</x:f>
      </x:c>
      <x:c r="BH188" s="10">
        <x:f>IF(BG188="","",IF(MAX($BG$2:$BG$252)-MIN($BG$2:$BG$252)=0,"",(BG188-MIN($BG$2:$BG$252))/(MAX($BG$2:$BG$252)-MIN($BG$2:$BG$252))*100))</x:f>
      </x:c>
      <x:c r="BI188">
        <x:f>IF(AC188="","",LOG10(AC188+1))</x:f>
      </x:c>
      <x:c r="BJ188" s="10">
        <x:f>IF(BI188="","",IF(MAX($BI$2:$BI$252)-MIN($BI$2:$BI$252)=0,"",(BI188-MIN($BI$2:$BI$252))/(MAX($BI$2:$BI$252)-MIN($BI$2:$BI$252))*100))</x:f>
      </x:c>
      <x:c r="BK188">
        <x:f>IF(AD188="","",(AD188*2)+(AE188*1))</x:f>
      </x:c>
      <x:c r="BL188" s="10">
        <x:f>IF(BK188="","",IF(MAX($BK$2:$BK$252)-MIN($BK$2:$BK$252)=0,"",(BK188-MIN($BK$2:$BK$252))/(MAX($BK$2:$BK$252)-MIN($BK$2:$BK$252))*100))</x:f>
      </x:c>
      <x:c r="BM188" s="10">
        <x:f>IF(AB188="","",IF(MAX($AB$2:$AB$252)-MIN($AB$2:$AB$252)=0,"",(AB188-MIN($AB$2:$AB$252))/(MAX($AB$2:$AB$252)-MIN($AB$2:$AB$252))*100))</x:f>
      </x:c>
      <x:c r="BN188" s="10">
        <x:f>IF(X188="","",X188)</x:f>
      </x:c>
      <x:c r="BO188" s="10">
        <x:f>IF(X188="","",100-X188)</x:f>
      </x:c>
      <x:c r="BP188" s="10">
        <x:f>IF((Weights!$C$2*IF(BH188="",0,1)+Weights!$C$3*IF(BJ188="",0,1)+Weights!$C$4*IF(BL188="",0,1))=0,"",(Weights!$C$2*IF(BH188="",0,BH188)+Weights!$C$3*IF(BJ188="",0,BJ188)+Weights!$C$4*IF(BL188="",0,BL188))/(Weights!$C$2*IF(BH188="",0,1)+Weights!$C$3*IF(BJ188="",0,1)+Weights!$C$4*IF(BL188="",0,1)))</x:f>
      </x:c>
      <x:c r="BQ188" s="10">
        <x:f>IF((Weights!$C$5*IF(BA188="",0,1)+Weights!$C$6*IF(AW188="",0,1)+Weights!$C$7*IF(AU188="",0,1))=0,"",(Weights!$C$5*IF(BA188="",0,BA188)+Weights!$C$6*IF(AW188="",0,AW188)+Weights!$C$7*IF(AU188="",0,AU188))/(Weights!$C$5*IF(BA188="",0,1)+Weights!$C$6*IF(AW188="",0,1)+Weights!$C$7*IF(AU188="",0,1)))</x:f>
      </x:c>
      <x:c r="BR188" s="10">
        <x:f>IF((Weights!$C$8*IF(AW188="",0,1)+Weights!$C$9*IF(BC188="",0,1)+Weights!$C$10*IF(BF188="",0,1))=0,"",(Weights!$C$8*IF(AW188="",0,AW188)+Weights!$C$9*IF(BC188="",0,BC188)+Weights!$C$10*IF(BF188="",0,BF188))/(Weights!$C$8*IF(AW188="",0,1)+Weights!$C$9*IF(BC188="",0,1)+Weights!$C$10*IF(BF188="",0,1)))</x:f>
      </x:c>
      <x:c r="BS188" s="10">
        <x:f>IF(Y188="","",Y188)</x:f>
      </x:c>
      <x:c r="BT188" s="10">
        <x:f>IF(AS188="","",AS188)</x:f>
      </x:c>
      <x:c r="BU188" s="10">
        <x:f>IF(AJ188&lt;&gt;"",(0.6*AJ188+0.4*AU188),IF((Weights!$C$11*IF(AU188="",0,1)+Weights!$C$12*IF(BM188="",0,1))=0,"",(Weights!$C$11*IF(AU188="",0,AU188)+Weights!$C$12*IF(BM188="",0,BM188))/(Weights!$C$11*IF(AU188="",0,1)+Weights!$C$12*IF(BM188="",0,1))))</x:f>
      </x:c>
      <x:c r="BV188" s="10">
        <x:f>IF(CG188="",0,CG188)</x:f>
      </x:c>
      <x:c r="BW188" s="10">
        <x:f>IF(AP188="","",AP188)</x:f>
      </x:c>
      <x:c r="BX188" s="10">
        <x:f>IF(AO188="","",AO188)</x:f>
      </x:c>
      <x:c r="BY188" s="10">
        <x:f>IF(AL188="","",AL188)</x:f>
      </x:c>
      <x:c r="BZ188" s="10">
        <x:f>IF(AM188="","",AM188)</x:f>
      </x:c>
      <x:c r="CA188" s="10">
        <x:f>IF(AK188&lt;&gt;"",AK188,AW188)</x:f>
      </x:c>
      <x:c r="CB188" s="10">
        <x:f>IF((Weights!$C$13*IF(BP188="",0,1)+Weights!$C$14*IF(BR188="",0,1)+Weights!$C$15*IF(BQ188="",0,1)+Weights!$C$16*IF(BS188="",0,1)+Weights!$C$17*IF(BU188="",0,1)+Weights!$C$18*IF(BT188="",0,1)+Weights!$C$19*IF(BW188="",0,1)+Weights!$C$20*IF(BZ188="",0,1)+Weights!$C$21*IF(BO188="",0,1)+Weights!$C$22)=0,"",(Weights!$C$13*IF(BP188="",0,BP188)+Weights!$C$14*IF(BR188="",0,BR188)+Weights!$C$15*IF(BQ188="",0,BQ188)+Weights!$C$16*IF(BS188="",0,BS188)+Weights!$C$17*IF(BU188="",0,BU188)+Weights!$C$18*IF(BT188="",0,BT188)+Weights!$C$19*IF(BW188="",0,BW188)+Weights!$C$20*IF(BZ188="",0,BZ188)+Weights!$C$21*IF(BO188="",0,BO188)+Weights!$C$22*BV188)/(Weights!$C$13*IF(BP188="",0,1)+Weights!$C$14*IF(BR188="",0,1)+Weights!$C$15*IF(BQ188="",0,1)+Weights!$C$16*IF(BS188="",0,1)+Weights!$C$17*IF(BU188="",0,1)+Weights!$C$18*IF(BT188="",0,1)+Weights!$C$19*IF(BW188="",0,1)+Weights!$C$20*IF(BZ188="",0,1)+Weights!$C$21*IF(BO188="",0,1)+Weights!$C$22))</x:f>
      </x:c>
      <x:c r="CC188" s="10">
        <x:f>IF((Weights!$C$23*IF(BQ188="",0,1)+Weights!$C$24*IF(BN188="",0,1)+Weights!$C$25*IF(BS188="",0,1)+Weights!$C$26*IF(BY188="",0,1)+Weights!$C$27*IF(BX188="",0,1)+Weights!$C$28*IF(BT188="",0,1)+Weights!$C$29*IF(CA188="",0,1)+Weights!$C$30+Weights!$C$31*IF(BU188="",0,1))=0,"",(Weights!$C$23*IF(BQ188="",0,BQ188)+Weights!$C$24*IF(BN188="",0,BN188)+Weights!$C$25*IF(BS188="",0,BS188)+Weights!$C$26*IF(BY188="",0,BY188)+Weights!$C$27*IF(BX188="",0,BX188)+Weights!$C$28*IF(BT188="",0,BT188)+Weights!$C$29*IF(CA188="",0,CA188)+Weights!$C$30*BV188+Weights!$C$31*IF(BU188="",0,BU188))/(Weights!$C$23*IF(BQ188="",0,1)+Weights!$C$24*IF(BN188="",0,1)+Weights!$C$25*IF(BS188="",0,1)+Weights!$C$26*IF(BY188="",0,1)+Weights!$C$27*IF(BX188="",0,1)+Weights!$C$28*IF(BT188="",0,1)+Weights!$C$29*IF(CA188="",0,1)+Weights!$C$30+Weights!$C$31*IF(BU188="",0,1)))</x:f>
      </x:c>
      <x:c r="CD188" s="10">
        <x:f>IF(AND(CB188="",CC188=""),"",IF(CB188="",CC188,IF(CC188="",CB188,AVERAGE(CB188,CC188))))</x:f>
      </x:c>
      <x:c r="CE188" s="7">
        <x:f>ROUND(100*((IF(BP188&lt;&gt;"",1,0)+IF(BQ188&lt;&gt;"",1,0)+IF(BR188&lt;&gt;"",1,0)+IF(BS188&lt;&gt;"",1,0)+IF(BU188&lt;&gt;"",1,0)+IF(BT188&lt;&gt;"",1,0)+IF(BN188&lt;&gt;"",1,0)+IF(AW188&lt;&gt;"",1,0))/8),0)</x:f>
      </x:c>
      <x:c r="CF188">
        <x:f>IF(V188="","",LOG10(V188+1))</x:f>
      </x:c>
      <x:c r="CG188">
        <x:f>IF(CF188="","",IF(MAX($CF$2:$CF$252)-MIN($CF$2:$CF$252)=0,"",(CF188-MIN($CF$2:$CF$252))/(MAX($CF$2:$CF$252)-MIN($CF$2:$CF$252))*100))</x:f>
      </x:c>
    </x:row>
    <x:row r="189">
      <x:c r="A189" t="inlineStr">
        <x:is>
          <x:t xml:space="preserve">SSD</x:t>
        </x:is>
      </x:c>
      <x:c r="B189" t="inlineStr">
        <x:is>
          <x:t xml:space="preserve">South Sudan</x:t>
        </x:is>
      </x:c>
      <x:c r="C189" t="inlineStr">
        <x:is>
          <x:t xml:space="preserve">Sub-Saharan Africa</x:t>
        </x:is>
      </x:c>
      <x:c r="D189" t="inlineStr">
        <x:is>
          <x:t xml:space="preserve">Low income</x:t>
        </x:is>
      </x:c>
      <x:c r="E189" t="inlineStr">
        <x:is>
          <x:t xml:space="preserve">Africa</x:t>
        </x:is>
      </x:c>
      <x:c r="F189" t="n">
        <x:v>2024</x:v>
      </x:c>
      <x:c r="G189" t="n">
        <x:v>11943408</x:v>
      </x:c>
      <x:c r="H189" t="n">
        <x:v>2020</x:v>
      </x:c>
      <x:c r="I189" t="n">
        <x:v>53000</x:v>
      </x:c>
      <x:c r="J189" t="n">
        <x:v>34450</x:v>
      </x:c>
      <x:c r="K189" t="n">
        <x:v>10600</x:v>
      </x:c>
      <x:c r="L189" t="n">
        <x:v>6360</x:v>
      </x:c>
      <x:c r="M189" t="n">
        <x:v>2024</x:v>
      </x:c>
      <x:c r="N189" s="8" t="n">
        <x:v>2027890373.09995</x:v>
      </x:c>
      <x:c r="O189" s="9" t="n">
        <x:v>1.9617070809135</x:v>
      </x:c>
      <x:c r="P189" s="8" t="n">
        <x:v>38262.08251131982</x:v>
      </x:c>
      <x:c r="Q189" t="n">
        <x:v>2015</x:v>
      </x:c>
      <x:c r="R189" s="8" t="n">
        <x:v>11997800760.2242</x:v>
      </x:c>
      <x:c r="S189" t="n">
        <x:v>0</x:v>
      </x:c>
      <x:c r="T189" t="n">
        <x:v>0</x:v>
      </x:c>
      <x:c r="U189" t="inlineStr">
        <x:is>
          <x:t xml:space="preserve">No</x:t>
        </x:is>
      </x:c>
      <x:c r="W189" t="inlineStr">
        <x:is>
          <x:t xml:space="preserve">No</x:t>
        </x:is>
      </x:c>
      <x:c r="X189" t="n">
        <x:v>16.57427036430024</x:v>
      </x:c>
      <x:c r="Y189" t="n">
        <x:v>20.01756791374908</x:v>
      </x:c>
      <x:c r="Z189" t="n">
        <x:v>624909.0990858454</x:v>
      </x:c>
      <x:c r="AA189" t="n">
        <x:v>20.84483810374245</x:v>
      </x:c>
      <x:c r="AB189" s="8" t="n">
        <x:v>1602.932075983587</x:v>
      </x:c>
      <x:c r="AR189">
        <x:f>IF(G189="","",LOG10(G189+1))</x:f>
      </x:c>
      <x:c r="AS189" s="10">
        <x:f>IF(AR189="","",IF(MAX($AR$2:$AR$252)-MIN($AR$2:$AR$252)=0,"",(AR189-MIN($AR$2:$AR$252))/(MAX($AR$2:$AR$252)-MIN($AR$2:$AR$252))*100))</x:f>
      </x:c>
      <x:c r="AT189">
        <x:f>IF(R189="","",LOG10(R189+1))</x:f>
      </x:c>
      <x:c r="AU189" s="10">
        <x:f>IF(AT189="","",IF(MAX($AT$2:$AT$252)-MIN($AT$2:$AT$252)=0,"",(AT189-MIN($AT$2:$AT$252))/(MAX($AT$2:$AT$252)-MIN($AT$2:$AT$252))*100))</x:f>
      </x:c>
      <x:c r="AV189">
        <x:f>IF(N189="","",LOG10(N189+1))</x:f>
      </x:c>
      <x:c r="AW189" s="10">
        <x:f>IF(AV189="","",IF(MAX($AV$2:$AV$252)-MIN($AV$2:$AV$252)=0,"",(AV189-MIN($AV$2:$AV$252))/(MAX($AV$2:$AV$252)-MIN($AV$2:$AV$252))*100))</x:f>
      </x:c>
      <x:c r="AX189">
        <x:f>IF(I189="","",LOG10(I189+1))</x:f>
      </x:c>
      <x:c r="AY189" s="10">
        <x:f>IF(AX189="","",IF(MAX($AX$2:$AX$252)-MIN($AX$2:$AX$252)=0,"",(AX189-MIN($AX$2:$AX$252))/(MAX($AX$2:$AX$252)-MIN($AX$2:$AX$252))*100))</x:f>
      </x:c>
      <x:c r="AZ189">
        <x:f>IF(J189="","",LOG10(J189+1))</x:f>
      </x:c>
      <x:c r="BA189" s="10">
        <x:f>IF(AZ189="","",IF(MAX($AZ$2:$AZ$252)-MIN($AZ$2:$AZ$252)=0,"",(AZ189-MIN($AZ$2:$AZ$252))/(MAX($AZ$2:$AZ$252)-MIN($AZ$2:$AZ$252))*100))</x:f>
      </x:c>
      <x:c r="BB189">
        <x:f>IF(K189="","",LOG10(K189+1))</x:f>
      </x:c>
      <x:c r="BC189" s="10">
        <x:f>IF(BB189="","",IF(MAX($BB$2:$BB$252)-MIN($BB$2:$BB$252)=0,"",(BB189-MIN($BB$2:$BB$252))/(MAX($BB$2:$BB$252)-MIN($BB$2:$BB$252))*100))</x:f>
      </x:c>
      <x:c r="BD189">
        <x:f>IF(L189="","",LOG10(L189+1))</x:f>
      </x:c>
      <x:c r="BE189" s="10">
        <x:f>IF(BD189="","",IF(MAX($BD$2:$BD$252)-MIN($BD$2:$BD$252)=0,"",(BD189-MIN($BD$2:$BD$252))/(MAX($BD$2:$BD$252)-MIN($BD$2:$BD$252))*100))</x:f>
      </x:c>
      <x:c r="BF189" s="10">
        <x:f>IF(P189="","",IF(MAX($P$2:$P$252)-MIN($P$2:$P$252)=0,"",(P189-MIN($P$2:$P$252))/(MAX($P$2:$P$252)-MIN($P$2:$P$252))*100))</x:f>
      </x:c>
      <x:c r="BG189">
        <x:f>IF(AF189="","",LOG10(AF189+1))</x:f>
      </x:c>
      <x:c r="BH189" s="10">
        <x:f>IF(BG189="","",IF(MAX($BG$2:$BG$252)-MIN($BG$2:$BG$252)=0,"",(BG189-MIN($BG$2:$BG$252))/(MAX($BG$2:$BG$252)-MIN($BG$2:$BG$252))*100))</x:f>
      </x:c>
      <x:c r="BI189">
        <x:f>IF(AC189="","",LOG10(AC189+1))</x:f>
      </x:c>
      <x:c r="BJ189" s="10">
        <x:f>IF(BI189="","",IF(MAX($BI$2:$BI$252)-MIN($BI$2:$BI$252)=0,"",(BI189-MIN($BI$2:$BI$252))/(MAX($BI$2:$BI$252)-MIN($BI$2:$BI$252))*100))</x:f>
      </x:c>
      <x:c r="BK189">
        <x:f>IF(AD189="","",(AD189*2)+(AE189*1))</x:f>
      </x:c>
      <x:c r="BL189" s="10">
        <x:f>IF(BK189="","",IF(MAX($BK$2:$BK$252)-MIN($BK$2:$BK$252)=0,"",(BK189-MIN($BK$2:$BK$252))/(MAX($BK$2:$BK$252)-MIN($BK$2:$BK$252))*100))</x:f>
      </x:c>
      <x:c r="BM189" s="10">
        <x:f>IF(AB189="","",IF(MAX($AB$2:$AB$252)-MIN($AB$2:$AB$252)=0,"",(AB189-MIN($AB$2:$AB$252))/(MAX($AB$2:$AB$252)-MIN($AB$2:$AB$252))*100))</x:f>
      </x:c>
      <x:c r="BN189" s="10">
        <x:f>IF(X189="","",X189)</x:f>
      </x:c>
      <x:c r="BO189" s="10">
        <x:f>IF(X189="","",100-X189)</x:f>
      </x:c>
      <x:c r="BP189" s="10">
        <x:f>IF((Weights!$C$2*IF(BH189="",0,1)+Weights!$C$3*IF(BJ189="",0,1)+Weights!$C$4*IF(BL189="",0,1))=0,"",(Weights!$C$2*IF(BH189="",0,BH189)+Weights!$C$3*IF(BJ189="",0,BJ189)+Weights!$C$4*IF(BL189="",0,BL189))/(Weights!$C$2*IF(BH189="",0,1)+Weights!$C$3*IF(BJ189="",0,1)+Weights!$C$4*IF(BL189="",0,1)))</x:f>
      </x:c>
      <x:c r="BQ189" s="10">
        <x:f>IF((Weights!$C$5*IF(BA189="",0,1)+Weights!$C$6*IF(AW189="",0,1)+Weights!$C$7*IF(AU189="",0,1))=0,"",(Weights!$C$5*IF(BA189="",0,BA189)+Weights!$C$6*IF(AW189="",0,AW189)+Weights!$C$7*IF(AU189="",0,AU189))/(Weights!$C$5*IF(BA189="",0,1)+Weights!$C$6*IF(AW189="",0,1)+Weights!$C$7*IF(AU189="",0,1)))</x:f>
      </x:c>
      <x:c r="BR189" s="10">
        <x:f>IF((Weights!$C$8*IF(AW189="",0,1)+Weights!$C$9*IF(BC189="",0,1)+Weights!$C$10*IF(BF189="",0,1))=0,"",(Weights!$C$8*IF(AW189="",0,AW189)+Weights!$C$9*IF(BC189="",0,BC189)+Weights!$C$10*IF(BF189="",0,BF189))/(Weights!$C$8*IF(AW189="",0,1)+Weights!$C$9*IF(BC189="",0,1)+Weights!$C$10*IF(BF189="",0,1)))</x:f>
      </x:c>
      <x:c r="BS189" s="10">
        <x:f>IF(Y189="","",Y189)</x:f>
      </x:c>
      <x:c r="BT189" s="10">
        <x:f>IF(AS189="","",AS189)</x:f>
      </x:c>
      <x:c r="BU189" s="10">
        <x:f>IF(AJ189&lt;&gt;"",(0.6*AJ189+0.4*AU189),IF((Weights!$C$11*IF(AU189="",0,1)+Weights!$C$12*IF(BM189="",0,1))=0,"",(Weights!$C$11*IF(AU189="",0,AU189)+Weights!$C$12*IF(BM189="",0,BM189))/(Weights!$C$11*IF(AU189="",0,1)+Weights!$C$12*IF(BM189="",0,1))))</x:f>
      </x:c>
      <x:c r="BV189" s="10">
        <x:f>IF(CG189="",0,CG189)</x:f>
      </x:c>
      <x:c r="BW189" s="10">
        <x:f>IF(AP189="","",AP189)</x:f>
      </x:c>
      <x:c r="BX189" s="10">
        <x:f>IF(AO189="","",AO189)</x:f>
      </x:c>
      <x:c r="BY189" s="10">
        <x:f>IF(AL189="","",AL189)</x:f>
      </x:c>
      <x:c r="BZ189" s="10">
        <x:f>IF(AM189="","",AM189)</x:f>
      </x:c>
      <x:c r="CA189" s="10">
        <x:f>IF(AK189&lt;&gt;"",AK189,AW189)</x:f>
      </x:c>
      <x:c r="CB189" s="10">
        <x:f>IF((Weights!$C$13*IF(BP189="",0,1)+Weights!$C$14*IF(BR189="",0,1)+Weights!$C$15*IF(BQ189="",0,1)+Weights!$C$16*IF(BS189="",0,1)+Weights!$C$17*IF(BU189="",0,1)+Weights!$C$18*IF(BT189="",0,1)+Weights!$C$19*IF(BW189="",0,1)+Weights!$C$20*IF(BZ189="",0,1)+Weights!$C$21*IF(BO189="",0,1)+Weights!$C$22)=0,"",(Weights!$C$13*IF(BP189="",0,BP189)+Weights!$C$14*IF(BR189="",0,BR189)+Weights!$C$15*IF(BQ189="",0,BQ189)+Weights!$C$16*IF(BS189="",0,BS189)+Weights!$C$17*IF(BU189="",0,BU189)+Weights!$C$18*IF(BT189="",0,BT189)+Weights!$C$19*IF(BW189="",0,BW189)+Weights!$C$20*IF(BZ189="",0,BZ189)+Weights!$C$21*IF(BO189="",0,BO189)+Weights!$C$22*BV189)/(Weights!$C$13*IF(BP189="",0,1)+Weights!$C$14*IF(BR189="",0,1)+Weights!$C$15*IF(BQ189="",0,1)+Weights!$C$16*IF(BS189="",0,1)+Weights!$C$17*IF(BU189="",0,1)+Weights!$C$18*IF(BT189="",0,1)+Weights!$C$19*IF(BW189="",0,1)+Weights!$C$20*IF(BZ189="",0,1)+Weights!$C$21*IF(BO189="",0,1)+Weights!$C$22))</x:f>
      </x:c>
      <x:c r="CC189" s="10">
        <x:f>IF((Weights!$C$23*IF(BQ189="",0,1)+Weights!$C$24*IF(BN189="",0,1)+Weights!$C$25*IF(BS189="",0,1)+Weights!$C$26*IF(BY189="",0,1)+Weights!$C$27*IF(BX189="",0,1)+Weights!$C$28*IF(BT189="",0,1)+Weights!$C$29*IF(CA189="",0,1)+Weights!$C$30+Weights!$C$31*IF(BU189="",0,1))=0,"",(Weights!$C$23*IF(BQ189="",0,BQ189)+Weights!$C$24*IF(BN189="",0,BN189)+Weights!$C$25*IF(BS189="",0,BS189)+Weights!$C$26*IF(BY189="",0,BY189)+Weights!$C$27*IF(BX189="",0,BX189)+Weights!$C$28*IF(BT189="",0,BT189)+Weights!$C$29*IF(CA189="",0,CA189)+Weights!$C$30*BV189+Weights!$C$31*IF(BU189="",0,BU189))/(Weights!$C$23*IF(BQ189="",0,1)+Weights!$C$24*IF(BN189="",0,1)+Weights!$C$25*IF(BS189="",0,1)+Weights!$C$26*IF(BY189="",0,1)+Weights!$C$27*IF(BX189="",0,1)+Weights!$C$28*IF(BT189="",0,1)+Weights!$C$29*IF(CA189="",0,1)+Weights!$C$30+Weights!$C$31*IF(BU189="",0,1)))</x:f>
      </x:c>
      <x:c r="CD189" s="10">
        <x:f>IF(AND(CB189="",CC189=""),"",IF(CB189="",CC189,IF(CC189="",CB189,AVERAGE(CB189,CC189))))</x:f>
      </x:c>
      <x:c r="CE189" s="7">
        <x:f>ROUND(100*((IF(BP189&lt;&gt;"",1,0)+IF(BQ189&lt;&gt;"",1,0)+IF(BR189&lt;&gt;"",1,0)+IF(BS189&lt;&gt;"",1,0)+IF(BU189&lt;&gt;"",1,0)+IF(BT189&lt;&gt;"",1,0)+IF(BN189&lt;&gt;"",1,0)+IF(AW189&lt;&gt;"",1,0))/8),0)</x:f>
      </x:c>
      <x:c r="CF189">
        <x:f>IF(V189="","",LOG10(V189+1))</x:f>
      </x:c>
      <x:c r="CG189">
        <x:f>IF(CF189="","",IF(MAX($CF$2:$CF$252)-MIN($CF$2:$CF$252)=0,"",(CF189-MIN($CF$2:$CF$252))/(MAX($CF$2:$CF$252)-MIN($CF$2:$CF$252))*100))</x:f>
      </x:c>
    </x:row>
    <x:row r="190">
      <x:c r="A190" t="inlineStr">
        <x:is>
          <x:t xml:space="preserve">SUR</x:t>
        </x:is>
      </x:c>
      <x:c r="B190" t="inlineStr">
        <x:is>
          <x:t xml:space="preserve">Suriname</x:t>
        </x:is>
      </x:c>
      <x:c r="C190" t="inlineStr">
        <x:is>
          <x:t xml:space="preserve">Latin America &amp; Caribbean</x:t>
        </x:is>
      </x:c>
      <x:c r="D190" t="inlineStr">
        <x:is>
          <x:t xml:space="preserve">Upper middle income</x:t>
        </x:is>
      </x:c>
      <x:c r="E190" t="inlineStr">
        <x:is>
          <x:t xml:space="preserve">South America</x:t>
        </x:is>
      </x:c>
      <x:c r="F190" t="n">
        <x:v>2024</x:v>
      </x:c>
      <x:c r="G190" t="n">
        <x:v>634431</x:v>
      </x:c>
      <x:c r="H190" t="n">
        <x:v>2020</x:v>
      </x:c>
      <x:c r="I190" t="n">
        <x:v>2000</x:v>
      </x:c>
      <x:c r="J190" t="n">
        <x:v>1300</x:v>
      </x:c>
      <x:c r="K190" t="n">
        <x:v>400</x:v>
      </x:c>
      <x:c r="L190" t="n">
        <x:v>240</x:v>
      </x:c>
      <x:c r="N190" s="8" t="n"/>
      <x:c r="O190" s="9" t="n"/>
      <x:c r="P190" s="8" t="n"/>
      <x:c r="Q190" t="n">
        <x:v>2024</x:v>
      </x:c>
      <x:c r="R190" s="8" t="n">
        <x:v>4416775112.09627</x:v>
      </x:c>
      <x:c r="S190" t="n">
        <x:v>0</x:v>
      </x:c>
      <x:c r="T190" t="n">
        <x:v>0</x:v>
      </x:c>
      <x:c r="U190" t="inlineStr">
        <x:is>
          <x:t xml:space="preserve">No</x:t>
        </x:is>
      </x:c>
      <x:c r="W190" t="inlineStr">
        <x:is>
          <x:t xml:space="preserve">No</x:t>
        </x:is>
      </x:c>
      <x:c r="X190" t="n">
        <x:v>8.325653507434103</x:v>
      </x:c>
      <x:c r="Y190" t="n">
        <x:v>43.08018072713134</x:v>
      </x:c>
      <x:c r="Z190" t="n">
        <x:v>144268.7226044622</x:v>
      </x:c>
      <x:c r="AA190" t="n">
        <x:v>4.102892084397592</x:v>
      </x:c>
      <x:c r="AB190" s="8" t="n">
        <x:v>14439.47567150235</x:v>
      </x:c>
      <x:c r="AC190" t="n">
        <x:v>16</x:v>
      </x:c>
      <x:c r="AD190" t="n">
        <x:v>0</x:v>
      </x:c>
      <x:c r="AE190" t="n">
        <x:v>0</x:v>
      </x:c>
      <x:c r="AR190">
        <x:f>IF(G190="","",LOG10(G190+1))</x:f>
      </x:c>
      <x:c r="AS190" s="10">
        <x:f>IF(AR190="","",IF(MAX($AR$2:$AR$252)-MIN($AR$2:$AR$252)=0,"",(AR190-MIN($AR$2:$AR$252))/(MAX($AR$2:$AR$252)-MIN($AR$2:$AR$252))*100))</x:f>
      </x:c>
      <x:c r="AT190">
        <x:f>IF(R190="","",LOG10(R190+1))</x:f>
      </x:c>
      <x:c r="AU190" s="10">
        <x:f>IF(AT190="","",IF(MAX($AT$2:$AT$252)-MIN($AT$2:$AT$252)=0,"",(AT190-MIN($AT$2:$AT$252))/(MAX($AT$2:$AT$252)-MIN($AT$2:$AT$252))*100))</x:f>
      </x:c>
      <x:c r="AV190">
        <x:f>IF(N190="","",LOG10(N190+1))</x:f>
      </x:c>
      <x:c r="AW190" s="10">
        <x:f>IF(AV190="","",IF(MAX($AV$2:$AV$252)-MIN($AV$2:$AV$252)=0,"",(AV190-MIN($AV$2:$AV$252))/(MAX($AV$2:$AV$252)-MIN($AV$2:$AV$252))*100))</x:f>
      </x:c>
      <x:c r="AX190">
        <x:f>IF(I190="","",LOG10(I190+1))</x:f>
      </x:c>
      <x:c r="AY190" s="10">
        <x:f>IF(AX190="","",IF(MAX($AX$2:$AX$252)-MIN($AX$2:$AX$252)=0,"",(AX190-MIN($AX$2:$AX$252))/(MAX($AX$2:$AX$252)-MIN($AX$2:$AX$252))*100))</x:f>
      </x:c>
      <x:c r="AZ190">
        <x:f>IF(J190="","",LOG10(J190+1))</x:f>
      </x:c>
      <x:c r="BA190" s="10">
        <x:f>IF(AZ190="","",IF(MAX($AZ$2:$AZ$252)-MIN($AZ$2:$AZ$252)=0,"",(AZ190-MIN($AZ$2:$AZ$252))/(MAX($AZ$2:$AZ$252)-MIN($AZ$2:$AZ$252))*100))</x:f>
      </x:c>
      <x:c r="BB190">
        <x:f>IF(K190="","",LOG10(K190+1))</x:f>
      </x:c>
      <x:c r="BC190" s="10">
        <x:f>IF(BB190="","",IF(MAX($BB$2:$BB$252)-MIN($BB$2:$BB$252)=0,"",(BB190-MIN($BB$2:$BB$252))/(MAX($BB$2:$BB$252)-MIN($BB$2:$BB$252))*100))</x:f>
      </x:c>
      <x:c r="BD190">
        <x:f>IF(L190="","",LOG10(L190+1))</x:f>
      </x:c>
      <x:c r="BE190" s="10">
        <x:f>IF(BD190="","",IF(MAX($BD$2:$BD$252)-MIN($BD$2:$BD$252)=0,"",(BD190-MIN($BD$2:$BD$252))/(MAX($BD$2:$BD$252)-MIN($BD$2:$BD$252))*100))</x:f>
      </x:c>
      <x:c r="BF190" s="10">
        <x:f>IF(P190="","",IF(MAX($P$2:$P$252)-MIN($P$2:$P$252)=0,"",(P190-MIN($P$2:$P$252))/(MAX($P$2:$P$252)-MIN($P$2:$P$252))*100))</x:f>
      </x:c>
      <x:c r="BG190">
        <x:f>IF(AF190="","",LOG10(AF190+1))</x:f>
      </x:c>
      <x:c r="BH190" s="10">
        <x:f>IF(BG190="","",IF(MAX($BG$2:$BG$252)-MIN($BG$2:$BG$252)=0,"",(BG190-MIN($BG$2:$BG$252))/(MAX($BG$2:$BG$252)-MIN($BG$2:$BG$252))*100))</x:f>
      </x:c>
      <x:c r="BI190">
        <x:f>IF(AC190="","",LOG10(AC190+1))</x:f>
      </x:c>
      <x:c r="BJ190" s="10">
        <x:f>IF(BI190="","",IF(MAX($BI$2:$BI$252)-MIN($BI$2:$BI$252)=0,"",(BI190-MIN($BI$2:$BI$252))/(MAX($BI$2:$BI$252)-MIN($BI$2:$BI$252))*100))</x:f>
      </x:c>
      <x:c r="BK190">
        <x:f>IF(AD190="","",(AD190*2)+(AE190*1))</x:f>
      </x:c>
      <x:c r="BL190" s="10">
        <x:f>IF(BK190="","",IF(MAX($BK$2:$BK$252)-MIN($BK$2:$BK$252)=0,"",(BK190-MIN($BK$2:$BK$252))/(MAX($BK$2:$BK$252)-MIN($BK$2:$BK$252))*100))</x:f>
      </x:c>
      <x:c r="BM190" s="10">
        <x:f>IF(AB190="","",IF(MAX($AB$2:$AB$252)-MIN($AB$2:$AB$252)=0,"",(AB190-MIN($AB$2:$AB$252))/(MAX($AB$2:$AB$252)-MIN($AB$2:$AB$252))*100))</x:f>
      </x:c>
      <x:c r="BN190" s="10">
        <x:f>IF(X190="","",X190)</x:f>
      </x:c>
      <x:c r="BO190" s="10">
        <x:f>IF(X190="","",100-X190)</x:f>
      </x:c>
      <x:c r="BP190" s="10">
        <x:f>IF((Weights!$C$2*IF(BH190="",0,1)+Weights!$C$3*IF(BJ190="",0,1)+Weights!$C$4*IF(BL190="",0,1))=0,"",(Weights!$C$2*IF(BH190="",0,BH190)+Weights!$C$3*IF(BJ190="",0,BJ190)+Weights!$C$4*IF(BL190="",0,BL190))/(Weights!$C$2*IF(BH190="",0,1)+Weights!$C$3*IF(BJ190="",0,1)+Weights!$C$4*IF(BL190="",0,1)))</x:f>
      </x:c>
      <x:c r="BQ190" s="10">
        <x:f>IF((Weights!$C$5*IF(BA190="",0,1)+Weights!$C$6*IF(AW190="",0,1)+Weights!$C$7*IF(AU190="",0,1))=0,"",(Weights!$C$5*IF(BA190="",0,BA190)+Weights!$C$6*IF(AW190="",0,AW190)+Weights!$C$7*IF(AU190="",0,AU190))/(Weights!$C$5*IF(BA190="",0,1)+Weights!$C$6*IF(AW190="",0,1)+Weights!$C$7*IF(AU190="",0,1)))</x:f>
      </x:c>
      <x:c r="BR190" s="10">
        <x:f>IF((Weights!$C$8*IF(AW190="",0,1)+Weights!$C$9*IF(BC190="",0,1)+Weights!$C$10*IF(BF190="",0,1))=0,"",(Weights!$C$8*IF(AW190="",0,AW190)+Weights!$C$9*IF(BC190="",0,BC190)+Weights!$C$10*IF(BF190="",0,BF190))/(Weights!$C$8*IF(AW190="",0,1)+Weights!$C$9*IF(BC190="",0,1)+Weights!$C$10*IF(BF190="",0,1)))</x:f>
      </x:c>
      <x:c r="BS190" s="10">
        <x:f>IF(Y190="","",Y190)</x:f>
      </x:c>
      <x:c r="BT190" s="10">
        <x:f>IF(AS190="","",AS190)</x:f>
      </x:c>
      <x:c r="BU190" s="10">
        <x:f>IF(AJ190&lt;&gt;"",(0.6*AJ190+0.4*AU190),IF((Weights!$C$11*IF(AU190="",0,1)+Weights!$C$12*IF(BM190="",0,1))=0,"",(Weights!$C$11*IF(AU190="",0,AU190)+Weights!$C$12*IF(BM190="",0,BM190))/(Weights!$C$11*IF(AU190="",0,1)+Weights!$C$12*IF(BM190="",0,1))))</x:f>
      </x:c>
      <x:c r="BV190" s="10">
        <x:f>IF(CG190="",0,CG190)</x:f>
      </x:c>
      <x:c r="BW190" s="10">
        <x:f>IF(AP190="","",AP190)</x:f>
      </x:c>
      <x:c r="BX190" s="10">
        <x:f>IF(AO190="","",AO190)</x:f>
      </x:c>
      <x:c r="BY190" s="10">
        <x:f>IF(AL190="","",AL190)</x:f>
      </x:c>
      <x:c r="BZ190" s="10">
        <x:f>IF(AM190="","",AM190)</x:f>
      </x:c>
      <x:c r="CA190" s="10">
        <x:f>IF(AK190&lt;&gt;"",AK190,AW190)</x:f>
      </x:c>
      <x:c r="CB190" s="10">
        <x:f>IF((Weights!$C$13*IF(BP190="",0,1)+Weights!$C$14*IF(BR190="",0,1)+Weights!$C$15*IF(BQ190="",0,1)+Weights!$C$16*IF(BS190="",0,1)+Weights!$C$17*IF(BU190="",0,1)+Weights!$C$18*IF(BT190="",0,1)+Weights!$C$19*IF(BW190="",0,1)+Weights!$C$20*IF(BZ190="",0,1)+Weights!$C$21*IF(BO190="",0,1)+Weights!$C$22)=0,"",(Weights!$C$13*IF(BP190="",0,BP190)+Weights!$C$14*IF(BR190="",0,BR190)+Weights!$C$15*IF(BQ190="",0,BQ190)+Weights!$C$16*IF(BS190="",0,BS190)+Weights!$C$17*IF(BU190="",0,BU190)+Weights!$C$18*IF(BT190="",0,BT190)+Weights!$C$19*IF(BW190="",0,BW190)+Weights!$C$20*IF(BZ190="",0,BZ190)+Weights!$C$21*IF(BO190="",0,BO190)+Weights!$C$22*BV190)/(Weights!$C$13*IF(BP190="",0,1)+Weights!$C$14*IF(BR190="",0,1)+Weights!$C$15*IF(BQ190="",0,1)+Weights!$C$16*IF(BS190="",0,1)+Weights!$C$17*IF(BU190="",0,1)+Weights!$C$18*IF(BT190="",0,1)+Weights!$C$19*IF(BW190="",0,1)+Weights!$C$20*IF(BZ190="",0,1)+Weights!$C$21*IF(BO190="",0,1)+Weights!$C$22))</x:f>
      </x:c>
      <x:c r="CC190" s="10">
        <x:f>IF((Weights!$C$23*IF(BQ190="",0,1)+Weights!$C$24*IF(BN190="",0,1)+Weights!$C$25*IF(BS190="",0,1)+Weights!$C$26*IF(BY190="",0,1)+Weights!$C$27*IF(BX190="",0,1)+Weights!$C$28*IF(BT190="",0,1)+Weights!$C$29*IF(CA190="",0,1)+Weights!$C$30+Weights!$C$31*IF(BU190="",0,1))=0,"",(Weights!$C$23*IF(BQ190="",0,BQ190)+Weights!$C$24*IF(BN190="",0,BN190)+Weights!$C$25*IF(BS190="",0,BS190)+Weights!$C$26*IF(BY190="",0,BY190)+Weights!$C$27*IF(BX190="",0,BX190)+Weights!$C$28*IF(BT190="",0,BT190)+Weights!$C$29*IF(CA190="",0,CA190)+Weights!$C$30*BV190+Weights!$C$31*IF(BU190="",0,BU190))/(Weights!$C$23*IF(BQ190="",0,1)+Weights!$C$24*IF(BN190="",0,1)+Weights!$C$25*IF(BS190="",0,1)+Weights!$C$26*IF(BY190="",0,1)+Weights!$C$27*IF(BX190="",0,1)+Weights!$C$28*IF(BT190="",0,1)+Weights!$C$29*IF(CA190="",0,1)+Weights!$C$30+Weights!$C$31*IF(BU190="",0,1)))</x:f>
      </x:c>
      <x:c r="CD190" s="10">
        <x:f>IF(AND(CB190="",CC190=""),"",IF(CB190="",CC190,IF(CC190="",CB190,AVERAGE(CB190,CC190))))</x:f>
      </x:c>
      <x:c r="CE190" s="7">
        <x:f>ROUND(100*((IF(BP190&lt;&gt;"",1,0)+IF(BQ190&lt;&gt;"",1,0)+IF(BR190&lt;&gt;"",1,0)+IF(BS190&lt;&gt;"",1,0)+IF(BU190&lt;&gt;"",1,0)+IF(BT190&lt;&gt;"",1,0)+IF(BN190&lt;&gt;"",1,0)+IF(AW190&lt;&gt;"",1,0))/8),0)</x:f>
      </x:c>
      <x:c r="CF190">
        <x:f>IF(V190="","",LOG10(V190+1))</x:f>
      </x:c>
      <x:c r="CG190">
        <x:f>IF(CF190="","",IF(MAX($CF$2:$CF$252)-MIN($CF$2:$CF$252)=0,"",(CF190-MIN($CF$2:$CF$252))/(MAX($CF$2:$CF$252)-MIN($CF$2:$CF$252))*100))</x:f>
      </x:c>
    </x:row>
    <x:row r="191">
      <x:c r="A191" t="inlineStr">
        <x:is>
          <x:t xml:space="preserve">TJK</x:t>
        </x:is>
      </x:c>
      <x:c r="B191" t="inlineStr">
        <x:is>
          <x:t xml:space="preserve">Tajikistan</x:t>
        </x:is>
      </x:c>
      <x:c r="C191" t="inlineStr">
        <x:is>
          <x:t xml:space="preserve">Europe &amp; Central Asia</x:t>
        </x:is>
      </x:c>
      <x:c r="D191" t="inlineStr">
        <x:is>
          <x:t xml:space="preserve">Lower middle income</x:t>
        </x:is>
      </x:c>
      <x:c r="E191" t="inlineStr">
        <x:is>
          <x:t xml:space="preserve">Asia</x:t>
        </x:is>
      </x:c>
      <x:c r="F191" t="n">
        <x:v>2024</x:v>
      </x:c>
      <x:c r="G191" t="n">
        <x:v>10590927</x:v>
      </x:c>
      <x:c r="H191" t="n">
        <x:v>2020</x:v>
      </x:c>
      <x:c r="I191" t="n">
        <x:v>17000</x:v>
      </x:c>
      <x:c r="J191" t="n">
        <x:v>11050</x:v>
      </x:c>
      <x:c r="K191" t="n">
        <x:v>3400</x:v>
      </x:c>
      <x:c r="L191" t="n">
        <x:v>2040</x:v>
      </x:c>
      <x:c r="M191" t="n">
        <x:v>2024</x:v>
      </x:c>
      <x:c r="N191" s="8" t="n">
        <x:v>246393473.020582</x:v>
      </x:c>
      <x:c r="O191" s="9" t="n">
        <x:v>1.84774975839365</x:v>
      </x:c>
      <x:c r="P191" s="8" t="n">
        <x:v>14493.73370709306</x:v>
      </x:c>
      <x:c r="Q191" t="n">
        <x:v>2024</x:v>
      </x:c>
      <x:c r="R191" s="8" t="n">
        <x:v>14204575548.5536</x:v>
      </x:c>
      <x:c r="S191" t="n">
        <x:v>0</x:v>
      </x:c>
      <x:c r="T191" t="n">
        <x:v>0</x:v>
      </x:c>
      <x:c r="U191" t="inlineStr">
        <x:is>
          <x:t xml:space="preserve">No</x:t>
        </x:is>
      </x:c>
      <x:c r="W191" t="inlineStr">
        <x:is>
          <x:t xml:space="preserve">No</x:t>
        </x:is>
      </x:c>
      <x:c r="X191" t="n">
        <x:v>31.20171714417638</x:v>
      </x:c>
      <x:c r="Y191" t="n">
        <x:v>36.00586774397149</x:v>
      </x:c>
      <x:c r="Z191" t="n">
        <x:v>138111.7592542736</x:v>
      </x:c>
      <x:c r="AA191" t="n">
        <x:v>61.31668328406985</x:v>
      </x:c>
      <x:c r="AB191" s="8" t="n">
        <x:v>3047.745453622253</x:v>
      </x:c>
      <x:c r="AR191">
        <x:f>IF(G191="","",LOG10(G191+1))</x:f>
      </x:c>
      <x:c r="AS191" s="10">
        <x:f>IF(AR191="","",IF(MAX($AR$2:$AR$252)-MIN($AR$2:$AR$252)=0,"",(AR191-MIN($AR$2:$AR$252))/(MAX($AR$2:$AR$252)-MIN($AR$2:$AR$252))*100))</x:f>
      </x:c>
      <x:c r="AT191">
        <x:f>IF(R191="","",LOG10(R191+1))</x:f>
      </x:c>
      <x:c r="AU191" s="10">
        <x:f>IF(AT191="","",IF(MAX($AT$2:$AT$252)-MIN($AT$2:$AT$252)=0,"",(AT191-MIN($AT$2:$AT$252))/(MAX($AT$2:$AT$252)-MIN($AT$2:$AT$252))*100))</x:f>
      </x:c>
      <x:c r="AV191">
        <x:f>IF(N191="","",LOG10(N191+1))</x:f>
      </x:c>
      <x:c r="AW191" s="10">
        <x:f>IF(AV191="","",IF(MAX($AV$2:$AV$252)-MIN($AV$2:$AV$252)=0,"",(AV191-MIN($AV$2:$AV$252))/(MAX($AV$2:$AV$252)-MIN($AV$2:$AV$252))*100))</x:f>
      </x:c>
      <x:c r="AX191">
        <x:f>IF(I191="","",LOG10(I191+1))</x:f>
      </x:c>
      <x:c r="AY191" s="10">
        <x:f>IF(AX191="","",IF(MAX($AX$2:$AX$252)-MIN($AX$2:$AX$252)=0,"",(AX191-MIN($AX$2:$AX$252))/(MAX($AX$2:$AX$252)-MIN($AX$2:$AX$252))*100))</x:f>
      </x:c>
      <x:c r="AZ191">
        <x:f>IF(J191="","",LOG10(J191+1))</x:f>
      </x:c>
      <x:c r="BA191" s="10">
        <x:f>IF(AZ191="","",IF(MAX($AZ$2:$AZ$252)-MIN($AZ$2:$AZ$252)=0,"",(AZ191-MIN($AZ$2:$AZ$252))/(MAX($AZ$2:$AZ$252)-MIN($AZ$2:$AZ$252))*100))</x:f>
      </x:c>
      <x:c r="BB191">
        <x:f>IF(K191="","",LOG10(K191+1))</x:f>
      </x:c>
      <x:c r="BC191" s="10">
        <x:f>IF(BB191="","",IF(MAX($BB$2:$BB$252)-MIN($BB$2:$BB$252)=0,"",(BB191-MIN($BB$2:$BB$252))/(MAX($BB$2:$BB$252)-MIN($BB$2:$BB$252))*100))</x:f>
      </x:c>
      <x:c r="BD191">
        <x:f>IF(L191="","",LOG10(L191+1))</x:f>
      </x:c>
      <x:c r="BE191" s="10">
        <x:f>IF(BD191="","",IF(MAX($BD$2:$BD$252)-MIN($BD$2:$BD$252)=0,"",(BD191-MIN($BD$2:$BD$252))/(MAX($BD$2:$BD$252)-MIN($BD$2:$BD$252))*100))</x:f>
      </x:c>
      <x:c r="BF191" s="10">
        <x:f>IF(P191="","",IF(MAX($P$2:$P$252)-MIN($P$2:$P$252)=0,"",(P191-MIN($P$2:$P$252))/(MAX($P$2:$P$252)-MIN($P$2:$P$252))*100))</x:f>
      </x:c>
      <x:c r="BG191">
        <x:f>IF(AF191="","",LOG10(AF191+1))</x:f>
      </x:c>
      <x:c r="BH191" s="10">
        <x:f>IF(BG191="","",IF(MAX($BG$2:$BG$252)-MIN($BG$2:$BG$252)=0,"",(BG191-MIN($BG$2:$BG$252))/(MAX($BG$2:$BG$252)-MIN($BG$2:$BG$252))*100))</x:f>
      </x:c>
      <x:c r="BI191">
        <x:f>IF(AC191="","",LOG10(AC191+1))</x:f>
      </x:c>
      <x:c r="BJ191" s="10">
        <x:f>IF(BI191="","",IF(MAX($BI$2:$BI$252)-MIN($BI$2:$BI$252)=0,"",(BI191-MIN($BI$2:$BI$252))/(MAX($BI$2:$BI$252)-MIN($BI$2:$BI$252))*100))</x:f>
      </x:c>
      <x:c r="BK191">
        <x:f>IF(AD191="","",(AD191*2)+(AE191*1))</x:f>
      </x:c>
      <x:c r="BL191" s="10">
        <x:f>IF(BK191="","",IF(MAX($BK$2:$BK$252)-MIN($BK$2:$BK$252)=0,"",(BK191-MIN($BK$2:$BK$252))/(MAX($BK$2:$BK$252)-MIN($BK$2:$BK$252))*100))</x:f>
      </x:c>
      <x:c r="BM191" s="10">
        <x:f>IF(AB191="","",IF(MAX($AB$2:$AB$252)-MIN($AB$2:$AB$252)=0,"",(AB191-MIN($AB$2:$AB$252))/(MAX($AB$2:$AB$252)-MIN($AB$2:$AB$252))*100))</x:f>
      </x:c>
      <x:c r="BN191" s="10">
        <x:f>IF(X191="","",X191)</x:f>
      </x:c>
      <x:c r="BO191" s="10">
        <x:f>IF(X191="","",100-X191)</x:f>
      </x:c>
      <x:c r="BP191" s="10">
        <x:f>IF((Weights!$C$2*IF(BH191="",0,1)+Weights!$C$3*IF(BJ191="",0,1)+Weights!$C$4*IF(BL191="",0,1))=0,"",(Weights!$C$2*IF(BH191="",0,BH191)+Weights!$C$3*IF(BJ191="",0,BJ191)+Weights!$C$4*IF(BL191="",0,BL191))/(Weights!$C$2*IF(BH191="",0,1)+Weights!$C$3*IF(BJ191="",0,1)+Weights!$C$4*IF(BL191="",0,1)))</x:f>
      </x:c>
      <x:c r="BQ191" s="10">
        <x:f>IF((Weights!$C$5*IF(BA191="",0,1)+Weights!$C$6*IF(AW191="",0,1)+Weights!$C$7*IF(AU191="",0,1))=0,"",(Weights!$C$5*IF(BA191="",0,BA191)+Weights!$C$6*IF(AW191="",0,AW191)+Weights!$C$7*IF(AU191="",0,AU191))/(Weights!$C$5*IF(BA191="",0,1)+Weights!$C$6*IF(AW191="",0,1)+Weights!$C$7*IF(AU191="",0,1)))</x:f>
      </x:c>
      <x:c r="BR191" s="10">
        <x:f>IF((Weights!$C$8*IF(AW191="",0,1)+Weights!$C$9*IF(BC191="",0,1)+Weights!$C$10*IF(BF191="",0,1))=0,"",(Weights!$C$8*IF(AW191="",0,AW191)+Weights!$C$9*IF(BC191="",0,BC191)+Weights!$C$10*IF(BF191="",0,BF191))/(Weights!$C$8*IF(AW191="",0,1)+Weights!$C$9*IF(BC191="",0,1)+Weights!$C$10*IF(BF191="",0,1)))</x:f>
      </x:c>
      <x:c r="BS191" s="10">
        <x:f>IF(Y191="","",Y191)</x:f>
      </x:c>
      <x:c r="BT191" s="10">
        <x:f>IF(AS191="","",AS191)</x:f>
      </x:c>
      <x:c r="BU191" s="10">
        <x:f>IF(AJ191&lt;&gt;"",(0.6*AJ191+0.4*AU191),IF((Weights!$C$11*IF(AU191="",0,1)+Weights!$C$12*IF(BM191="",0,1))=0,"",(Weights!$C$11*IF(AU191="",0,AU191)+Weights!$C$12*IF(BM191="",0,BM191))/(Weights!$C$11*IF(AU191="",0,1)+Weights!$C$12*IF(BM191="",0,1))))</x:f>
      </x:c>
      <x:c r="BV191" s="10">
        <x:f>IF(CG191="",0,CG191)</x:f>
      </x:c>
      <x:c r="BW191" s="10">
        <x:f>IF(AP191="","",AP191)</x:f>
      </x:c>
      <x:c r="BX191" s="10">
        <x:f>IF(AO191="","",AO191)</x:f>
      </x:c>
      <x:c r="BY191" s="10">
        <x:f>IF(AL191="","",AL191)</x:f>
      </x:c>
      <x:c r="BZ191" s="10">
        <x:f>IF(AM191="","",AM191)</x:f>
      </x:c>
      <x:c r="CA191" s="10">
        <x:f>IF(AK191&lt;&gt;"",AK191,AW191)</x:f>
      </x:c>
      <x:c r="CB191" s="10">
        <x:f>IF((Weights!$C$13*IF(BP191="",0,1)+Weights!$C$14*IF(BR191="",0,1)+Weights!$C$15*IF(BQ191="",0,1)+Weights!$C$16*IF(BS191="",0,1)+Weights!$C$17*IF(BU191="",0,1)+Weights!$C$18*IF(BT191="",0,1)+Weights!$C$19*IF(BW191="",0,1)+Weights!$C$20*IF(BZ191="",0,1)+Weights!$C$21*IF(BO191="",0,1)+Weights!$C$22)=0,"",(Weights!$C$13*IF(BP191="",0,BP191)+Weights!$C$14*IF(BR191="",0,BR191)+Weights!$C$15*IF(BQ191="",0,BQ191)+Weights!$C$16*IF(BS191="",0,BS191)+Weights!$C$17*IF(BU191="",0,BU191)+Weights!$C$18*IF(BT191="",0,BT191)+Weights!$C$19*IF(BW191="",0,BW191)+Weights!$C$20*IF(BZ191="",0,BZ191)+Weights!$C$21*IF(BO191="",0,BO191)+Weights!$C$22*BV191)/(Weights!$C$13*IF(BP191="",0,1)+Weights!$C$14*IF(BR191="",0,1)+Weights!$C$15*IF(BQ191="",0,1)+Weights!$C$16*IF(BS191="",0,1)+Weights!$C$17*IF(BU191="",0,1)+Weights!$C$18*IF(BT191="",0,1)+Weights!$C$19*IF(BW191="",0,1)+Weights!$C$20*IF(BZ191="",0,1)+Weights!$C$21*IF(BO191="",0,1)+Weights!$C$22))</x:f>
      </x:c>
      <x:c r="CC191" s="10">
        <x:f>IF((Weights!$C$23*IF(BQ191="",0,1)+Weights!$C$24*IF(BN191="",0,1)+Weights!$C$25*IF(BS191="",0,1)+Weights!$C$26*IF(BY191="",0,1)+Weights!$C$27*IF(BX191="",0,1)+Weights!$C$28*IF(BT191="",0,1)+Weights!$C$29*IF(CA191="",0,1)+Weights!$C$30+Weights!$C$31*IF(BU191="",0,1))=0,"",(Weights!$C$23*IF(BQ191="",0,BQ191)+Weights!$C$24*IF(BN191="",0,BN191)+Weights!$C$25*IF(BS191="",0,BS191)+Weights!$C$26*IF(BY191="",0,BY191)+Weights!$C$27*IF(BX191="",0,BX191)+Weights!$C$28*IF(BT191="",0,BT191)+Weights!$C$29*IF(CA191="",0,CA191)+Weights!$C$30*BV191+Weights!$C$31*IF(BU191="",0,BU191))/(Weights!$C$23*IF(BQ191="",0,1)+Weights!$C$24*IF(BN191="",0,1)+Weights!$C$25*IF(BS191="",0,1)+Weights!$C$26*IF(BY191="",0,1)+Weights!$C$27*IF(BX191="",0,1)+Weights!$C$28*IF(BT191="",0,1)+Weights!$C$29*IF(CA191="",0,1)+Weights!$C$30+Weights!$C$31*IF(BU191="",0,1)))</x:f>
      </x:c>
      <x:c r="CD191" s="10">
        <x:f>IF(AND(CB191="",CC191=""),"",IF(CB191="",CC191,IF(CC191="",CB191,AVERAGE(CB191,CC191))))</x:f>
      </x:c>
      <x:c r="CE191" s="7">
        <x:f>ROUND(100*((IF(BP191&lt;&gt;"",1,0)+IF(BQ191&lt;&gt;"",1,0)+IF(BR191&lt;&gt;"",1,0)+IF(BS191&lt;&gt;"",1,0)+IF(BU191&lt;&gt;"",1,0)+IF(BT191&lt;&gt;"",1,0)+IF(BN191&lt;&gt;"",1,0)+IF(AW191&lt;&gt;"",1,0))/8),0)</x:f>
      </x:c>
      <x:c r="CF191">
        <x:f>IF(V191="","",LOG10(V191+1))</x:f>
      </x:c>
      <x:c r="CG191">
        <x:f>IF(CF191="","",IF(MAX($CF$2:$CF$252)-MIN($CF$2:$CF$252)=0,"",(CF191-MIN($CF$2:$CF$252))/(MAX($CF$2:$CF$252)-MIN($CF$2:$CF$252))*100))</x:f>
      </x:c>
    </x:row>
    <x:row r="192">
      <x:c r="A192" t="inlineStr">
        <x:is>
          <x:t xml:space="preserve">TTO</x:t>
        </x:is>
      </x:c>
      <x:c r="B192" t="inlineStr">
        <x:is>
          <x:t xml:space="preserve">Trinidad and Tobago</x:t>
        </x:is>
      </x:c>
      <x:c r="C192" t="inlineStr">
        <x:is>
          <x:t xml:space="preserve">Latin America &amp; Caribbean</x:t>
        </x:is>
      </x:c>
      <x:c r="D192" t="inlineStr">
        <x:is>
          <x:t xml:space="preserve">High income</x:t>
        </x:is>
      </x:c>
      <x:c r="E192" t="inlineStr">
        <x:is>
          <x:t xml:space="preserve">North America</x:t>
        </x:is>
      </x:c>
      <x:c r="F192" t="n">
        <x:v>2024</x:v>
      </x:c>
      <x:c r="G192" t="n">
        <x:v>1368333</x:v>
      </x:c>
      <x:c r="H192" t="n">
        <x:v>2020</x:v>
      </x:c>
      <x:c r="I192" t="n">
        <x:v>5000</x:v>
      </x:c>
      <x:c r="J192" t="n">
        <x:v>3250</x:v>
      </x:c>
      <x:c r="K192" t="n">
        <x:v>1000</x:v>
      </x:c>
      <x:c r="L192" t="n">
        <x:v>600</x:v>
      </x:c>
      <x:c r="M192" t="n">
        <x:v>2024</x:v>
      </x:c>
      <x:c r="N192" s="8" t="n">
        <x:v>234544782.155796</x:v>
      </x:c>
      <x:c r="O192" s="9" t="n">
        <x:v>0.921416388185832</x:v>
      </x:c>
      <x:c r="P192" s="8" t="n">
        <x:v>46908.9564311592</x:v>
      </x:c>
      <x:c r="Q192" t="n">
        <x:v>2024</x:v>
      </x:c>
      <x:c r="R192" s="8" t="n">
        <x:v>25633544529.4849</x:v>
      </x:c>
      <x:c r="S192" t="n">
        <x:v>0</x:v>
      </x:c>
      <x:c r="T192" t="n">
        <x:v>0</x:v>
      </x:c>
      <x:c r="U192" t="inlineStr">
        <x:is>
          <x:t xml:space="preserve">No</x:t>
        </x:is>
      </x:c>
      <x:c r="W192" t="inlineStr">
        <x:is>
          <x:t xml:space="preserve">No</x:t>
        </x:is>
      </x:c>
      <x:c r="X192" t="n">
        <x:v>6.061602720973996</x:v>
      </x:c>
      <x:c r="Y192" t="n">
        <x:v>77.92326913307537</x:v>
      </x:c>
      <x:c r="Z192" t="n">
        <x:v>7737.809855373876</x:v>
      </x:c>
      <x:c r="AA192" t="n">
        <x:v>157.4357631900143</x:v>
      </x:c>
      <x:c r="AB192" s="8" t="n">
        <x:v>35765.64921589745</x:v>
      </x:c>
      <x:c r="AR192">
        <x:f>IF(G192="","",LOG10(G192+1))</x:f>
      </x:c>
      <x:c r="AS192" s="10">
        <x:f>IF(AR192="","",IF(MAX($AR$2:$AR$252)-MIN($AR$2:$AR$252)=0,"",(AR192-MIN($AR$2:$AR$252))/(MAX($AR$2:$AR$252)-MIN($AR$2:$AR$252))*100))</x:f>
      </x:c>
      <x:c r="AT192">
        <x:f>IF(R192="","",LOG10(R192+1))</x:f>
      </x:c>
      <x:c r="AU192" s="10">
        <x:f>IF(AT192="","",IF(MAX($AT$2:$AT$252)-MIN($AT$2:$AT$252)=0,"",(AT192-MIN($AT$2:$AT$252))/(MAX($AT$2:$AT$252)-MIN($AT$2:$AT$252))*100))</x:f>
      </x:c>
      <x:c r="AV192">
        <x:f>IF(N192="","",LOG10(N192+1))</x:f>
      </x:c>
      <x:c r="AW192" s="10">
        <x:f>IF(AV192="","",IF(MAX($AV$2:$AV$252)-MIN($AV$2:$AV$252)=0,"",(AV192-MIN($AV$2:$AV$252))/(MAX($AV$2:$AV$252)-MIN($AV$2:$AV$252))*100))</x:f>
      </x:c>
      <x:c r="AX192">
        <x:f>IF(I192="","",LOG10(I192+1))</x:f>
      </x:c>
      <x:c r="AY192" s="10">
        <x:f>IF(AX192="","",IF(MAX($AX$2:$AX$252)-MIN($AX$2:$AX$252)=0,"",(AX192-MIN($AX$2:$AX$252))/(MAX($AX$2:$AX$252)-MIN($AX$2:$AX$252))*100))</x:f>
      </x:c>
      <x:c r="AZ192">
        <x:f>IF(J192="","",LOG10(J192+1))</x:f>
      </x:c>
      <x:c r="BA192" s="10">
        <x:f>IF(AZ192="","",IF(MAX($AZ$2:$AZ$252)-MIN($AZ$2:$AZ$252)=0,"",(AZ192-MIN($AZ$2:$AZ$252))/(MAX($AZ$2:$AZ$252)-MIN($AZ$2:$AZ$252))*100))</x:f>
      </x:c>
      <x:c r="BB192">
        <x:f>IF(K192="","",LOG10(K192+1))</x:f>
      </x:c>
      <x:c r="BC192" s="10">
        <x:f>IF(BB192="","",IF(MAX($BB$2:$BB$252)-MIN($BB$2:$BB$252)=0,"",(BB192-MIN($BB$2:$BB$252))/(MAX($BB$2:$BB$252)-MIN($BB$2:$BB$252))*100))</x:f>
      </x:c>
      <x:c r="BD192">
        <x:f>IF(L192="","",LOG10(L192+1))</x:f>
      </x:c>
      <x:c r="BE192" s="10">
        <x:f>IF(BD192="","",IF(MAX($BD$2:$BD$252)-MIN($BD$2:$BD$252)=0,"",(BD192-MIN($BD$2:$BD$252))/(MAX($BD$2:$BD$252)-MIN($BD$2:$BD$252))*100))</x:f>
      </x:c>
      <x:c r="BF192" s="10">
        <x:f>IF(P192="","",IF(MAX($P$2:$P$252)-MIN($P$2:$P$252)=0,"",(P192-MIN($P$2:$P$252))/(MAX($P$2:$P$252)-MIN($P$2:$P$252))*100))</x:f>
      </x:c>
      <x:c r="BG192">
        <x:f>IF(AF192="","",LOG10(AF192+1))</x:f>
      </x:c>
      <x:c r="BH192" s="10">
        <x:f>IF(BG192="","",IF(MAX($BG$2:$BG$252)-MIN($BG$2:$BG$252)=0,"",(BG192-MIN($BG$2:$BG$252))/(MAX($BG$2:$BG$252)-MIN($BG$2:$BG$252))*100))</x:f>
      </x:c>
      <x:c r="BI192">
        <x:f>IF(AC192="","",LOG10(AC192+1))</x:f>
      </x:c>
      <x:c r="BJ192" s="10">
        <x:f>IF(BI192="","",IF(MAX($BI$2:$BI$252)-MIN($BI$2:$BI$252)=0,"",(BI192-MIN($BI$2:$BI$252))/(MAX($BI$2:$BI$252)-MIN($BI$2:$BI$252))*100))</x:f>
      </x:c>
      <x:c r="BK192">
        <x:f>IF(AD192="","",(AD192*2)+(AE192*1))</x:f>
      </x:c>
      <x:c r="BL192" s="10">
        <x:f>IF(BK192="","",IF(MAX($BK$2:$BK$252)-MIN($BK$2:$BK$252)=0,"",(BK192-MIN($BK$2:$BK$252))/(MAX($BK$2:$BK$252)-MIN($BK$2:$BK$252))*100))</x:f>
      </x:c>
      <x:c r="BM192" s="10">
        <x:f>IF(AB192="","",IF(MAX($AB$2:$AB$252)-MIN($AB$2:$AB$252)=0,"",(AB192-MIN($AB$2:$AB$252))/(MAX($AB$2:$AB$252)-MIN($AB$2:$AB$252))*100))</x:f>
      </x:c>
      <x:c r="BN192" s="10">
        <x:f>IF(X192="","",X192)</x:f>
      </x:c>
      <x:c r="BO192" s="10">
        <x:f>IF(X192="","",100-X192)</x:f>
      </x:c>
      <x:c r="BP192" s="10">
        <x:f>IF((Weights!$C$2*IF(BH192="",0,1)+Weights!$C$3*IF(BJ192="",0,1)+Weights!$C$4*IF(BL192="",0,1))=0,"",(Weights!$C$2*IF(BH192="",0,BH192)+Weights!$C$3*IF(BJ192="",0,BJ192)+Weights!$C$4*IF(BL192="",0,BL192))/(Weights!$C$2*IF(BH192="",0,1)+Weights!$C$3*IF(BJ192="",0,1)+Weights!$C$4*IF(BL192="",0,1)))</x:f>
      </x:c>
      <x:c r="BQ192" s="10">
        <x:f>IF((Weights!$C$5*IF(BA192="",0,1)+Weights!$C$6*IF(AW192="",0,1)+Weights!$C$7*IF(AU192="",0,1))=0,"",(Weights!$C$5*IF(BA192="",0,BA192)+Weights!$C$6*IF(AW192="",0,AW192)+Weights!$C$7*IF(AU192="",0,AU192))/(Weights!$C$5*IF(BA192="",0,1)+Weights!$C$6*IF(AW192="",0,1)+Weights!$C$7*IF(AU192="",0,1)))</x:f>
      </x:c>
      <x:c r="BR192" s="10">
        <x:f>IF((Weights!$C$8*IF(AW192="",0,1)+Weights!$C$9*IF(BC192="",0,1)+Weights!$C$10*IF(BF192="",0,1))=0,"",(Weights!$C$8*IF(AW192="",0,AW192)+Weights!$C$9*IF(BC192="",0,BC192)+Weights!$C$10*IF(BF192="",0,BF192))/(Weights!$C$8*IF(AW192="",0,1)+Weights!$C$9*IF(BC192="",0,1)+Weights!$C$10*IF(BF192="",0,1)))</x:f>
      </x:c>
      <x:c r="BS192" s="10">
        <x:f>IF(Y192="","",Y192)</x:f>
      </x:c>
      <x:c r="BT192" s="10">
        <x:f>IF(AS192="","",AS192)</x:f>
      </x:c>
      <x:c r="BU192" s="10">
        <x:f>IF(AJ192&lt;&gt;"",(0.6*AJ192+0.4*AU192),IF((Weights!$C$11*IF(AU192="",0,1)+Weights!$C$12*IF(BM192="",0,1))=0,"",(Weights!$C$11*IF(AU192="",0,AU192)+Weights!$C$12*IF(BM192="",0,BM192))/(Weights!$C$11*IF(AU192="",0,1)+Weights!$C$12*IF(BM192="",0,1))))</x:f>
      </x:c>
      <x:c r="BV192" s="10">
        <x:f>IF(CG192="",0,CG192)</x:f>
      </x:c>
      <x:c r="BW192" s="10">
        <x:f>IF(AP192="","",AP192)</x:f>
      </x:c>
      <x:c r="BX192" s="10">
        <x:f>IF(AO192="","",AO192)</x:f>
      </x:c>
      <x:c r="BY192" s="10">
        <x:f>IF(AL192="","",AL192)</x:f>
      </x:c>
      <x:c r="BZ192" s="10">
        <x:f>IF(AM192="","",AM192)</x:f>
      </x:c>
      <x:c r="CA192" s="10">
        <x:f>IF(AK192&lt;&gt;"",AK192,AW192)</x:f>
      </x:c>
      <x:c r="CB192" s="10">
        <x:f>IF((Weights!$C$13*IF(BP192="",0,1)+Weights!$C$14*IF(BR192="",0,1)+Weights!$C$15*IF(BQ192="",0,1)+Weights!$C$16*IF(BS192="",0,1)+Weights!$C$17*IF(BU192="",0,1)+Weights!$C$18*IF(BT192="",0,1)+Weights!$C$19*IF(BW192="",0,1)+Weights!$C$20*IF(BZ192="",0,1)+Weights!$C$21*IF(BO192="",0,1)+Weights!$C$22)=0,"",(Weights!$C$13*IF(BP192="",0,BP192)+Weights!$C$14*IF(BR192="",0,BR192)+Weights!$C$15*IF(BQ192="",0,BQ192)+Weights!$C$16*IF(BS192="",0,BS192)+Weights!$C$17*IF(BU192="",0,BU192)+Weights!$C$18*IF(BT192="",0,BT192)+Weights!$C$19*IF(BW192="",0,BW192)+Weights!$C$20*IF(BZ192="",0,BZ192)+Weights!$C$21*IF(BO192="",0,BO192)+Weights!$C$22*BV192)/(Weights!$C$13*IF(BP192="",0,1)+Weights!$C$14*IF(BR192="",0,1)+Weights!$C$15*IF(BQ192="",0,1)+Weights!$C$16*IF(BS192="",0,1)+Weights!$C$17*IF(BU192="",0,1)+Weights!$C$18*IF(BT192="",0,1)+Weights!$C$19*IF(BW192="",0,1)+Weights!$C$20*IF(BZ192="",0,1)+Weights!$C$21*IF(BO192="",0,1)+Weights!$C$22))</x:f>
      </x:c>
      <x:c r="CC192" s="10">
        <x:f>IF((Weights!$C$23*IF(BQ192="",0,1)+Weights!$C$24*IF(BN192="",0,1)+Weights!$C$25*IF(BS192="",0,1)+Weights!$C$26*IF(BY192="",0,1)+Weights!$C$27*IF(BX192="",0,1)+Weights!$C$28*IF(BT192="",0,1)+Weights!$C$29*IF(CA192="",0,1)+Weights!$C$30+Weights!$C$31*IF(BU192="",0,1))=0,"",(Weights!$C$23*IF(BQ192="",0,BQ192)+Weights!$C$24*IF(BN192="",0,BN192)+Weights!$C$25*IF(BS192="",0,BS192)+Weights!$C$26*IF(BY192="",0,BY192)+Weights!$C$27*IF(BX192="",0,BX192)+Weights!$C$28*IF(BT192="",0,BT192)+Weights!$C$29*IF(CA192="",0,CA192)+Weights!$C$30*BV192+Weights!$C$31*IF(BU192="",0,BU192))/(Weights!$C$23*IF(BQ192="",0,1)+Weights!$C$24*IF(BN192="",0,1)+Weights!$C$25*IF(BS192="",0,1)+Weights!$C$26*IF(BY192="",0,1)+Weights!$C$27*IF(BX192="",0,1)+Weights!$C$28*IF(BT192="",0,1)+Weights!$C$29*IF(CA192="",0,1)+Weights!$C$30+Weights!$C$31*IF(BU192="",0,1)))</x:f>
      </x:c>
      <x:c r="CD192" s="10">
        <x:f>IF(AND(CB192="",CC192=""),"",IF(CB192="",CC192,IF(CC192="",CB192,AVERAGE(CB192,CC192))))</x:f>
      </x:c>
      <x:c r="CE192" s="7">
        <x:f>ROUND(100*((IF(BP192&lt;&gt;"",1,0)+IF(BQ192&lt;&gt;"",1,0)+IF(BR192&lt;&gt;"",1,0)+IF(BS192&lt;&gt;"",1,0)+IF(BU192&lt;&gt;"",1,0)+IF(BT192&lt;&gt;"",1,0)+IF(BN192&lt;&gt;"",1,0)+IF(AW192&lt;&gt;"",1,0))/8),0)</x:f>
      </x:c>
      <x:c r="CF192">
        <x:f>IF(V192="","",LOG10(V192+1))</x:f>
      </x:c>
      <x:c r="CG192">
        <x:f>IF(CF192="","",IF(MAX($CF$2:$CF$252)-MIN($CF$2:$CF$252)=0,"",(CF192-MIN($CF$2:$CF$252))/(MAX($CF$2:$CF$252)-MIN($CF$2:$CF$252))*100))</x:f>
      </x:c>
    </x:row>
    <x:row r="193">
      <x:c r="A193" t="inlineStr">
        <x:is>
          <x:t xml:space="preserve">TUN</x:t>
        </x:is>
      </x:c>
      <x:c r="B193" t="inlineStr">
        <x:is>
          <x:t xml:space="preserve">Tunisia</x:t>
        </x:is>
      </x:c>
      <x:c r="C193" t="inlineStr">
        <x:is>
          <x:t xml:space="preserve">Middle East &amp; North Africa</x:t>
        </x:is>
      </x:c>
      <x:c r="D193" t="inlineStr">
        <x:is>
          <x:t xml:space="preserve">Lower middle income</x:t>
        </x:is>
      </x:c>
      <x:c r="E193" t="inlineStr">
        <x:is>
          <x:t xml:space="preserve">Africa</x:t>
        </x:is>
      </x:c>
      <x:c r="F193" t="n">
        <x:v>2024</x:v>
      </x:c>
      <x:c r="G193" t="n">
        <x:v>12277109</x:v>
      </x:c>
      <x:c r="H193" t="n">
        <x:v>2020</x:v>
      </x:c>
      <x:c r="I193" t="n">
        <x:v>48000</x:v>
      </x:c>
      <x:c r="J193" t="n">
        <x:v>31200</x:v>
      </x:c>
      <x:c r="K193" t="n">
        <x:v>9600</x:v>
      </x:c>
      <x:c r="L193" t="n">
        <x:v>5760</x:v>
      </x:c>
      <x:c r="M193" t="n">
        <x:v>2024</x:v>
      </x:c>
      <x:c r="N193" s="8" t="n">
        <x:v>1313683263.15451</x:v>
      </x:c>
      <x:c r="O193" s="9" t="n">
        <x:v>2.50636792573464</x:v>
      </x:c>
      <x:c r="P193" s="8" t="n">
        <x:v>27368.40131571896</x:v>
      </x:c>
      <x:c r="Q193" t="n">
        <x:v>2024</x:v>
      </x:c>
      <x:c r="R193" s="8" t="n">
        <x:v>51332285656.5422</x:v>
      </x:c>
      <x:c r="S193" t="n">
        <x:v>1</x:v>
      </x:c>
      <x:c r="T193" t="n">
        <x:v>0</x:v>
      </x:c>
      <x:c r="U193" t="inlineStr">
        <x:is>
          <x:t xml:space="preserve">No</x:t>
        </x:is>
      </x:c>
      <x:c r="W193" t="inlineStr">
        <x:is>
          <x:t xml:space="preserve">No</x:t>
        </x:is>
      </x:c>
      <x:c r="X193" t="n">
        <x:v>18.07557439480279</x:v>
      </x:c>
      <x:c r="Y193" t="n">
        <x:v>56.49100616376518</x:v>
      </x:c>
      <x:c r="Z193" t="n">
        <x:v>156237.3216470965</x:v>
      </x:c>
      <x:c r="AA193" t="n">
        <x:v>72.99024253474157</x:v>
      </x:c>
      <x:c r="AB193" s="8" t="n">
        <x:v>11469.8609235518</x:v>
      </x:c>
      <x:c r="AC193" t="n">
        <x:v>52</x:v>
      </x:c>
      <x:c r="AD193" t="n">
        <x:v>0</x:v>
      </x:c>
      <x:c r="AE193" t="n">
        <x:v>0</x:v>
      </x:c>
      <x:c r="AR193">
        <x:f>IF(G193="","",LOG10(G193+1))</x:f>
      </x:c>
      <x:c r="AS193" s="10">
        <x:f>IF(AR193="","",IF(MAX($AR$2:$AR$252)-MIN($AR$2:$AR$252)=0,"",(AR193-MIN($AR$2:$AR$252))/(MAX($AR$2:$AR$252)-MIN($AR$2:$AR$252))*100))</x:f>
      </x:c>
      <x:c r="AT193">
        <x:f>IF(R193="","",LOG10(R193+1))</x:f>
      </x:c>
      <x:c r="AU193" s="10">
        <x:f>IF(AT193="","",IF(MAX($AT$2:$AT$252)-MIN($AT$2:$AT$252)=0,"",(AT193-MIN($AT$2:$AT$252))/(MAX($AT$2:$AT$252)-MIN($AT$2:$AT$252))*100))</x:f>
      </x:c>
      <x:c r="AV193">
        <x:f>IF(N193="","",LOG10(N193+1))</x:f>
      </x:c>
      <x:c r="AW193" s="10">
        <x:f>IF(AV193="","",IF(MAX($AV$2:$AV$252)-MIN($AV$2:$AV$252)=0,"",(AV193-MIN($AV$2:$AV$252))/(MAX($AV$2:$AV$252)-MIN($AV$2:$AV$252))*100))</x:f>
      </x:c>
      <x:c r="AX193">
        <x:f>IF(I193="","",LOG10(I193+1))</x:f>
      </x:c>
      <x:c r="AY193" s="10">
        <x:f>IF(AX193="","",IF(MAX($AX$2:$AX$252)-MIN($AX$2:$AX$252)=0,"",(AX193-MIN($AX$2:$AX$252))/(MAX($AX$2:$AX$252)-MIN($AX$2:$AX$252))*100))</x:f>
      </x:c>
      <x:c r="AZ193">
        <x:f>IF(J193="","",LOG10(J193+1))</x:f>
      </x:c>
      <x:c r="BA193" s="10">
        <x:f>IF(AZ193="","",IF(MAX($AZ$2:$AZ$252)-MIN($AZ$2:$AZ$252)=0,"",(AZ193-MIN($AZ$2:$AZ$252))/(MAX($AZ$2:$AZ$252)-MIN($AZ$2:$AZ$252))*100))</x:f>
      </x:c>
      <x:c r="BB193">
        <x:f>IF(K193="","",LOG10(K193+1))</x:f>
      </x:c>
      <x:c r="BC193" s="10">
        <x:f>IF(BB193="","",IF(MAX($BB$2:$BB$252)-MIN($BB$2:$BB$252)=0,"",(BB193-MIN($BB$2:$BB$252))/(MAX($BB$2:$BB$252)-MIN($BB$2:$BB$252))*100))</x:f>
      </x:c>
      <x:c r="BD193">
        <x:f>IF(L193="","",LOG10(L193+1))</x:f>
      </x:c>
      <x:c r="BE193" s="10">
        <x:f>IF(BD193="","",IF(MAX($BD$2:$BD$252)-MIN($BD$2:$BD$252)=0,"",(BD193-MIN($BD$2:$BD$252))/(MAX($BD$2:$BD$252)-MIN($BD$2:$BD$252))*100))</x:f>
      </x:c>
      <x:c r="BF193" s="10">
        <x:f>IF(P193="","",IF(MAX($P$2:$P$252)-MIN($P$2:$P$252)=0,"",(P193-MIN($P$2:$P$252))/(MAX($P$2:$P$252)-MIN($P$2:$P$252))*100))</x:f>
      </x:c>
      <x:c r="BG193">
        <x:f>IF(AF193="","",LOG10(AF193+1))</x:f>
      </x:c>
      <x:c r="BH193" s="10">
        <x:f>IF(BG193="","",IF(MAX($BG$2:$BG$252)-MIN($BG$2:$BG$252)=0,"",(BG193-MIN($BG$2:$BG$252))/(MAX($BG$2:$BG$252)-MIN($BG$2:$BG$252))*100))</x:f>
      </x:c>
      <x:c r="BI193">
        <x:f>IF(AC193="","",LOG10(AC193+1))</x:f>
      </x:c>
      <x:c r="BJ193" s="10">
        <x:f>IF(BI193="","",IF(MAX($BI$2:$BI$252)-MIN($BI$2:$BI$252)=0,"",(BI193-MIN($BI$2:$BI$252))/(MAX($BI$2:$BI$252)-MIN($BI$2:$BI$252))*100))</x:f>
      </x:c>
      <x:c r="BK193">
        <x:f>IF(AD193="","",(AD193*2)+(AE193*1))</x:f>
      </x:c>
      <x:c r="BL193" s="10">
        <x:f>IF(BK193="","",IF(MAX($BK$2:$BK$252)-MIN($BK$2:$BK$252)=0,"",(BK193-MIN($BK$2:$BK$252))/(MAX($BK$2:$BK$252)-MIN($BK$2:$BK$252))*100))</x:f>
      </x:c>
      <x:c r="BM193" s="10">
        <x:f>IF(AB193="","",IF(MAX($AB$2:$AB$252)-MIN($AB$2:$AB$252)=0,"",(AB193-MIN($AB$2:$AB$252))/(MAX($AB$2:$AB$252)-MIN($AB$2:$AB$252))*100))</x:f>
      </x:c>
      <x:c r="BN193" s="10">
        <x:f>IF(X193="","",X193)</x:f>
      </x:c>
      <x:c r="BO193" s="10">
        <x:f>IF(X193="","",100-X193)</x:f>
      </x:c>
      <x:c r="BP193" s="10">
        <x:f>IF((Weights!$C$2*IF(BH193="",0,1)+Weights!$C$3*IF(BJ193="",0,1)+Weights!$C$4*IF(BL193="",0,1))=0,"",(Weights!$C$2*IF(BH193="",0,BH193)+Weights!$C$3*IF(BJ193="",0,BJ193)+Weights!$C$4*IF(BL193="",0,BL193))/(Weights!$C$2*IF(BH193="",0,1)+Weights!$C$3*IF(BJ193="",0,1)+Weights!$C$4*IF(BL193="",0,1)))</x:f>
      </x:c>
      <x:c r="BQ193" s="10">
        <x:f>IF((Weights!$C$5*IF(BA193="",0,1)+Weights!$C$6*IF(AW193="",0,1)+Weights!$C$7*IF(AU193="",0,1))=0,"",(Weights!$C$5*IF(BA193="",0,BA193)+Weights!$C$6*IF(AW193="",0,AW193)+Weights!$C$7*IF(AU193="",0,AU193))/(Weights!$C$5*IF(BA193="",0,1)+Weights!$C$6*IF(AW193="",0,1)+Weights!$C$7*IF(AU193="",0,1)))</x:f>
      </x:c>
      <x:c r="BR193" s="10">
        <x:f>IF((Weights!$C$8*IF(AW193="",0,1)+Weights!$C$9*IF(BC193="",0,1)+Weights!$C$10*IF(BF193="",0,1))=0,"",(Weights!$C$8*IF(AW193="",0,AW193)+Weights!$C$9*IF(BC193="",0,BC193)+Weights!$C$10*IF(BF193="",0,BF193))/(Weights!$C$8*IF(AW193="",0,1)+Weights!$C$9*IF(BC193="",0,1)+Weights!$C$10*IF(BF193="",0,1)))</x:f>
      </x:c>
      <x:c r="BS193" s="10">
        <x:f>IF(Y193="","",Y193)</x:f>
      </x:c>
      <x:c r="BT193" s="10">
        <x:f>IF(AS193="","",AS193)</x:f>
      </x:c>
      <x:c r="BU193" s="10">
        <x:f>IF(AJ193&lt;&gt;"",(0.6*AJ193+0.4*AU193),IF((Weights!$C$11*IF(AU193="",0,1)+Weights!$C$12*IF(BM193="",0,1))=0,"",(Weights!$C$11*IF(AU193="",0,AU193)+Weights!$C$12*IF(BM193="",0,BM193))/(Weights!$C$11*IF(AU193="",0,1)+Weights!$C$12*IF(BM193="",0,1))))</x:f>
      </x:c>
      <x:c r="BV193" s="10">
        <x:f>IF(CG193="",0,CG193)</x:f>
      </x:c>
      <x:c r="BW193" s="10">
        <x:f>IF(AP193="","",AP193)</x:f>
      </x:c>
      <x:c r="BX193" s="10">
        <x:f>IF(AO193="","",AO193)</x:f>
      </x:c>
      <x:c r="BY193" s="10">
        <x:f>IF(AL193="","",AL193)</x:f>
      </x:c>
      <x:c r="BZ193" s="10">
        <x:f>IF(AM193="","",AM193)</x:f>
      </x:c>
      <x:c r="CA193" s="10">
        <x:f>IF(AK193&lt;&gt;"",AK193,AW193)</x:f>
      </x:c>
      <x:c r="CB193" s="10">
        <x:f>IF((Weights!$C$13*IF(BP193="",0,1)+Weights!$C$14*IF(BR193="",0,1)+Weights!$C$15*IF(BQ193="",0,1)+Weights!$C$16*IF(BS193="",0,1)+Weights!$C$17*IF(BU193="",0,1)+Weights!$C$18*IF(BT193="",0,1)+Weights!$C$19*IF(BW193="",0,1)+Weights!$C$20*IF(BZ193="",0,1)+Weights!$C$21*IF(BO193="",0,1)+Weights!$C$22)=0,"",(Weights!$C$13*IF(BP193="",0,BP193)+Weights!$C$14*IF(BR193="",0,BR193)+Weights!$C$15*IF(BQ193="",0,BQ193)+Weights!$C$16*IF(BS193="",0,BS193)+Weights!$C$17*IF(BU193="",0,BU193)+Weights!$C$18*IF(BT193="",0,BT193)+Weights!$C$19*IF(BW193="",0,BW193)+Weights!$C$20*IF(BZ193="",0,BZ193)+Weights!$C$21*IF(BO193="",0,BO193)+Weights!$C$22*BV193)/(Weights!$C$13*IF(BP193="",0,1)+Weights!$C$14*IF(BR193="",0,1)+Weights!$C$15*IF(BQ193="",0,1)+Weights!$C$16*IF(BS193="",0,1)+Weights!$C$17*IF(BU193="",0,1)+Weights!$C$18*IF(BT193="",0,1)+Weights!$C$19*IF(BW193="",0,1)+Weights!$C$20*IF(BZ193="",0,1)+Weights!$C$21*IF(BO193="",0,1)+Weights!$C$22))</x:f>
      </x:c>
      <x:c r="CC193" s="10">
        <x:f>IF((Weights!$C$23*IF(BQ193="",0,1)+Weights!$C$24*IF(BN193="",0,1)+Weights!$C$25*IF(BS193="",0,1)+Weights!$C$26*IF(BY193="",0,1)+Weights!$C$27*IF(BX193="",0,1)+Weights!$C$28*IF(BT193="",0,1)+Weights!$C$29*IF(CA193="",0,1)+Weights!$C$30+Weights!$C$31*IF(BU193="",0,1))=0,"",(Weights!$C$23*IF(BQ193="",0,BQ193)+Weights!$C$24*IF(BN193="",0,BN193)+Weights!$C$25*IF(BS193="",0,BS193)+Weights!$C$26*IF(BY193="",0,BY193)+Weights!$C$27*IF(BX193="",0,BX193)+Weights!$C$28*IF(BT193="",0,BT193)+Weights!$C$29*IF(CA193="",0,CA193)+Weights!$C$30*BV193+Weights!$C$31*IF(BU193="",0,BU193))/(Weights!$C$23*IF(BQ193="",0,1)+Weights!$C$24*IF(BN193="",0,1)+Weights!$C$25*IF(BS193="",0,1)+Weights!$C$26*IF(BY193="",0,1)+Weights!$C$27*IF(BX193="",0,1)+Weights!$C$28*IF(BT193="",0,1)+Weights!$C$29*IF(CA193="",0,1)+Weights!$C$30+Weights!$C$31*IF(BU193="",0,1)))</x:f>
      </x:c>
      <x:c r="CD193" s="10">
        <x:f>IF(AND(CB193="",CC193=""),"",IF(CB193="",CC193,IF(CC193="",CB193,AVERAGE(CB193,CC193))))</x:f>
      </x:c>
      <x:c r="CE193" s="7">
        <x:f>ROUND(100*((IF(BP193&lt;&gt;"",1,0)+IF(BQ193&lt;&gt;"",1,0)+IF(BR193&lt;&gt;"",1,0)+IF(BS193&lt;&gt;"",1,0)+IF(BU193&lt;&gt;"",1,0)+IF(BT193&lt;&gt;"",1,0)+IF(BN193&lt;&gt;"",1,0)+IF(AW193&lt;&gt;"",1,0))/8),0)</x:f>
      </x:c>
      <x:c r="CF193">
        <x:f>IF(V193="","",LOG10(V193+1))</x:f>
      </x:c>
      <x:c r="CG193">
        <x:f>IF(CF193="","",IF(MAX($CF$2:$CF$252)-MIN($CF$2:$CF$252)=0,"",(CF193-MIN($CF$2:$CF$252))/(MAX($CF$2:$CF$252)-MIN($CF$2:$CF$252))*100))</x:f>
      </x:c>
    </x:row>
    <x:row r="194">
      <x:c r="A194" t="inlineStr">
        <x:is>
          <x:t xml:space="preserve">TUR</x:t>
        </x:is>
      </x:c>
      <x:c r="B194" t="inlineStr">
        <x:is>
          <x:t xml:space="preserve">Türkiye</x:t>
        </x:is>
      </x:c>
      <x:c r="C194" t="inlineStr">
        <x:is>
          <x:t xml:space="preserve">Europe &amp; Central Asia</x:t>
        </x:is>
      </x:c>
      <x:c r="D194" t="inlineStr">
        <x:is>
          <x:t xml:space="preserve">Upper middle income</x:t>
        </x:is>
      </x:c>
      <x:c r="E194" t="inlineStr">
        <x:is>
          <x:t xml:space="preserve">Asia</x:t>
        </x:is>
      </x:c>
      <x:c r="F194" t="n">
        <x:v>2024</x:v>
      </x:c>
      <x:c r="G194" t="n">
        <x:v>85518661</x:v>
      </x:c>
      <x:c r="H194" t="n">
        <x:v>2020</x:v>
      </x:c>
      <x:c r="I194" t="n">
        <x:v>512000</x:v>
      </x:c>
      <x:c r="J194" t="n">
        <x:v>332800</x:v>
      </x:c>
      <x:c r="K194" t="n">
        <x:v>102400</x:v>
      </x:c>
      <x:c r="L194" t="n">
        <x:v>61440</x:v>
      </x:c>
      <x:c r="M194" t="n">
        <x:v>2024</x:v>
      </x:c>
      <x:c r="N194" s="8" t="n">
        <x:v>24978735534.6038</x:v>
      </x:c>
      <x:c r="O194" s="9" t="n">
        <x:v>1.92255231276371</x:v>
      </x:c>
      <x:c r="P194" s="8" t="n">
        <x:v>48786.59284102305</x:v>
      </x:c>
      <x:c r="Q194" t="n">
        <x:v>2024</x:v>
      </x:c>
      <x:c r="R194" s="8" t="n">
        <x:v>1359123768774.12</x:v>
      </x:c>
      <x:c r="S194" t="n">
        <x:v>14</x:v>
      </x:c>
      <x:c r="T194" t="n">
        <x:v>2</x:v>
      </x:c>
      <x:c r="U194" t="inlineStr">
        <x:is>
          <x:t xml:space="preserve">No</x:t>
        </x:is>
      </x:c>
      <x:c r="W194" t="inlineStr">
        <x:is>
          <x:t xml:space="preserve">No</x:t>
        </x:is>
      </x:c>
      <x:c r="X194" t="n">
        <x:v>27.52810325512804</x:v>
      </x:c>
      <x:c r="Y194" t="n">
        <x:v>67.13338186852918</x:v>
      </x:c>
      <x:c r="Z194" t="n">
        <x:v>798849.1640575345</x:v>
      </x:c>
      <x:c r="AA194" t="n">
        <x:v>101.2021025212932</x:v>
      </x:c>
      <x:c r="AB194" s="8" t="n">
        <x:v>20656.7574840391</x:v>
      </x:c>
      <x:c r="AC194" t="n">
        <x:v>186</x:v>
      </x:c>
      <x:c r="AD194" t="n">
        <x:v>1</x:v>
      </x:c>
      <x:c r="AE194" t="n">
        <x:v>0</x:v>
      </x:c>
      <x:c r="AF194" t="n">
        <x:v>80.5</x:v>
      </x:c>
      <x:c r="AG194" t="n">
        <x:v>90</x:v>
      </x:c>
      <x:c r="AH194" t="n">
        <x:v>10</x:v>
      </x:c>
      <x:c r="AR194">
        <x:f>IF(G194="","",LOG10(G194+1))</x:f>
      </x:c>
      <x:c r="AS194" s="10">
        <x:f>IF(AR194="","",IF(MAX($AR$2:$AR$252)-MIN($AR$2:$AR$252)=0,"",(AR194-MIN($AR$2:$AR$252))/(MAX($AR$2:$AR$252)-MIN($AR$2:$AR$252))*100))</x:f>
      </x:c>
      <x:c r="AT194">
        <x:f>IF(R194="","",LOG10(R194+1))</x:f>
      </x:c>
      <x:c r="AU194" s="10">
        <x:f>IF(AT194="","",IF(MAX($AT$2:$AT$252)-MIN($AT$2:$AT$252)=0,"",(AT194-MIN($AT$2:$AT$252))/(MAX($AT$2:$AT$252)-MIN($AT$2:$AT$252))*100))</x:f>
      </x:c>
      <x:c r="AV194">
        <x:f>IF(N194="","",LOG10(N194+1))</x:f>
      </x:c>
      <x:c r="AW194" s="10">
        <x:f>IF(AV194="","",IF(MAX($AV$2:$AV$252)-MIN($AV$2:$AV$252)=0,"",(AV194-MIN($AV$2:$AV$252))/(MAX($AV$2:$AV$252)-MIN($AV$2:$AV$252))*100))</x:f>
      </x:c>
      <x:c r="AX194">
        <x:f>IF(I194="","",LOG10(I194+1))</x:f>
      </x:c>
      <x:c r="AY194" s="10">
        <x:f>IF(AX194="","",IF(MAX($AX$2:$AX$252)-MIN($AX$2:$AX$252)=0,"",(AX194-MIN($AX$2:$AX$252))/(MAX($AX$2:$AX$252)-MIN($AX$2:$AX$252))*100))</x:f>
      </x:c>
      <x:c r="AZ194">
        <x:f>IF(J194="","",LOG10(J194+1))</x:f>
      </x:c>
      <x:c r="BA194" s="10">
        <x:f>IF(AZ194="","",IF(MAX($AZ$2:$AZ$252)-MIN($AZ$2:$AZ$252)=0,"",(AZ194-MIN($AZ$2:$AZ$252))/(MAX($AZ$2:$AZ$252)-MIN($AZ$2:$AZ$252))*100))</x:f>
      </x:c>
      <x:c r="BB194">
        <x:f>IF(K194="","",LOG10(K194+1))</x:f>
      </x:c>
      <x:c r="BC194" s="10">
        <x:f>IF(BB194="","",IF(MAX($BB$2:$BB$252)-MIN($BB$2:$BB$252)=0,"",(BB194-MIN($BB$2:$BB$252))/(MAX($BB$2:$BB$252)-MIN($BB$2:$BB$252))*100))</x:f>
      </x:c>
      <x:c r="BD194">
        <x:f>IF(L194="","",LOG10(L194+1))</x:f>
      </x:c>
      <x:c r="BE194" s="10">
        <x:f>IF(BD194="","",IF(MAX($BD$2:$BD$252)-MIN($BD$2:$BD$252)=0,"",(BD194-MIN($BD$2:$BD$252))/(MAX($BD$2:$BD$252)-MIN($BD$2:$BD$252))*100))</x:f>
      </x:c>
      <x:c r="BF194" s="10">
        <x:f>IF(P194="","",IF(MAX($P$2:$P$252)-MIN($P$2:$P$252)=0,"",(P194-MIN($P$2:$P$252))/(MAX($P$2:$P$252)-MIN($P$2:$P$252))*100))</x:f>
      </x:c>
      <x:c r="BG194">
        <x:f>IF(AF194="","",LOG10(AF194+1))</x:f>
      </x:c>
      <x:c r="BH194" s="10">
        <x:f>IF(BG194="","",IF(MAX($BG$2:$BG$252)-MIN($BG$2:$BG$252)=0,"",(BG194-MIN($BG$2:$BG$252))/(MAX($BG$2:$BG$252)-MIN($BG$2:$BG$252))*100))</x:f>
      </x:c>
      <x:c r="BI194">
        <x:f>IF(AC194="","",LOG10(AC194+1))</x:f>
      </x:c>
      <x:c r="BJ194" s="10">
        <x:f>IF(BI194="","",IF(MAX($BI$2:$BI$252)-MIN($BI$2:$BI$252)=0,"",(BI194-MIN($BI$2:$BI$252))/(MAX($BI$2:$BI$252)-MIN($BI$2:$BI$252))*100))</x:f>
      </x:c>
      <x:c r="BK194">
        <x:f>IF(AD194="","",(AD194*2)+(AE194*1))</x:f>
      </x:c>
      <x:c r="BL194" s="10">
        <x:f>IF(BK194="","",IF(MAX($BK$2:$BK$252)-MIN($BK$2:$BK$252)=0,"",(BK194-MIN($BK$2:$BK$252))/(MAX($BK$2:$BK$252)-MIN($BK$2:$BK$252))*100))</x:f>
      </x:c>
      <x:c r="BM194" s="10">
        <x:f>IF(AB194="","",IF(MAX($AB$2:$AB$252)-MIN($AB$2:$AB$252)=0,"",(AB194-MIN($AB$2:$AB$252))/(MAX($AB$2:$AB$252)-MIN($AB$2:$AB$252))*100))</x:f>
      </x:c>
      <x:c r="BN194" s="10">
        <x:f>IF(X194="","",X194)</x:f>
      </x:c>
      <x:c r="BO194" s="10">
        <x:f>IF(X194="","",100-X194)</x:f>
      </x:c>
      <x:c r="BP194" s="10">
        <x:f>IF((Weights!$C$2*IF(BH194="",0,1)+Weights!$C$3*IF(BJ194="",0,1)+Weights!$C$4*IF(BL194="",0,1))=0,"",(Weights!$C$2*IF(BH194="",0,BH194)+Weights!$C$3*IF(BJ194="",0,BJ194)+Weights!$C$4*IF(BL194="",0,BL194))/(Weights!$C$2*IF(BH194="",0,1)+Weights!$C$3*IF(BJ194="",0,1)+Weights!$C$4*IF(BL194="",0,1)))</x:f>
      </x:c>
      <x:c r="BQ194" s="10">
        <x:f>IF((Weights!$C$5*IF(BA194="",0,1)+Weights!$C$6*IF(AW194="",0,1)+Weights!$C$7*IF(AU194="",0,1))=0,"",(Weights!$C$5*IF(BA194="",0,BA194)+Weights!$C$6*IF(AW194="",0,AW194)+Weights!$C$7*IF(AU194="",0,AU194))/(Weights!$C$5*IF(BA194="",0,1)+Weights!$C$6*IF(AW194="",0,1)+Weights!$C$7*IF(AU194="",0,1)))</x:f>
      </x:c>
      <x:c r="BR194" s="10">
        <x:f>IF((Weights!$C$8*IF(AW194="",0,1)+Weights!$C$9*IF(BC194="",0,1)+Weights!$C$10*IF(BF194="",0,1))=0,"",(Weights!$C$8*IF(AW194="",0,AW194)+Weights!$C$9*IF(BC194="",0,BC194)+Weights!$C$10*IF(BF194="",0,BF194))/(Weights!$C$8*IF(AW194="",0,1)+Weights!$C$9*IF(BC194="",0,1)+Weights!$C$10*IF(BF194="",0,1)))</x:f>
      </x:c>
      <x:c r="BS194" s="10">
        <x:f>IF(Y194="","",Y194)</x:f>
      </x:c>
      <x:c r="BT194" s="10">
        <x:f>IF(AS194="","",AS194)</x:f>
      </x:c>
      <x:c r="BU194" s="10">
        <x:f>IF(AJ194&lt;&gt;"",(0.6*AJ194+0.4*AU194),IF((Weights!$C$11*IF(AU194="",0,1)+Weights!$C$12*IF(BM194="",0,1))=0,"",(Weights!$C$11*IF(AU194="",0,AU194)+Weights!$C$12*IF(BM194="",0,BM194))/(Weights!$C$11*IF(AU194="",0,1)+Weights!$C$12*IF(BM194="",0,1))))</x:f>
      </x:c>
      <x:c r="BV194" s="10">
        <x:f>IF(CG194="",0,CG194)</x:f>
      </x:c>
      <x:c r="BW194" s="10">
        <x:f>IF(AP194="","",AP194)</x:f>
      </x:c>
      <x:c r="BX194" s="10">
        <x:f>IF(AO194="","",AO194)</x:f>
      </x:c>
      <x:c r="BY194" s="10">
        <x:f>IF(AL194="","",AL194)</x:f>
      </x:c>
      <x:c r="BZ194" s="10">
        <x:f>IF(AM194="","",AM194)</x:f>
      </x:c>
      <x:c r="CA194" s="10">
        <x:f>IF(AK194&lt;&gt;"",AK194,AW194)</x:f>
      </x:c>
      <x:c r="CB194" s="10">
        <x:f>IF((Weights!$C$13*IF(BP194="",0,1)+Weights!$C$14*IF(BR194="",0,1)+Weights!$C$15*IF(BQ194="",0,1)+Weights!$C$16*IF(BS194="",0,1)+Weights!$C$17*IF(BU194="",0,1)+Weights!$C$18*IF(BT194="",0,1)+Weights!$C$19*IF(BW194="",0,1)+Weights!$C$20*IF(BZ194="",0,1)+Weights!$C$21*IF(BO194="",0,1)+Weights!$C$22)=0,"",(Weights!$C$13*IF(BP194="",0,BP194)+Weights!$C$14*IF(BR194="",0,BR194)+Weights!$C$15*IF(BQ194="",0,BQ194)+Weights!$C$16*IF(BS194="",0,BS194)+Weights!$C$17*IF(BU194="",0,BU194)+Weights!$C$18*IF(BT194="",0,BT194)+Weights!$C$19*IF(BW194="",0,BW194)+Weights!$C$20*IF(BZ194="",0,BZ194)+Weights!$C$21*IF(BO194="",0,BO194)+Weights!$C$22*BV194)/(Weights!$C$13*IF(BP194="",0,1)+Weights!$C$14*IF(BR194="",0,1)+Weights!$C$15*IF(BQ194="",0,1)+Weights!$C$16*IF(BS194="",0,1)+Weights!$C$17*IF(BU194="",0,1)+Weights!$C$18*IF(BT194="",0,1)+Weights!$C$19*IF(BW194="",0,1)+Weights!$C$20*IF(BZ194="",0,1)+Weights!$C$21*IF(BO194="",0,1)+Weights!$C$22))</x:f>
      </x:c>
      <x:c r="CC194" s="10">
        <x:f>IF((Weights!$C$23*IF(BQ194="",0,1)+Weights!$C$24*IF(BN194="",0,1)+Weights!$C$25*IF(BS194="",0,1)+Weights!$C$26*IF(BY194="",0,1)+Weights!$C$27*IF(BX194="",0,1)+Weights!$C$28*IF(BT194="",0,1)+Weights!$C$29*IF(CA194="",0,1)+Weights!$C$30+Weights!$C$31*IF(BU194="",0,1))=0,"",(Weights!$C$23*IF(BQ194="",0,BQ194)+Weights!$C$24*IF(BN194="",0,BN194)+Weights!$C$25*IF(BS194="",0,BS194)+Weights!$C$26*IF(BY194="",0,BY194)+Weights!$C$27*IF(BX194="",0,BX194)+Weights!$C$28*IF(BT194="",0,BT194)+Weights!$C$29*IF(CA194="",0,CA194)+Weights!$C$30*BV194+Weights!$C$31*IF(BU194="",0,BU194))/(Weights!$C$23*IF(BQ194="",0,1)+Weights!$C$24*IF(BN194="",0,1)+Weights!$C$25*IF(BS194="",0,1)+Weights!$C$26*IF(BY194="",0,1)+Weights!$C$27*IF(BX194="",0,1)+Weights!$C$28*IF(BT194="",0,1)+Weights!$C$29*IF(CA194="",0,1)+Weights!$C$30+Weights!$C$31*IF(BU194="",0,1)))</x:f>
      </x:c>
      <x:c r="CD194" s="10">
        <x:f>IF(AND(CB194="",CC194=""),"",IF(CB194="",CC194,IF(CC194="",CB194,AVERAGE(CB194,CC194))))</x:f>
      </x:c>
      <x:c r="CE194" s="7">
        <x:f>ROUND(100*((IF(BP194&lt;&gt;"",1,0)+IF(BQ194&lt;&gt;"",1,0)+IF(BR194&lt;&gt;"",1,0)+IF(BS194&lt;&gt;"",1,0)+IF(BU194&lt;&gt;"",1,0)+IF(BT194&lt;&gt;"",1,0)+IF(BN194&lt;&gt;"",1,0)+IF(AW194&lt;&gt;"",1,0))/8),0)</x:f>
      </x:c>
      <x:c r="CF194">
        <x:f>IF(V194="","",LOG10(V194+1))</x:f>
      </x:c>
      <x:c r="CG194">
        <x:f>IF(CF194="","",IF(MAX($CF$2:$CF$252)-MIN($CF$2:$CF$252)=0,"",(CF194-MIN($CF$2:$CF$252))/(MAX($CF$2:$CF$252)-MIN($CF$2:$CF$252))*100))</x:f>
      </x:c>
    </x:row>
    <x:row r="195">
      <x:c r="A195" t="inlineStr">
        <x:is>
          <x:t xml:space="preserve">UGA</x:t>
        </x:is>
      </x:c>
      <x:c r="B195" t="inlineStr">
        <x:is>
          <x:t xml:space="preserve">Uganda</x:t>
        </x:is>
      </x:c>
      <x:c r="C195" t="inlineStr">
        <x:is>
          <x:t xml:space="preserve">Sub-Saharan Africa</x:t>
        </x:is>
      </x:c>
      <x:c r="D195" t="inlineStr">
        <x:is>
          <x:t xml:space="preserve">Low income</x:t>
        </x:is>
      </x:c>
      <x:c r="E195" t="inlineStr">
        <x:is>
          <x:t xml:space="preserve">Africa</x:t>
        </x:is>
      </x:c>
      <x:c r="F195" t="n">
        <x:v>2024</x:v>
      </x:c>
      <x:c r="G195" t="n">
        <x:v>50015092</x:v>
      </x:c>
      <x:c r="H195" t="n">
        <x:v>2020</x:v>
      </x:c>
      <x:c r="I195" t="n">
        <x:v>46000</x:v>
      </x:c>
      <x:c r="J195" t="n">
        <x:v>29900</x:v>
      </x:c>
      <x:c r="K195" t="n">
        <x:v>9200</x:v>
      </x:c>
      <x:c r="L195" t="n">
        <x:v>5520</x:v>
      </x:c>
      <x:c r="M195" t="n">
        <x:v>2024</x:v>
      </x:c>
      <x:c r="N195" s="8" t="n">
        <x:v>1116761828.70832</x:v>
      </x:c>
      <x:c r="O195" s="9" t="n">
        <x:v>1.88159798311992</x:v>
      </x:c>
      <x:c r="P195" s="8" t="n">
        <x:v>24277.43105887652</x:v>
      </x:c>
      <x:c r="Q195" t="n">
        <x:v>2024</x:v>
      </x:c>
      <x:c r="R195" s="8" t="n">
        <x:v>53911907086.1525</x:v>
      </x:c>
      <x:c r="S195" t="n">
        <x:v>0</x:v>
      </x:c>
      <x:c r="T195" t="n">
        <x:v>0</x:v>
      </x:c>
      <x:c r="U195" t="inlineStr">
        <x:is>
          <x:t xml:space="preserve">No</x:t>
        </x:is>
      </x:c>
      <x:c r="W195" t="inlineStr">
        <x:is>
          <x:t xml:space="preserve">No</x:t>
        </x:is>
      </x:c>
      <x:c r="X195" t="n">
        <x:v>7.2883671576552</x:v>
      </x:c>
      <x:c r="Y195" t="n">
        <x:v>36.86704668282007</x:v>
      </x:c>
      <x:c r="Z195" t="n">
        <x:v>245768.4793872089</x:v>
      </x:c>
      <x:c r="AA195" t="n">
        <x:v>161.0056956801899</x:v>
      </x:c>
      <x:c r="AB195" s="8" t="n">
        <x:v>2146.316191824008</x:v>
      </x:c>
      <x:c r="AR195">
        <x:f>IF(G195="","",LOG10(G195+1))</x:f>
      </x:c>
      <x:c r="AS195" s="10">
        <x:f>IF(AR195="","",IF(MAX($AR$2:$AR$252)-MIN($AR$2:$AR$252)=0,"",(AR195-MIN($AR$2:$AR$252))/(MAX($AR$2:$AR$252)-MIN($AR$2:$AR$252))*100))</x:f>
      </x:c>
      <x:c r="AT195">
        <x:f>IF(R195="","",LOG10(R195+1))</x:f>
      </x:c>
      <x:c r="AU195" s="10">
        <x:f>IF(AT195="","",IF(MAX($AT$2:$AT$252)-MIN($AT$2:$AT$252)=0,"",(AT195-MIN($AT$2:$AT$252))/(MAX($AT$2:$AT$252)-MIN($AT$2:$AT$252))*100))</x:f>
      </x:c>
      <x:c r="AV195">
        <x:f>IF(N195="","",LOG10(N195+1))</x:f>
      </x:c>
      <x:c r="AW195" s="10">
        <x:f>IF(AV195="","",IF(MAX($AV$2:$AV$252)-MIN($AV$2:$AV$252)=0,"",(AV195-MIN($AV$2:$AV$252))/(MAX($AV$2:$AV$252)-MIN($AV$2:$AV$252))*100))</x:f>
      </x:c>
      <x:c r="AX195">
        <x:f>IF(I195="","",LOG10(I195+1))</x:f>
      </x:c>
      <x:c r="AY195" s="10">
        <x:f>IF(AX195="","",IF(MAX($AX$2:$AX$252)-MIN($AX$2:$AX$252)=0,"",(AX195-MIN($AX$2:$AX$252))/(MAX($AX$2:$AX$252)-MIN($AX$2:$AX$252))*100))</x:f>
      </x:c>
      <x:c r="AZ195">
        <x:f>IF(J195="","",LOG10(J195+1))</x:f>
      </x:c>
      <x:c r="BA195" s="10">
        <x:f>IF(AZ195="","",IF(MAX($AZ$2:$AZ$252)-MIN($AZ$2:$AZ$252)=0,"",(AZ195-MIN($AZ$2:$AZ$252))/(MAX($AZ$2:$AZ$252)-MIN($AZ$2:$AZ$252))*100))</x:f>
      </x:c>
      <x:c r="BB195">
        <x:f>IF(K195="","",LOG10(K195+1))</x:f>
      </x:c>
      <x:c r="BC195" s="10">
        <x:f>IF(BB195="","",IF(MAX($BB$2:$BB$252)-MIN($BB$2:$BB$252)=0,"",(BB195-MIN($BB$2:$BB$252))/(MAX($BB$2:$BB$252)-MIN($BB$2:$BB$252))*100))</x:f>
      </x:c>
      <x:c r="BD195">
        <x:f>IF(L195="","",LOG10(L195+1))</x:f>
      </x:c>
      <x:c r="BE195" s="10">
        <x:f>IF(BD195="","",IF(MAX($BD$2:$BD$252)-MIN($BD$2:$BD$252)=0,"",(BD195-MIN($BD$2:$BD$252))/(MAX($BD$2:$BD$252)-MIN($BD$2:$BD$252))*100))</x:f>
      </x:c>
      <x:c r="BF195" s="10">
        <x:f>IF(P195="","",IF(MAX($P$2:$P$252)-MIN($P$2:$P$252)=0,"",(P195-MIN($P$2:$P$252))/(MAX($P$2:$P$252)-MIN($P$2:$P$252))*100))</x:f>
      </x:c>
      <x:c r="BG195">
        <x:f>IF(AF195="","",LOG10(AF195+1))</x:f>
      </x:c>
      <x:c r="BH195" s="10">
        <x:f>IF(BG195="","",IF(MAX($BG$2:$BG$252)-MIN($BG$2:$BG$252)=0,"",(BG195-MIN($BG$2:$BG$252))/(MAX($BG$2:$BG$252)-MIN($BG$2:$BG$252))*100))</x:f>
      </x:c>
      <x:c r="BI195">
        <x:f>IF(AC195="","",LOG10(AC195+1))</x:f>
      </x:c>
      <x:c r="BJ195" s="10">
        <x:f>IF(BI195="","",IF(MAX($BI$2:$BI$252)-MIN($BI$2:$BI$252)=0,"",(BI195-MIN($BI$2:$BI$252))/(MAX($BI$2:$BI$252)-MIN($BI$2:$BI$252))*100))</x:f>
      </x:c>
      <x:c r="BK195">
        <x:f>IF(AD195="","",(AD195*2)+(AE195*1))</x:f>
      </x:c>
      <x:c r="BL195" s="10">
        <x:f>IF(BK195="","",IF(MAX($BK$2:$BK$252)-MIN($BK$2:$BK$252)=0,"",(BK195-MIN($BK$2:$BK$252))/(MAX($BK$2:$BK$252)-MIN($BK$2:$BK$252))*100))</x:f>
      </x:c>
      <x:c r="BM195" s="10">
        <x:f>IF(AB195="","",IF(MAX($AB$2:$AB$252)-MIN($AB$2:$AB$252)=0,"",(AB195-MIN($AB$2:$AB$252))/(MAX($AB$2:$AB$252)-MIN($AB$2:$AB$252))*100))</x:f>
      </x:c>
      <x:c r="BN195" s="10">
        <x:f>IF(X195="","",X195)</x:f>
      </x:c>
      <x:c r="BO195" s="10">
        <x:f>IF(X195="","",100-X195)</x:f>
      </x:c>
      <x:c r="BP195" s="10">
        <x:f>IF((Weights!$C$2*IF(BH195="",0,1)+Weights!$C$3*IF(BJ195="",0,1)+Weights!$C$4*IF(BL195="",0,1))=0,"",(Weights!$C$2*IF(BH195="",0,BH195)+Weights!$C$3*IF(BJ195="",0,BJ195)+Weights!$C$4*IF(BL195="",0,BL195))/(Weights!$C$2*IF(BH195="",0,1)+Weights!$C$3*IF(BJ195="",0,1)+Weights!$C$4*IF(BL195="",0,1)))</x:f>
      </x:c>
      <x:c r="BQ195" s="10">
        <x:f>IF((Weights!$C$5*IF(BA195="",0,1)+Weights!$C$6*IF(AW195="",0,1)+Weights!$C$7*IF(AU195="",0,1))=0,"",(Weights!$C$5*IF(BA195="",0,BA195)+Weights!$C$6*IF(AW195="",0,AW195)+Weights!$C$7*IF(AU195="",0,AU195))/(Weights!$C$5*IF(BA195="",0,1)+Weights!$C$6*IF(AW195="",0,1)+Weights!$C$7*IF(AU195="",0,1)))</x:f>
      </x:c>
      <x:c r="BR195" s="10">
        <x:f>IF((Weights!$C$8*IF(AW195="",0,1)+Weights!$C$9*IF(BC195="",0,1)+Weights!$C$10*IF(BF195="",0,1))=0,"",(Weights!$C$8*IF(AW195="",0,AW195)+Weights!$C$9*IF(BC195="",0,BC195)+Weights!$C$10*IF(BF195="",0,BF195))/(Weights!$C$8*IF(AW195="",0,1)+Weights!$C$9*IF(BC195="",0,1)+Weights!$C$10*IF(BF195="",0,1)))</x:f>
      </x:c>
      <x:c r="BS195" s="10">
        <x:f>IF(Y195="","",Y195)</x:f>
      </x:c>
      <x:c r="BT195" s="10">
        <x:f>IF(AS195="","",AS195)</x:f>
      </x:c>
      <x:c r="BU195" s="10">
        <x:f>IF(AJ195&lt;&gt;"",(0.6*AJ195+0.4*AU195),IF((Weights!$C$11*IF(AU195="",0,1)+Weights!$C$12*IF(BM195="",0,1))=0,"",(Weights!$C$11*IF(AU195="",0,AU195)+Weights!$C$12*IF(BM195="",0,BM195))/(Weights!$C$11*IF(AU195="",0,1)+Weights!$C$12*IF(BM195="",0,1))))</x:f>
      </x:c>
      <x:c r="BV195" s="10">
        <x:f>IF(CG195="",0,CG195)</x:f>
      </x:c>
      <x:c r="BW195" s="10">
        <x:f>IF(AP195="","",AP195)</x:f>
      </x:c>
      <x:c r="BX195" s="10">
        <x:f>IF(AO195="","",AO195)</x:f>
      </x:c>
      <x:c r="BY195" s="10">
        <x:f>IF(AL195="","",AL195)</x:f>
      </x:c>
      <x:c r="BZ195" s="10">
        <x:f>IF(AM195="","",AM195)</x:f>
      </x:c>
      <x:c r="CA195" s="10">
        <x:f>IF(AK195&lt;&gt;"",AK195,AW195)</x:f>
      </x:c>
      <x:c r="CB195" s="10">
        <x:f>IF((Weights!$C$13*IF(BP195="",0,1)+Weights!$C$14*IF(BR195="",0,1)+Weights!$C$15*IF(BQ195="",0,1)+Weights!$C$16*IF(BS195="",0,1)+Weights!$C$17*IF(BU195="",0,1)+Weights!$C$18*IF(BT195="",0,1)+Weights!$C$19*IF(BW195="",0,1)+Weights!$C$20*IF(BZ195="",0,1)+Weights!$C$21*IF(BO195="",0,1)+Weights!$C$22)=0,"",(Weights!$C$13*IF(BP195="",0,BP195)+Weights!$C$14*IF(BR195="",0,BR195)+Weights!$C$15*IF(BQ195="",0,BQ195)+Weights!$C$16*IF(BS195="",0,BS195)+Weights!$C$17*IF(BU195="",0,BU195)+Weights!$C$18*IF(BT195="",0,BT195)+Weights!$C$19*IF(BW195="",0,BW195)+Weights!$C$20*IF(BZ195="",0,BZ195)+Weights!$C$21*IF(BO195="",0,BO195)+Weights!$C$22*BV195)/(Weights!$C$13*IF(BP195="",0,1)+Weights!$C$14*IF(BR195="",0,1)+Weights!$C$15*IF(BQ195="",0,1)+Weights!$C$16*IF(BS195="",0,1)+Weights!$C$17*IF(BU195="",0,1)+Weights!$C$18*IF(BT195="",0,1)+Weights!$C$19*IF(BW195="",0,1)+Weights!$C$20*IF(BZ195="",0,1)+Weights!$C$21*IF(BO195="",0,1)+Weights!$C$22))</x:f>
      </x:c>
      <x:c r="CC195" s="10">
        <x:f>IF((Weights!$C$23*IF(BQ195="",0,1)+Weights!$C$24*IF(BN195="",0,1)+Weights!$C$25*IF(BS195="",0,1)+Weights!$C$26*IF(BY195="",0,1)+Weights!$C$27*IF(BX195="",0,1)+Weights!$C$28*IF(BT195="",0,1)+Weights!$C$29*IF(CA195="",0,1)+Weights!$C$30+Weights!$C$31*IF(BU195="",0,1))=0,"",(Weights!$C$23*IF(BQ195="",0,BQ195)+Weights!$C$24*IF(BN195="",0,BN195)+Weights!$C$25*IF(BS195="",0,BS195)+Weights!$C$26*IF(BY195="",0,BY195)+Weights!$C$27*IF(BX195="",0,BX195)+Weights!$C$28*IF(BT195="",0,BT195)+Weights!$C$29*IF(CA195="",0,CA195)+Weights!$C$30*BV195+Weights!$C$31*IF(BU195="",0,BU195))/(Weights!$C$23*IF(BQ195="",0,1)+Weights!$C$24*IF(BN195="",0,1)+Weights!$C$25*IF(BS195="",0,1)+Weights!$C$26*IF(BY195="",0,1)+Weights!$C$27*IF(BX195="",0,1)+Weights!$C$28*IF(BT195="",0,1)+Weights!$C$29*IF(CA195="",0,1)+Weights!$C$30+Weights!$C$31*IF(BU195="",0,1)))</x:f>
      </x:c>
      <x:c r="CD195" s="10">
        <x:f>IF(AND(CB195="",CC195=""),"",IF(CB195="",CC195,IF(CC195="",CB195,AVERAGE(CB195,CC195))))</x:f>
      </x:c>
      <x:c r="CE195" s="7">
        <x:f>ROUND(100*((IF(BP195&lt;&gt;"",1,0)+IF(BQ195&lt;&gt;"",1,0)+IF(BR195&lt;&gt;"",1,0)+IF(BS195&lt;&gt;"",1,0)+IF(BU195&lt;&gt;"",1,0)+IF(BT195&lt;&gt;"",1,0)+IF(BN195&lt;&gt;"",1,0)+IF(AW195&lt;&gt;"",1,0))/8),0)</x:f>
      </x:c>
      <x:c r="CF195">
        <x:f>IF(V195="","",LOG10(V195+1))</x:f>
      </x:c>
      <x:c r="CG195">
        <x:f>IF(CF195="","",IF(MAX($CF$2:$CF$252)-MIN($CF$2:$CF$252)=0,"",(CF195-MIN($CF$2:$CF$252))/(MAX($CF$2:$CF$252)-MIN($CF$2:$CF$252))*100))</x:f>
      </x:c>
    </x:row>
    <x:row r="196">
      <x:c r="A196" t="inlineStr">
        <x:is>
          <x:t xml:space="preserve">UZB</x:t>
        </x:is>
      </x:c>
      <x:c r="B196" t="inlineStr">
        <x:is>
          <x:t xml:space="preserve">Uzbekistan</x:t>
        </x:is>
      </x:c>
      <x:c r="C196" t="inlineStr">
        <x:is>
          <x:t xml:space="preserve">Europe &amp; Central Asia</x:t>
        </x:is>
      </x:c>
      <x:c r="D196" t="inlineStr">
        <x:is>
          <x:t xml:space="preserve">Lower middle income</x:t>
        </x:is>
      </x:c>
      <x:c r="E196" t="inlineStr">
        <x:is>
          <x:t xml:space="preserve">Asia</x:t>
        </x:is>
      </x:c>
      <x:c r="F196" t="n">
        <x:v>2024</x:v>
      </x:c>
      <x:c r="G196" t="n">
        <x:v>36361859</x:v>
      </x:c>
      <x:c r="H196" t="n">
        <x:v>2020</x:v>
      </x:c>
      <x:c r="I196" t="n">
        <x:v>68000</x:v>
      </x:c>
      <x:c r="J196" t="n">
        <x:v>44200</x:v>
      </x:c>
      <x:c r="K196" t="n">
        <x:v>13600</x:v>
      </x:c>
      <x:c r="L196" t="n">
        <x:v>8160</x:v>
      </x:c>
      <x:c r="M196" t="n">
        <x:v>2018</x:v>
      </x:c>
      <x:c r="N196" s="8" t="n">
        <x:v>1440385072.20752</x:v>
      </x:c>
      <x:c r="O196" s="9" t="n">
        <x:v>2.86661981035524</x:v>
      </x:c>
      <x:c r="P196" s="8" t="n">
        <x:v>21182.13341481647</x:v>
      </x:c>
      <x:c r="Q196" t="n">
        <x:v>2024</x:v>
      </x:c>
      <x:c r="R196" s="8" t="n">
        <x:v>114965293466.611</x:v>
      </x:c>
      <x:c r="S196" t="n">
        <x:v>0</x:v>
      </x:c>
      <x:c r="T196" t="n">
        <x:v>0</x:v>
      </x:c>
      <x:c r="U196" t="inlineStr">
        <x:is>
          <x:t xml:space="preserve">No</x:t>
        </x:is>
      </x:c>
      <x:c r="W196" t="inlineStr">
        <x:is>
          <x:t xml:space="preserve">No</x:t>
        </x:is>
      </x:c>
      <x:c r="X196" t="n">
        <x:v>32.43866868046037</x:v>
      </x:c>
      <x:c r="Y196" t="n">
        <x:v>48.06842397026813</x:v>
      </x:c>
      <x:c r="Z196" t="n">
        <x:v>461410.258459096</x:v>
      </x:c>
      <x:c r="AA196" t="n">
        <x:v>64.47377026108585</x:v>
      </x:c>
      <x:c r="AB196" s="8" t="n">
        <x:v>6800.260810002831</x:v>
      </x:c>
      <x:c r="AR196">
        <x:f>IF(G196="","",LOG10(G196+1))</x:f>
      </x:c>
      <x:c r="AS196" s="10">
        <x:f>IF(AR196="","",IF(MAX($AR$2:$AR$252)-MIN($AR$2:$AR$252)=0,"",(AR196-MIN($AR$2:$AR$252))/(MAX($AR$2:$AR$252)-MIN($AR$2:$AR$252))*100))</x:f>
      </x:c>
      <x:c r="AT196">
        <x:f>IF(R196="","",LOG10(R196+1))</x:f>
      </x:c>
      <x:c r="AU196" s="10">
        <x:f>IF(AT196="","",IF(MAX($AT$2:$AT$252)-MIN($AT$2:$AT$252)=0,"",(AT196-MIN($AT$2:$AT$252))/(MAX($AT$2:$AT$252)-MIN($AT$2:$AT$252))*100))</x:f>
      </x:c>
      <x:c r="AV196">
        <x:f>IF(N196="","",LOG10(N196+1))</x:f>
      </x:c>
      <x:c r="AW196" s="10">
        <x:f>IF(AV196="","",IF(MAX($AV$2:$AV$252)-MIN($AV$2:$AV$252)=0,"",(AV196-MIN($AV$2:$AV$252))/(MAX($AV$2:$AV$252)-MIN($AV$2:$AV$252))*100))</x:f>
      </x:c>
      <x:c r="AX196">
        <x:f>IF(I196="","",LOG10(I196+1))</x:f>
      </x:c>
      <x:c r="AY196" s="10">
        <x:f>IF(AX196="","",IF(MAX($AX$2:$AX$252)-MIN($AX$2:$AX$252)=0,"",(AX196-MIN($AX$2:$AX$252))/(MAX($AX$2:$AX$252)-MIN($AX$2:$AX$252))*100))</x:f>
      </x:c>
      <x:c r="AZ196">
        <x:f>IF(J196="","",LOG10(J196+1))</x:f>
      </x:c>
      <x:c r="BA196" s="10">
        <x:f>IF(AZ196="","",IF(MAX($AZ$2:$AZ$252)-MIN($AZ$2:$AZ$252)=0,"",(AZ196-MIN($AZ$2:$AZ$252))/(MAX($AZ$2:$AZ$252)-MIN($AZ$2:$AZ$252))*100))</x:f>
      </x:c>
      <x:c r="BB196">
        <x:f>IF(K196="","",LOG10(K196+1))</x:f>
      </x:c>
      <x:c r="BC196" s="10">
        <x:f>IF(BB196="","",IF(MAX($BB$2:$BB$252)-MIN($BB$2:$BB$252)=0,"",(BB196-MIN($BB$2:$BB$252))/(MAX($BB$2:$BB$252)-MIN($BB$2:$BB$252))*100))</x:f>
      </x:c>
      <x:c r="BD196">
        <x:f>IF(L196="","",LOG10(L196+1))</x:f>
      </x:c>
      <x:c r="BE196" s="10">
        <x:f>IF(BD196="","",IF(MAX($BD$2:$BD$252)-MIN($BD$2:$BD$252)=0,"",(BD196-MIN($BD$2:$BD$252))/(MAX($BD$2:$BD$252)-MIN($BD$2:$BD$252))*100))</x:f>
      </x:c>
      <x:c r="BF196" s="10">
        <x:f>IF(P196="","",IF(MAX($P$2:$P$252)-MIN($P$2:$P$252)=0,"",(P196-MIN($P$2:$P$252))/(MAX($P$2:$P$252)-MIN($P$2:$P$252))*100))</x:f>
      </x:c>
      <x:c r="BG196">
        <x:f>IF(AF196="","",LOG10(AF196+1))</x:f>
      </x:c>
      <x:c r="BH196" s="10">
        <x:f>IF(BG196="","",IF(MAX($BG$2:$BG$252)-MIN($BG$2:$BG$252)=0,"",(BG196-MIN($BG$2:$BG$252))/(MAX($BG$2:$BG$252)-MIN($BG$2:$BG$252))*100))</x:f>
      </x:c>
      <x:c r="BI196">
        <x:f>IF(AC196="","",LOG10(AC196+1))</x:f>
      </x:c>
      <x:c r="BJ196" s="10">
        <x:f>IF(BI196="","",IF(MAX($BI$2:$BI$252)-MIN($BI$2:$BI$252)=0,"",(BI196-MIN($BI$2:$BI$252))/(MAX($BI$2:$BI$252)-MIN($BI$2:$BI$252))*100))</x:f>
      </x:c>
      <x:c r="BK196">
        <x:f>IF(AD196="","",(AD196*2)+(AE196*1))</x:f>
      </x:c>
      <x:c r="BL196" s="10">
        <x:f>IF(BK196="","",IF(MAX($BK$2:$BK$252)-MIN($BK$2:$BK$252)=0,"",(BK196-MIN($BK$2:$BK$252))/(MAX($BK$2:$BK$252)-MIN($BK$2:$BK$252))*100))</x:f>
      </x:c>
      <x:c r="BM196" s="10">
        <x:f>IF(AB196="","",IF(MAX($AB$2:$AB$252)-MIN($AB$2:$AB$252)=0,"",(AB196-MIN($AB$2:$AB$252))/(MAX($AB$2:$AB$252)-MIN($AB$2:$AB$252))*100))</x:f>
      </x:c>
      <x:c r="BN196" s="10">
        <x:f>IF(X196="","",X196)</x:f>
      </x:c>
      <x:c r="BO196" s="10">
        <x:f>IF(X196="","",100-X196)</x:f>
      </x:c>
      <x:c r="BP196" s="10">
        <x:f>IF((Weights!$C$2*IF(BH196="",0,1)+Weights!$C$3*IF(BJ196="",0,1)+Weights!$C$4*IF(BL196="",0,1))=0,"",(Weights!$C$2*IF(BH196="",0,BH196)+Weights!$C$3*IF(BJ196="",0,BJ196)+Weights!$C$4*IF(BL196="",0,BL196))/(Weights!$C$2*IF(BH196="",0,1)+Weights!$C$3*IF(BJ196="",0,1)+Weights!$C$4*IF(BL196="",0,1)))</x:f>
      </x:c>
      <x:c r="BQ196" s="10">
        <x:f>IF((Weights!$C$5*IF(BA196="",0,1)+Weights!$C$6*IF(AW196="",0,1)+Weights!$C$7*IF(AU196="",0,1))=0,"",(Weights!$C$5*IF(BA196="",0,BA196)+Weights!$C$6*IF(AW196="",0,AW196)+Weights!$C$7*IF(AU196="",0,AU196))/(Weights!$C$5*IF(BA196="",0,1)+Weights!$C$6*IF(AW196="",0,1)+Weights!$C$7*IF(AU196="",0,1)))</x:f>
      </x:c>
      <x:c r="BR196" s="10">
        <x:f>IF((Weights!$C$8*IF(AW196="",0,1)+Weights!$C$9*IF(BC196="",0,1)+Weights!$C$10*IF(BF196="",0,1))=0,"",(Weights!$C$8*IF(AW196="",0,AW196)+Weights!$C$9*IF(BC196="",0,BC196)+Weights!$C$10*IF(BF196="",0,BF196))/(Weights!$C$8*IF(AW196="",0,1)+Weights!$C$9*IF(BC196="",0,1)+Weights!$C$10*IF(BF196="",0,1)))</x:f>
      </x:c>
      <x:c r="BS196" s="10">
        <x:f>IF(Y196="","",Y196)</x:f>
      </x:c>
      <x:c r="BT196" s="10">
        <x:f>IF(AS196="","",AS196)</x:f>
      </x:c>
      <x:c r="BU196" s="10">
        <x:f>IF(AJ196&lt;&gt;"",(0.6*AJ196+0.4*AU196),IF((Weights!$C$11*IF(AU196="",0,1)+Weights!$C$12*IF(BM196="",0,1))=0,"",(Weights!$C$11*IF(AU196="",0,AU196)+Weights!$C$12*IF(BM196="",0,BM196))/(Weights!$C$11*IF(AU196="",0,1)+Weights!$C$12*IF(BM196="",0,1))))</x:f>
      </x:c>
      <x:c r="BV196" s="10">
        <x:f>IF(CG196="",0,CG196)</x:f>
      </x:c>
      <x:c r="BW196" s="10">
        <x:f>IF(AP196="","",AP196)</x:f>
      </x:c>
      <x:c r="BX196" s="10">
        <x:f>IF(AO196="","",AO196)</x:f>
      </x:c>
      <x:c r="BY196" s="10">
        <x:f>IF(AL196="","",AL196)</x:f>
      </x:c>
      <x:c r="BZ196" s="10">
        <x:f>IF(AM196="","",AM196)</x:f>
      </x:c>
      <x:c r="CA196" s="10">
        <x:f>IF(AK196&lt;&gt;"",AK196,AW196)</x:f>
      </x:c>
      <x:c r="CB196" s="10">
        <x:f>IF((Weights!$C$13*IF(BP196="",0,1)+Weights!$C$14*IF(BR196="",0,1)+Weights!$C$15*IF(BQ196="",0,1)+Weights!$C$16*IF(BS196="",0,1)+Weights!$C$17*IF(BU196="",0,1)+Weights!$C$18*IF(BT196="",0,1)+Weights!$C$19*IF(BW196="",0,1)+Weights!$C$20*IF(BZ196="",0,1)+Weights!$C$21*IF(BO196="",0,1)+Weights!$C$22)=0,"",(Weights!$C$13*IF(BP196="",0,BP196)+Weights!$C$14*IF(BR196="",0,BR196)+Weights!$C$15*IF(BQ196="",0,BQ196)+Weights!$C$16*IF(BS196="",0,BS196)+Weights!$C$17*IF(BU196="",0,BU196)+Weights!$C$18*IF(BT196="",0,BT196)+Weights!$C$19*IF(BW196="",0,BW196)+Weights!$C$20*IF(BZ196="",0,BZ196)+Weights!$C$21*IF(BO196="",0,BO196)+Weights!$C$22*BV196)/(Weights!$C$13*IF(BP196="",0,1)+Weights!$C$14*IF(BR196="",0,1)+Weights!$C$15*IF(BQ196="",0,1)+Weights!$C$16*IF(BS196="",0,1)+Weights!$C$17*IF(BU196="",0,1)+Weights!$C$18*IF(BT196="",0,1)+Weights!$C$19*IF(BW196="",0,1)+Weights!$C$20*IF(BZ196="",0,1)+Weights!$C$21*IF(BO196="",0,1)+Weights!$C$22))</x:f>
      </x:c>
      <x:c r="CC196" s="10">
        <x:f>IF((Weights!$C$23*IF(BQ196="",0,1)+Weights!$C$24*IF(BN196="",0,1)+Weights!$C$25*IF(BS196="",0,1)+Weights!$C$26*IF(BY196="",0,1)+Weights!$C$27*IF(BX196="",0,1)+Weights!$C$28*IF(BT196="",0,1)+Weights!$C$29*IF(CA196="",0,1)+Weights!$C$30+Weights!$C$31*IF(BU196="",0,1))=0,"",(Weights!$C$23*IF(BQ196="",0,BQ196)+Weights!$C$24*IF(BN196="",0,BN196)+Weights!$C$25*IF(BS196="",0,BS196)+Weights!$C$26*IF(BY196="",0,BY196)+Weights!$C$27*IF(BX196="",0,BX196)+Weights!$C$28*IF(BT196="",0,BT196)+Weights!$C$29*IF(CA196="",0,CA196)+Weights!$C$30*BV196+Weights!$C$31*IF(BU196="",0,BU196))/(Weights!$C$23*IF(BQ196="",0,1)+Weights!$C$24*IF(BN196="",0,1)+Weights!$C$25*IF(BS196="",0,1)+Weights!$C$26*IF(BY196="",0,1)+Weights!$C$27*IF(BX196="",0,1)+Weights!$C$28*IF(BT196="",0,1)+Weights!$C$29*IF(CA196="",0,1)+Weights!$C$30+Weights!$C$31*IF(BU196="",0,1)))</x:f>
      </x:c>
      <x:c r="CD196" s="10">
        <x:f>IF(AND(CB196="",CC196=""),"",IF(CB196="",CC196,IF(CC196="",CB196,AVERAGE(CB196,CC196))))</x:f>
      </x:c>
      <x:c r="CE196" s="7">
        <x:f>ROUND(100*((IF(BP196&lt;&gt;"",1,0)+IF(BQ196&lt;&gt;"",1,0)+IF(BR196&lt;&gt;"",1,0)+IF(BS196&lt;&gt;"",1,0)+IF(BU196&lt;&gt;"",1,0)+IF(BT196&lt;&gt;"",1,0)+IF(BN196&lt;&gt;"",1,0)+IF(AW196&lt;&gt;"",1,0))/8),0)</x:f>
      </x:c>
      <x:c r="CF196">
        <x:f>IF(V196="","",LOG10(V196+1))</x:f>
      </x:c>
      <x:c r="CG196">
        <x:f>IF(CF196="","",IF(MAX($CF$2:$CF$252)-MIN($CF$2:$CF$252)=0,"",(CF196-MIN($CF$2:$CF$252))/(MAX($CF$2:$CF$252)-MIN($CF$2:$CF$252))*100))</x:f>
      </x:c>
    </x:row>
    <x:row r="197">
      <x:c r="A197" t="inlineStr">
        <x:is>
          <x:t xml:space="preserve">VUT</x:t>
        </x:is>
      </x:c>
      <x:c r="B197" t="inlineStr">
        <x:is>
          <x:t xml:space="preserve">Vanuatu</x:t>
        </x:is>
      </x:c>
      <x:c r="C197" t="inlineStr">
        <x:is>
          <x:t xml:space="preserve">East Asia &amp; Pacific</x:t>
        </x:is>
      </x:c>
      <x:c r="D197" t="inlineStr">
        <x:is>
          <x:t xml:space="preserve">Lower middle income</x:t>
        </x:is>
      </x:c>
      <x:c r="E197" t="inlineStr">
        <x:is>
          <x:t xml:space="preserve">Oceania</x:t>
        </x:is>
      </x:c>
      <x:c r="F197" t="n">
        <x:v>2024</x:v>
      </x:c>
      <x:c r="G197" t="n">
        <x:v>327777</x:v>
      </x:c>
      <x:c r="N197" s="8" t="n"/>
      <x:c r="O197" s="9" t="n"/>
      <x:c r="P197" s="8" t="n"/>
      <x:c r="Q197" t="n">
        <x:v>2024</x:v>
      </x:c>
      <x:c r="R197" s="8" t="n">
        <x:v>1117972034.22642</x:v>
      </x:c>
      <x:c r="S197" t="n">
        <x:v>0</x:v>
      </x:c>
      <x:c r="T197" t="n">
        <x:v>0</x:v>
      </x:c>
      <x:c r="U197" t="inlineStr">
        <x:is>
          <x:t xml:space="preserve">No</x:t>
        </x:is>
      </x:c>
      <x:c r="W197" t="inlineStr">
        <x:is>
          <x:t xml:space="preserve">No</x:t>
        </x:is>
      </x:c>
      <x:c r="X197" t="n">
        <x:v>31.21007905426411</x:v>
      </x:c>
      <x:c r="Y197" t="n">
        <x:v>30.45152658113673</x:v>
      </x:c>
      <x:c r="Z197" t="n">
        <x:v>7490.040146715985</x:v>
      </x:c>
      <x:c r="AA197" t="n">
        <x:v>37.75867611657596</x:v>
      </x:c>
      <x:c r="AB197" s="8" t="n">
        <x:v>2556.45052932316</x:v>
      </x:c>
      <x:c r="AR197">
        <x:f>IF(G197="","",LOG10(G197+1))</x:f>
      </x:c>
      <x:c r="AS197" s="10">
        <x:f>IF(AR197="","",IF(MAX($AR$2:$AR$252)-MIN($AR$2:$AR$252)=0,"",(AR197-MIN($AR$2:$AR$252))/(MAX($AR$2:$AR$252)-MIN($AR$2:$AR$252))*100))</x:f>
      </x:c>
      <x:c r="AT197">
        <x:f>IF(R197="","",LOG10(R197+1))</x:f>
      </x:c>
      <x:c r="AU197" s="10">
        <x:f>IF(AT197="","",IF(MAX($AT$2:$AT$252)-MIN($AT$2:$AT$252)=0,"",(AT197-MIN($AT$2:$AT$252))/(MAX($AT$2:$AT$252)-MIN($AT$2:$AT$252))*100))</x:f>
      </x:c>
      <x:c r="AV197">
        <x:f>IF(N197="","",LOG10(N197+1))</x:f>
      </x:c>
      <x:c r="AW197" s="10">
        <x:f>IF(AV197="","",IF(MAX($AV$2:$AV$252)-MIN($AV$2:$AV$252)=0,"",(AV197-MIN($AV$2:$AV$252))/(MAX($AV$2:$AV$252)-MIN($AV$2:$AV$252))*100))</x:f>
      </x:c>
      <x:c r="AX197">
        <x:f>IF(I197="","",LOG10(I197+1))</x:f>
      </x:c>
      <x:c r="AY197" s="10">
        <x:f>IF(AX197="","",IF(MAX($AX$2:$AX$252)-MIN($AX$2:$AX$252)=0,"",(AX197-MIN($AX$2:$AX$252))/(MAX($AX$2:$AX$252)-MIN($AX$2:$AX$252))*100))</x:f>
      </x:c>
      <x:c r="AZ197">
        <x:f>IF(J197="","",LOG10(J197+1))</x:f>
      </x:c>
      <x:c r="BA197" s="10">
        <x:f>IF(AZ197="","",IF(MAX($AZ$2:$AZ$252)-MIN($AZ$2:$AZ$252)=0,"",(AZ197-MIN($AZ$2:$AZ$252))/(MAX($AZ$2:$AZ$252)-MIN($AZ$2:$AZ$252))*100))</x:f>
      </x:c>
      <x:c r="BB197">
        <x:f>IF(K197="","",LOG10(K197+1))</x:f>
      </x:c>
      <x:c r="BC197" s="10">
        <x:f>IF(BB197="","",IF(MAX($BB$2:$BB$252)-MIN($BB$2:$BB$252)=0,"",(BB197-MIN($BB$2:$BB$252))/(MAX($BB$2:$BB$252)-MIN($BB$2:$BB$252))*100))</x:f>
      </x:c>
      <x:c r="BD197">
        <x:f>IF(L197="","",LOG10(L197+1))</x:f>
      </x:c>
      <x:c r="BE197" s="10">
        <x:f>IF(BD197="","",IF(MAX($BD$2:$BD$252)-MIN($BD$2:$BD$252)=0,"",(BD197-MIN($BD$2:$BD$252))/(MAX($BD$2:$BD$252)-MIN($BD$2:$BD$252))*100))</x:f>
      </x:c>
      <x:c r="BF197" s="10">
        <x:f>IF(P197="","",IF(MAX($P$2:$P$252)-MIN($P$2:$P$252)=0,"",(P197-MIN($P$2:$P$252))/(MAX($P$2:$P$252)-MIN($P$2:$P$252))*100))</x:f>
      </x:c>
      <x:c r="BG197">
        <x:f>IF(AF197="","",LOG10(AF197+1))</x:f>
      </x:c>
      <x:c r="BH197" s="10">
        <x:f>IF(BG197="","",IF(MAX($BG$2:$BG$252)-MIN($BG$2:$BG$252)=0,"",(BG197-MIN($BG$2:$BG$252))/(MAX($BG$2:$BG$252)-MIN($BG$2:$BG$252))*100))</x:f>
      </x:c>
      <x:c r="BI197">
        <x:f>IF(AC197="","",LOG10(AC197+1))</x:f>
      </x:c>
      <x:c r="BJ197" s="10">
        <x:f>IF(BI197="","",IF(MAX($BI$2:$BI$252)-MIN($BI$2:$BI$252)=0,"",(BI197-MIN($BI$2:$BI$252))/(MAX($BI$2:$BI$252)-MIN($BI$2:$BI$252))*100))</x:f>
      </x:c>
      <x:c r="BK197">
        <x:f>IF(AD197="","",(AD197*2)+(AE197*1))</x:f>
      </x:c>
      <x:c r="BL197" s="10">
        <x:f>IF(BK197="","",IF(MAX($BK$2:$BK$252)-MIN($BK$2:$BK$252)=0,"",(BK197-MIN($BK$2:$BK$252))/(MAX($BK$2:$BK$252)-MIN($BK$2:$BK$252))*100))</x:f>
      </x:c>
      <x:c r="BM197" s="10">
        <x:f>IF(AB197="","",IF(MAX($AB$2:$AB$252)-MIN($AB$2:$AB$252)=0,"",(AB197-MIN($AB$2:$AB$252))/(MAX($AB$2:$AB$252)-MIN($AB$2:$AB$252))*100))</x:f>
      </x:c>
      <x:c r="BN197" s="10">
        <x:f>IF(X197="","",X197)</x:f>
      </x:c>
      <x:c r="BO197" s="10">
        <x:f>IF(X197="","",100-X197)</x:f>
      </x:c>
      <x:c r="BP197" s="10">
        <x:f>IF((Weights!$C$2*IF(BH197="",0,1)+Weights!$C$3*IF(BJ197="",0,1)+Weights!$C$4*IF(BL197="",0,1))=0,"",(Weights!$C$2*IF(BH197="",0,BH197)+Weights!$C$3*IF(BJ197="",0,BJ197)+Weights!$C$4*IF(BL197="",0,BL197))/(Weights!$C$2*IF(BH197="",0,1)+Weights!$C$3*IF(BJ197="",0,1)+Weights!$C$4*IF(BL197="",0,1)))</x:f>
      </x:c>
      <x:c r="BQ197" s="10">
        <x:f>IF((Weights!$C$5*IF(BA197="",0,1)+Weights!$C$6*IF(AW197="",0,1)+Weights!$C$7*IF(AU197="",0,1))=0,"",(Weights!$C$5*IF(BA197="",0,BA197)+Weights!$C$6*IF(AW197="",0,AW197)+Weights!$C$7*IF(AU197="",0,AU197))/(Weights!$C$5*IF(BA197="",0,1)+Weights!$C$6*IF(AW197="",0,1)+Weights!$C$7*IF(AU197="",0,1)))</x:f>
      </x:c>
      <x:c r="BR197" s="10">
        <x:f>IF((Weights!$C$8*IF(AW197="",0,1)+Weights!$C$9*IF(BC197="",0,1)+Weights!$C$10*IF(BF197="",0,1))=0,"",(Weights!$C$8*IF(AW197="",0,AW197)+Weights!$C$9*IF(BC197="",0,BC197)+Weights!$C$10*IF(BF197="",0,BF197))/(Weights!$C$8*IF(AW197="",0,1)+Weights!$C$9*IF(BC197="",0,1)+Weights!$C$10*IF(BF197="",0,1)))</x:f>
      </x:c>
      <x:c r="BS197" s="10">
        <x:f>IF(Y197="","",Y197)</x:f>
      </x:c>
      <x:c r="BT197" s="10">
        <x:f>IF(AS197="","",AS197)</x:f>
      </x:c>
      <x:c r="BU197" s="10">
        <x:f>IF(AJ197&lt;&gt;"",(0.6*AJ197+0.4*AU197),IF((Weights!$C$11*IF(AU197="",0,1)+Weights!$C$12*IF(BM197="",0,1))=0,"",(Weights!$C$11*IF(AU197="",0,AU197)+Weights!$C$12*IF(BM197="",0,BM197))/(Weights!$C$11*IF(AU197="",0,1)+Weights!$C$12*IF(BM197="",0,1))))</x:f>
      </x:c>
      <x:c r="BV197" s="10">
        <x:f>IF(CG197="",0,CG197)</x:f>
      </x:c>
      <x:c r="BW197" s="10">
        <x:f>IF(AP197="","",AP197)</x:f>
      </x:c>
      <x:c r="BX197" s="10">
        <x:f>IF(AO197="","",AO197)</x:f>
      </x:c>
      <x:c r="BY197" s="10">
        <x:f>IF(AL197="","",AL197)</x:f>
      </x:c>
      <x:c r="BZ197" s="10">
        <x:f>IF(AM197="","",AM197)</x:f>
      </x:c>
      <x:c r="CA197" s="10">
        <x:f>IF(AK197&lt;&gt;"",AK197,AW197)</x:f>
      </x:c>
      <x:c r="CB197" s="10">
        <x:f>IF((Weights!$C$13*IF(BP197="",0,1)+Weights!$C$14*IF(BR197="",0,1)+Weights!$C$15*IF(BQ197="",0,1)+Weights!$C$16*IF(BS197="",0,1)+Weights!$C$17*IF(BU197="",0,1)+Weights!$C$18*IF(BT197="",0,1)+Weights!$C$19*IF(BW197="",0,1)+Weights!$C$20*IF(BZ197="",0,1)+Weights!$C$21*IF(BO197="",0,1)+Weights!$C$22)=0,"",(Weights!$C$13*IF(BP197="",0,BP197)+Weights!$C$14*IF(BR197="",0,BR197)+Weights!$C$15*IF(BQ197="",0,BQ197)+Weights!$C$16*IF(BS197="",0,BS197)+Weights!$C$17*IF(BU197="",0,BU197)+Weights!$C$18*IF(BT197="",0,BT197)+Weights!$C$19*IF(BW197="",0,BW197)+Weights!$C$20*IF(BZ197="",0,BZ197)+Weights!$C$21*IF(BO197="",0,BO197)+Weights!$C$22*BV197)/(Weights!$C$13*IF(BP197="",0,1)+Weights!$C$14*IF(BR197="",0,1)+Weights!$C$15*IF(BQ197="",0,1)+Weights!$C$16*IF(BS197="",0,1)+Weights!$C$17*IF(BU197="",0,1)+Weights!$C$18*IF(BT197="",0,1)+Weights!$C$19*IF(BW197="",0,1)+Weights!$C$20*IF(BZ197="",0,1)+Weights!$C$21*IF(BO197="",0,1)+Weights!$C$22))</x:f>
      </x:c>
      <x:c r="CC197" s="10">
        <x:f>IF((Weights!$C$23*IF(BQ197="",0,1)+Weights!$C$24*IF(BN197="",0,1)+Weights!$C$25*IF(BS197="",0,1)+Weights!$C$26*IF(BY197="",0,1)+Weights!$C$27*IF(BX197="",0,1)+Weights!$C$28*IF(BT197="",0,1)+Weights!$C$29*IF(CA197="",0,1)+Weights!$C$30+Weights!$C$31*IF(BU197="",0,1))=0,"",(Weights!$C$23*IF(BQ197="",0,BQ197)+Weights!$C$24*IF(BN197="",0,BN197)+Weights!$C$25*IF(BS197="",0,BS197)+Weights!$C$26*IF(BY197="",0,BY197)+Weights!$C$27*IF(BX197="",0,BX197)+Weights!$C$28*IF(BT197="",0,BT197)+Weights!$C$29*IF(CA197="",0,CA197)+Weights!$C$30*BV197+Weights!$C$31*IF(BU197="",0,BU197))/(Weights!$C$23*IF(BQ197="",0,1)+Weights!$C$24*IF(BN197="",0,1)+Weights!$C$25*IF(BS197="",0,1)+Weights!$C$26*IF(BY197="",0,1)+Weights!$C$27*IF(BX197="",0,1)+Weights!$C$28*IF(BT197="",0,1)+Weights!$C$29*IF(CA197="",0,1)+Weights!$C$30+Weights!$C$31*IF(BU197="",0,1)))</x:f>
      </x:c>
      <x:c r="CD197" s="10">
        <x:f>IF(AND(CB197="",CC197=""),"",IF(CB197="",CC197,IF(CC197="",CB197,AVERAGE(CB197,CC197))))</x:f>
      </x:c>
      <x:c r="CE197" s="7">
        <x:f>ROUND(100*((IF(BP197&lt;&gt;"",1,0)+IF(BQ197&lt;&gt;"",1,0)+IF(BR197&lt;&gt;"",1,0)+IF(BS197&lt;&gt;"",1,0)+IF(BU197&lt;&gt;"",1,0)+IF(BT197&lt;&gt;"",1,0)+IF(BN197&lt;&gt;"",1,0)+IF(AW197&lt;&gt;"",1,0))/8),0)</x:f>
      </x:c>
      <x:c r="CF197">
        <x:f>IF(V197="","",LOG10(V197+1))</x:f>
      </x:c>
      <x:c r="CG197">
        <x:f>IF(CF197="","",IF(MAX($CF$2:$CF$252)-MIN($CF$2:$CF$252)=0,"",(CF197-MIN($CF$2:$CF$252))/(MAX($CF$2:$CF$252)-MIN($CF$2:$CF$252))*100))</x:f>
      </x:c>
    </x:row>
    <x:row r="198">
      <x:c r="A198" t="inlineStr">
        <x:is>
          <x:t xml:space="preserve">YEM</x:t>
        </x:is>
      </x:c>
      <x:c r="B198" t="inlineStr">
        <x:is>
          <x:t xml:space="preserve">Yemen, Rep.</x:t>
        </x:is>
      </x:c>
      <x:c r="C198" t="inlineStr">
        <x:is>
          <x:t xml:space="preserve">Middle East &amp; North Africa</x:t>
        </x:is>
      </x:c>
      <x:c r="D198" t="inlineStr">
        <x:is>
          <x:t xml:space="preserve">Low income</x:t>
        </x:is>
      </x:c>
      <x:c r="E198" t="inlineStr">
        <x:is>
          <x:t xml:space="preserve">Asia</x:t>
        </x:is>
      </x:c>
      <x:c r="F198" t="n">
        <x:v>2024</x:v>
      </x:c>
      <x:c r="G198" t="n">
        <x:v>40583164</x:v>
      </x:c>
      <x:c r="H198" t="n">
        <x:v>2020</x:v>
      </x:c>
      <x:c r="I198" t="n">
        <x:v>40000</x:v>
      </x:c>
      <x:c r="J198" t="n">
        <x:v>26000</x:v>
      </x:c>
      <x:c r="K198" t="n">
        <x:v>8000</x:v>
      </x:c>
      <x:c r="L198" t="n">
        <x:v>4800</x:v>
      </x:c>
      <x:c r="M198" t="n">
        <x:v>2014</x:v>
      </x:c>
      <x:c r="N198" s="8" t="n">
        <x:v>1714830843.68747</x:v>
      </x:c>
      <x:c r="O198" s="9" t="n">
        <x:v>3.96689083277903</x:v>
      </x:c>
      <x:c r="P198" s="8" t="n">
        <x:v>42870.77109218675</x:v>
      </x:c>
      <x:c r="Q198" t="n">
        <x:v>2018</x:v>
      </x:c>
      <x:c r="R198" s="8" t="n">
        <x:v>21606160663.0318</x:v>
      </x:c>
      <x:c r="S198" t="n">
        <x:v>0</x:v>
      </x:c>
      <x:c r="T198" t="n">
        <x:v>0</x:v>
      </x:c>
      <x:c r="U198" t="inlineStr">
        <x:is>
          <x:t xml:space="preserve">No</x:t>
        </x:is>
      </x:c>
      <x:c r="W198" t="inlineStr">
        <x:is>
          <x:t xml:space="preserve">No</x:t>
        </x:is>
      </x:c>
      <x:c r="X198" t="n">
        <x:v>10.83595032338722</x:v>
      </x:c>
      <x:c r="Y198" t="n">
        <x:v>33.80805098797846</x:v>
      </x:c>
      <x:c r="Z198" t="n">
        <x:v>455915.0072541861</x:v>
      </x:c>
      <x:c r="AA198" t="n">
        <x:v>61.49573616550998</x:v>
      </x:c>
      <x:c r="AB198" s="8" t="n">
        <x:v>2619.768448136556</x:v>
      </x:c>
      <x:c r="AC198" t="n">
        <x:v>38</x:v>
      </x:c>
      <x:c r="AD198" t="n">
        <x:v>0</x:v>
      </x:c>
      <x:c r="AE198" t="n">
        <x:v>0</x:v>
      </x:c>
      <x:c r="AR198">
        <x:f>IF(G198="","",LOG10(G198+1))</x:f>
      </x:c>
      <x:c r="AS198" s="10">
        <x:f>IF(AR198="","",IF(MAX($AR$2:$AR$252)-MIN($AR$2:$AR$252)=0,"",(AR198-MIN($AR$2:$AR$252))/(MAX($AR$2:$AR$252)-MIN($AR$2:$AR$252))*100))</x:f>
      </x:c>
      <x:c r="AT198">
        <x:f>IF(R198="","",LOG10(R198+1))</x:f>
      </x:c>
      <x:c r="AU198" s="10">
        <x:f>IF(AT198="","",IF(MAX($AT$2:$AT$252)-MIN($AT$2:$AT$252)=0,"",(AT198-MIN($AT$2:$AT$252))/(MAX($AT$2:$AT$252)-MIN($AT$2:$AT$252))*100))</x:f>
      </x:c>
      <x:c r="AV198">
        <x:f>IF(N198="","",LOG10(N198+1))</x:f>
      </x:c>
      <x:c r="AW198" s="10">
        <x:f>IF(AV198="","",IF(MAX($AV$2:$AV$252)-MIN($AV$2:$AV$252)=0,"",(AV198-MIN($AV$2:$AV$252))/(MAX($AV$2:$AV$252)-MIN($AV$2:$AV$252))*100))</x:f>
      </x:c>
      <x:c r="AX198">
        <x:f>IF(I198="","",LOG10(I198+1))</x:f>
      </x:c>
      <x:c r="AY198" s="10">
        <x:f>IF(AX198="","",IF(MAX($AX$2:$AX$252)-MIN($AX$2:$AX$252)=0,"",(AX198-MIN($AX$2:$AX$252))/(MAX($AX$2:$AX$252)-MIN($AX$2:$AX$252))*100))</x:f>
      </x:c>
      <x:c r="AZ198">
        <x:f>IF(J198="","",LOG10(J198+1))</x:f>
      </x:c>
      <x:c r="BA198" s="10">
        <x:f>IF(AZ198="","",IF(MAX($AZ$2:$AZ$252)-MIN($AZ$2:$AZ$252)=0,"",(AZ198-MIN($AZ$2:$AZ$252))/(MAX($AZ$2:$AZ$252)-MIN($AZ$2:$AZ$252))*100))</x:f>
      </x:c>
      <x:c r="BB198">
        <x:f>IF(K198="","",LOG10(K198+1))</x:f>
      </x:c>
      <x:c r="BC198" s="10">
        <x:f>IF(BB198="","",IF(MAX($BB$2:$BB$252)-MIN($BB$2:$BB$252)=0,"",(BB198-MIN($BB$2:$BB$252))/(MAX($BB$2:$BB$252)-MIN($BB$2:$BB$252))*100))</x:f>
      </x:c>
      <x:c r="BD198">
        <x:f>IF(L198="","",LOG10(L198+1))</x:f>
      </x:c>
      <x:c r="BE198" s="10">
        <x:f>IF(BD198="","",IF(MAX($BD$2:$BD$252)-MIN($BD$2:$BD$252)=0,"",(BD198-MIN($BD$2:$BD$252))/(MAX($BD$2:$BD$252)-MIN($BD$2:$BD$252))*100))</x:f>
      </x:c>
      <x:c r="BF198" s="10">
        <x:f>IF(P198="","",IF(MAX($P$2:$P$252)-MIN($P$2:$P$252)=0,"",(P198-MIN($P$2:$P$252))/(MAX($P$2:$P$252)-MIN($P$2:$P$252))*100))</x:f>
      </x:c>
      <x:c r="BG198">
        <x:f>IF(AF198="","",LOG10(AF198+1))</x:f>
      </x:c>
      <x:c r="BH198" s="10">
        <x:f>IF(BG198="","",IF(MAX($BG$2:$BG$252)-MIN($BG$2:$BG$252)=0,"",(BG198-MIN($BG$2:$BG$252))/(MAX($BG$2:$BG$252)-MIN($BG$2:$BG$252))*100))</x:f>
      </x:c>
      <x:c r="BI198">
        <x:f>IF(AC198="","",LOG10(AC198+1))</x:f>
      </x:c>
      <x:c r="BJ198" s="10">
        <x:f>IF(BI198="","",IF(MAX($BI$2:$BI$252)-MIN($BI$2:$BI$252)=0,"",(BI198-MIN($BI$2:$BI$252))/(MAX($BI$2:$BI$252)-MIN($BI$2:$BI$252))*100))</x:f>
      </x:c>
      <x:c r="BK198">
        <x:f>IF(AD198="","",(AD198*2)+(AE198*1))</x:f>
      </x:c>
      <x:c r="BL198" s="10">
        <x:f>IF(BK198="","",IF(MAX($BK$2:$BK$252)-MIN($BK$2:$BK$252)=0,"",(BK198-MIN($BK$2:$BK$252))/(MAX($BK$2:$BK$252)-MIN($BK$2:$BK$252))*100))</x:f>
      </x:c>
      <x:c r="BM198" s="10">
        <x:f>IF(AB198="","",IF(MAX($AB$2:$AB$252)-MIN($AB$2:$AB$252)=0,"",(AB198-MIN($AB$2:$AB$252))/(MAX($AB$2:$AB$252)-MIN($AB$2:$AB$252))*100))</x:f>
      </x:c>
      <x:c r="BN198" s="10">
        <x:f>IF(X198="","",X198)</x:f>
      </x:c>
      <x:c r="BO198" s="10">
        <x:f>IF(X198="","",100-X198)</x:f>
      </x:c>
      <x:c r="BP198" s="10">
        <x:f>IF((Weights!$C$2*IF(BH198="",0,1)+Weights!$C$3*IF(BJ198="",0,1)+Weights!$C$4*IF(BL198="",0,1))=0,"",(Weights!$C$2*IF(BH198="",0,BH198)+Weights!$C$3*IF(BJ198="",0,BJ198)+Weights!$C$4*IF(BL198="",0,BL198))/(Weights!$C$2*IF(BH198="",0,1)+Weights!$C$3*IF(BJ198="",0,1)+Weights!$C$4*IF(BL198="",0,1)))</x:f>
      </x:c>
      <x:c r="BQ198" s="10">
        <x:f>IF((Weights!$C$5*IF(BA198="",0,1)+Weights!$C$6*IF(AW198="",0,1)+Weights!$C$7*IF(AU198="",0,1))=0,"",(Weights!$C$5*IF(BA198="",0,BA198)+Weights!$C$6*IF(AW198="",0,AW198)+Weights!$C$7*IF(AU198="",0,AU198))/(Weights!$C$5*IF(BA198="",0,1)+Weights!$C$6*IF(AW198="",0,1)+Weights!$C$7*IF(AU198="",0,1)))</x:f>
      </x:c>
      <x:c r="BR198" s="10">
        <x:f>IF((Weights!$C$8*IF(AW198="",0,1)+Weights!$C$9*IF(BC198="",0,1)+Weights!$C$10*IF(BF198="",0,1))=0,"",(Weights!$C$8*IF(AW198="",0,AW198)+Weights!$C$9*IF(BC198="",0,BC198)+Weights!$C$10*IF(BF198="",0,BF198))/(Weights!$C$8*IF(AW198="",0,1)+Weights!$C$9*IF(BC198="",0,1)+Weights!$C$10*IF(BF198="",0,1)))</x:f>
      </x:c>
      <x:c r="BS198" s="10">
        <x:f>IF(Y198="","",Y198)</x:f>
      </x:c>
      <x:c r="BT198" s="10">
        <x:f>IF(AS198="","",AS198)</x:f>
      </x:c>
      <x:c r="BU198" s="10">
        <x:f>IF(AJ198&lt;&gt;"",(0.6*AJ198+0.4*AU198),IF((Weights!$C$11*IF(AU198="",0,1)+Weights!$C$12*IF(BM198="",0,1))=0,"",(Weights!$C$11*IF(AU198="",0,AU198)+Weights!$C$12*IF(BM198="",0,BM198))/(Weights!$C$11*IF(AU198="",0,1)+Weights!$C$12*IF(BM198="",0,1))))</x:f>
      </x:c>
      <x:c r="BV198" s="10">
        <x:f>IF(CG198="",0,CG198)</x:f>
      </x:c>
      <x:c r="BW198" s="10">
        <x:f>IF(AP198="","",AP198)</x:f>
      </x:c>
      <x:c r="BX198" s="10">
        <x:f>IF(AO198="","",AO198)</x:f>
      </x:c>
      <x:c r="BY198" s="10">
        <x:f>IF(AL198="","",AL198)</x:f>
      </x:c>
      <x:c r="BZ198" s="10">
        <x:f>IF(AM198="","",AM198)</x:f>
      </x:c>
      <x:c r="CA198" s="10">
        <x:f>IF(AK198&lt;&gt;"",AK198,AW198)</x:f>
      </x:c>
      <x:c r="CB198" s="10">
        <x:f>IF((Weights!$C$13*IF(BP198="",0,1)+Weights!$C$14*IF(BR198="",0,1)+Weights!$C$15*IF(BQ198="",0,1)+Weights!$C$16*IF(BS198="",0,1)+Weights!$C$17*IF(BU198="",0,1)+Weights!$C$18*IF(BT198="",0,1)+Weights!$C$19*IF(BW198="",0,1)+Weights!$C$20*IF(BZ198="",0,1)+Weights!$C$21*IF(BO198="",0,1)+Weights!$C$22)=0,"",(Weights!$C$13*IF(BP198="",0,BP198)+Weights!$C$14*IF(BR198="",0,BR198)+Weights!$C$15*IF(BQ198="",0,BQ198)+Weights!$C$16*IF(BS198="",0,BS198)+Weights!$C$17*IF(BU198="",0,BU198)+Weights!$C$18*IF(BT198="",0,BT198)+Weights!$C$19*IF(BW198="",0,BW198)+Weights!$C$20*IF(BZ198="",0,BZ198)+Weights!$C$21*IF(BO198="",0,BO198)+Weights!$C$22*BV198)/(Weights!$C$13*IF(BP198="",0,1)+Weights!$C$14*IF(BR198="",0,1)+Weights!$C$15*IF(BQ198="",0,1)+Weights!$C$16*IF(BS198="",0,1)+Weights!$C$17*IF(BU198="",0,1)+Weights!$C$18*IF(BT198="",0,1)+Weights!$C$19*IF(BW198="",0,1)+Weights!$C$20*IF(BZ198="",0,1)+Weights!$C$21*IF(BO198="",0,1)+Weights!$C$22))</x:f>
      </x:c>
      <x:c r="CC198" s="10">
        <x:f>IF((Weights!$C$23*IF(BQ198="",0,1)+Weights!$C$24*IF(BN198="",0,1)+Weights!$C$25*IF(BS198="",0,1)+Weights!$C$26*IF(BY198="",0,1)+Weights!$C$27*IF(BX198="",0,1)+Weights!$C$28*IF(BT198="",0,1)+Weights!$C$29*IF(CA198="",0,1)+Weights!$C$30+Weights!$C$31*IF(BU198="",0,1))=0,"",(Weights!$C$23*IF(BQ198="",0,BQ198)+Weights!$C$24*IF(BN198="",0,BN198)+Weights!$C$25*IF(BS198="",0,BS198)+Weights!$C$26*IF(BY198="",0,BY198)+Weights!$C$27*IF(BX198="",0,BX198)+Weights!$C$28*IF(BT198="",0,BT198)+Weights!$C$29*IF(CA198="",0,CA198)+Weights!$C$30*BV198+Weights!$C$31*IF(BU198="",0,BU198))/(Weights!$C$23*IF(BQ198="",0,1)+Weights!$C$24*IF(BN198="",0,1)+Weights!$C$25*IF(BS198="",0,1)+Weights!$C$26*IF(BY198="",0,1)+Weights!$C$27*IF(BX198="",0,1)+Weights!$C$28*IF(BT198="",0,1)+Weights!$C$29*IF(CA198="",0,1)+Weights!$C$30+Weights!$C$31*IF(BU198="",0,1)))</x:f>
      </x:c>
      <x:c r="CD198" s="10">
        <x:f>IF(AND(CB198="",CC198=""),"",IF(CB198="",CC198,IF(CC198="",CB198,AVERAGE(CB198,CC198))))</x:f>
      </x:c>
      <x:c r="CE198" s="7">
        <x:f>ROUND(100*((IF(BP198&lt;&gt;"",1,0)+IF(BQ198&lt;&gt;"",1,0)+IF(BR198&lt;&gt;"",1,0)+IF(BS198&lt;&gt;"",1,0)+IF(BU198&lt;&gt;"",1,0)+IF(BT198&lt;&gt;"",1,0)+IF(BN198&lt;&gt;"",1,0)+IF(AW198&lt;&gt;"",1,0))/8),0)</x:f>
      </x:c>
      <x:c r="CF198">
        <x:f>IF(V198="","",LOG10(V198+1))</x:f>
      </x:c>
      <x:c r="CG198">
        <x:f>IF(CF198="","",IF(MAX($CF$2:$CF$252)-MIN($CF$2:$CF$252)=0,"",(CF198-MIN($CF$2:$CF$252))/(MAX($CF$2:$CF$252)-MIN($CF$2:$CF$252))*100))</x:f>
      </x:c>
    </x:row>
    <x:row r="199">
      <x:c r="A199" t="inlineStr">
        <x:is>
          <x:t xml:space="preserve">ZMB</x:t>
        </x:is>
      </x:c>
      <x:c r="B199" t="inlineStr">
        <x:is>
          <x:t xml:space="preserve">Zambia</x:t>
        </x:is>
      </x:c>
      <x:c r="C199" t="inlineStr">
        <x:is>
          <x:t xml:space="preserve">Sub-Saharan Africa</x:t>
        </x:is>
      </x:c>
      <x:c r="D199" t="inlineStr">
        <x:is>
          <x:t xml:space="preserve">Lower middle income</x:t>
        </x:is>
      </x:c>
      <x:c r="E199" t="inlineStr">
        <x:is>
          <x:t xml:space="preserve">Africa</x:t>
        </x:is>
      </x:c>
      <x:c r="F199" t="n">
        <x:v>2024</x:v>
      </x:c>
      <x:c r="G199" t="n">
        <x:v>21314956</x:v>
      </x:c>
      <x:c r="H199" t="n">
        <x:v>2020</x:v>
      </x:c>
      <x:c r="I199" t="n">
        <x:v>16000</x:v>
      </x:c>
      <x:c r="J199" t="n">
        <x:v>10400</x:v>
      </x:c>
      <x:c r="K199" t="n">
        <x:v>3200</x:v>
      </x:c>
      <x:c r="L199" t="n">
        <x:v>1920</x:v>
      </x:c>
      <x:c r="M199" t="n">
        <x:v>2024</x:v>
      </x:c>
      <x:c r="N199" s="8" t="n">
        <x:v>349668209.787907</x:v>
      </x:c>
      <x:c r="O199" s="9" t="n">
        <x:v>1.33268361976463</x:v>
      </x:c>
      <x:c r="P199" s="8" t="n">
        <x:v>21854.26311174419</x:v>
      </x:c>
      <x:c r="Q199" t="n">
        <x:v>2024</x:v>
      </x:c>
      <x:c r="R199" s="8" t="n">
        <x:v>25303185342.2511</x:v>
      </x:c>
      <x:c r="S199" t="n">
        <x:v>0</x:v>
      </x:c>
      <x:c r="T199" t="n">
        <x:v>0</x:v>
      </x:c>
      <x:c r="U199" t="inlineStr">
        <x:is>
          <x:t xml:space="preserve">No</x:t>
        </x:is>
      </x:c>
      <x:c r="W199" t="inlineStr">
        <x:is>
          <x:t xml:space="preserve">No</x:t>
        </x:is>
      </x:c>
      <x:c r="X199" t="n">
        <x:v>20.00597156082505</x:v>
      </x:c>
      <x:c r="Y199" t="n">
        <x:v>33.81250538691967</x:v>
      </x:c>
      <x:c r="Z199" t="n">
        <x:v>751921.2150165382</x:v>
      </x:c>
      <x:c r="AA199" t="n">
        <x:v>21.24158712512016</x:v>
      </x:c>
      <x:c r="AB199" s="8" t="n">
        <x:v>4080.265464562985</x:v>
      </x:c>
      <x:c r="AR199">
        <x:f>IF(G199="","",LOG10(G199+1))</x:f>
      </x:c>
      <x:c r="AS199" s="10">
        <x:f>IF(AR199="","",IF(MAX($AR$2:$AR$252)-MIN($AR$2:$AR$252)=0,"",(AR199-MIN($AR$2:$AR$252))/(MAX($AR$2:$AR$252)-MIN($AR$2:$AR$252))*100))</x:f>
      </x:c>
      <x:c r="AT199">
        <x:f>IF(R199="","",LOG10(R199+1))</x:f>
      </x:c>
      <x:c r="AU199" s="10">
        <x:f>IF(AT199="","",IF(MAX($AT$2:$AT$252)-MIN($AT$2:$AT$252)=0,"",(AT199-MIN($AT$2:$AT$252))/(MAX($AT$2:$AT$252)-MIN($AT$2:$AT$252))*100))</x:f>
      </x:c>
      <x:c r="AV199">
        <x:f>IF(N199="","",LOG10(N199+1))</x:f>
      </x:c>
      <x:c r="AW199" s="10">
        <x:f>IF(AV199="","",IF(MAX($AV$2:$AV$252)-MIN($AV$2:$AV$252)=0,"",(AV199-MIN($AV$2:$AV$252))/(MAX($AV$2:$AV$252)-MIN($AV$2:$AV$252))*100))</x:f>
      </x:c>
      <x:c r="AX199">
        <x:f>IF(I199="","",LOG10(I199+1))</x:f>
      </x:c>
      <x:c r="AY199" s="10">
        <x:f>IF(AX199="","",IF(MAX($AX$2:$AX$252)-MIN($AX$2:$AX$252)=0,"",(AX199-MIN($AX$2:$AX$252))/(MAX($AX$2:$AX$252)-MIN($AX$2:$AX$252))*100))</x:f>
      </x:c>
      <x:c r="AZ199">
        <x:f>IF(J199="","",LOG10(J199+1))</x:f>
      </x:c>
      <x:c r="BA199" s="10">
        <x:f>IF(AZ199="","",IF(MAX($AZ$2:$AZ$252)-MIN($AZ$2:$AZ$252)=0,"",(AZ199-MIN($AZ$2:$AZ$252))/(MAX($AZ$2:$AZ$252)-MIN($AZ$2:$AZ$252))*100))</x:f>
      </x:c>
      <x:c r="BB199">
        <x:f>IF(K199="","",LOG10(K199+1))</x:f>
      </x:c>
      <x:c r="BC199" s="10">
        <x:f>IF(BB199="","",IF(MAX($BB$2:$BB$252)-MIN($BB$2:$BB$252)=0,"",(BB199-MIN($BB$2:$BB$252))/(MAX($BB$2:$BB$252)-MIN($BB$2:$BB$252))*100))</x:f>
      </x:c>
      <x:c r="BD199">
        <x:f>IF(L199="","",LOG10(L199+1))</x:f>
      </x:c>
      <x:c r="BE199" s="10">
        <x:f>IF(BD199="","",IF(MAX($BD$2:$BD$252)-MIN($BD$2:$BD$252)=0,"",(BD199-MIN($BD$2:$BD$252))/(MAX($BD$2:$BD$252)-MIN($BD$2:$BD$252))*100))</x:f>
      </x:c>
      <x:c r="BF199" s="10">
        <x:f>IF(P199="","",IF(MAX($P$2:$P$252)-MIN($P$2:$P$252)=0,"",(P199-MIN($P$2:$P$252))/(MAX($P$2:$P$252)-MIN($P$2:$P$252))*100))</x:f>
      </x:c>
      <x:c r="BG199">
        <x:f>IF(AF199="","",LOG10(AF199+1))</x:f>
      </x:c>
      <x:c r="BH199" s="10">
        <x:f>IF(BG199="","",IF(MAX($BG$2:$BG$252)-MIN($BG$2:$BG$252)=0,"",(BG199-MIN($BG$2:$BG$252))/(MAX($BG$2:$BG$252)-MIN($BG$2:$BG$252))*100))</x:f>
      </x:c>
      <x:c r="BI199">
        <x:f>IF(AC199="","",LOG10(AC199+1))</x:f>
      </x:c>
      <x:c r="BJ199" s="10">
        <x:f>IF(BI199="","",IF(MAX($BI$2:$BI$252)-MIN($BI$2:$BI$252)=0,"",(BI199-MIN($BI$2:$BI$252))/(MAX($BI$2:$BI$252)-MIN($BI$2:$BI$252))*100))</x:f>
      </x:c>
      <x:c r="BK199">
        <x:f>IF(AD199="","",(AD199*2)+(AE199*1))</x:f>
      </x:c>
      <x:c r="BL199" s="10">
        <x:f>IF(BK199="","",IF(MAX($BK$2:$BK$252)-MIN($BK$2:$BK$252)=0,"",(BK199-MIN($BK$2:$BK$252))/(MAX($BK$2:$BK$252)-MIN($BK$2:$BK$252))*100))</x:f>
      </x:c>
      <x:c r="BM199" s="10">
        <x:f>IF(AB199="","",IF(MAX($AB$2:$AB$252)-MIN($AB$2:$AB$252)=0,"",(AB199-MIN($AB$2:$AB$252))/(MAX($AB$2:$AB$252)-MIN($AB$2:$AB$252))*100))</x:f>
      </x:c>
      <x:c r="BN199" s="10">
        <x:f>IF(X199="","",X199)</x:f>
      </x:c>
      <x:c r="BO199" s="10">
        <x:f>IF(X199="","",100-X199)</x:f>
      </x:c>
      <x:c r="BP199" s="10">
        <x:f>IF((Weights!$C$2*IF(BH199="",0,1)+Weights!$C$3*IF(BJ199="",0,1)+Weights!$C$4*IF(BL199="",0,1))=0,"",(Weights!$C$2*IF(BH199="",0,BH199)+Weights!$C$3*IF(BJ199="",0,BJ199)+Weights!$C$4*IF(BL199="",0,BL199))/(Weights!$C$2*IF(BH199="",0,1)+Weights!$C$3*IF(BJ199="",0,1)+Weights!$C$4*IF(BL199="",0,1)))</x:f>
      </x:c>
      <x:c r="BQ199" s="10">
        <x:f>IF((Weights!$C$5*IF(BA199="",0,1)+Weights!$C$6*IF(AW199="",0,1)+Weights!$C$7*IF(AU199="",0,1))=0,"",(Weights!$C$5*IF(BA199="",0,BA199)+Weights!$C$6*IF(AW199="",0,AW199)+Weights!$C$7*IF(AU199="",0,AU199))/(Weights!$C$5*IF(BA199="",0,1)+Weights!$C$6*IF(AW199="",0,1)+Weights!$C$7*IF(AU199="",0,1)))</x:f>
      </x:c>
      <x:c r="BR199" s="10">
        <x:f>IF((Weights!$C$8*IF(AW199="",0,1)+Weights!$C$9*IF(BC199="",0,1)+Weights!$C$10*IF(BF199="",0,1))=0,"",(Weights!$C$8*IF(AW199="",0,AW199)+Weights!$C$9*IF(BC199="",0,BC199)+Weights!$C$10*IF(BF199="",0,BF199))/(Weights!$C$8*IF(AW199="",0,1)+Weights!$C$9*IF(BC199="",0,1)+Weights!$C$10*IF(BF199="",0,1)))</x:f>
      </x:c>
      <x:c r="BS199" s="10">
        <x:f>IF(Y199="","",Y199)</x:f>
      </x:c>
      <x:c r="BT199" s="10">
        <x:f>IF(AS199="","",AS199)</x:f>
      </x:c>
      <x:c r="BU199" s="10">
        <x:f>IF(AJ199&lt;&gt;"",(0.6*AJ199+0.4*AU199),IF((Weights!$C$11*IF(AU199="",0,1)+Weights!$C$12*IF(BM199="",0,1))=0,"",(Weights!$C$11*IF(AU199="",0,AU199)+Weights!$C$12*IF(BM199="",0,BM199))/(Weights!$C$11*IF(AU199="",0,1)+Weights!$C$12*IF(BM199="",0,1))))</x:f>
      </x:c>
      <x:c r="BV199" s="10">
        <x:f>IF(CG199="",0,CG199)</x:f>
      </x:c>
      <x:c r="BW199" s="10">
        <x:f>IF(AP199="","",AP199)</x:f>
      </x:c>
      <x:c r="BX199" s="10">
        <x:f>IF(AO199="","",AO199)</x:f>
      </x:c>
      <x:c r="BY199" s="10">
        <x:f>IF(AL199="","",AL199)</x:f>
      </x:c>
      <x:c r="BZ199" s="10">
        <x:f>IF(AM199="","",AM199)</x:f>
      </x:c>
      <x:c r="CA199" s="10">
        <x:f>IF(AK199&lt;&gt;"",AK199,AW199)</x:f>
      </x:c>
      <x:c r="CB199" s="10">
        <x:f>IF((Weights!$C$13*IF(BP199="",0,1)+Weights!$C$14*IF(BR199="",0,1)+Weights!$C$15*IF(BQ199="",0,1)+Weights!$C$16*IF(BS199="",0,1)+Weights!$C$17*IF(BU199="",0,1)+Weights!$C$18*IF(BT199="",0,1)+Weights!$C$19*IF(BW199="",0,1)+Weights!$C$20*IF(BZ199="",0,1)+Weights!$C$21*IF(BO199="",0,1)+Weights!$C$22)=0,"",(Weights!$C$13*IF(BP199="",0,BP199)+Weights!$C$14*IF(BR199="",0,BR199)+Weights!$C$15*IF(BQ199="",0,BQ199)+Weights!$C$16*IF(BS199="",0,BS199)+Weights!$C$17*IF(BU199="",0,BU199)+Weights!$C$18*IF(BT199="",0,BT199)+Weights!$C$19*IF(BW199="",0,BW199)+Weights!$C$20*IF(BZ199="",0,BZ199)+Weights!$C$21*IF(BO199="",0,BO199)+Weights!$C$22*BV199)/(Weights!$C$13*IF(BP199="",0,1)+Weights!$C$14*IF(BR199="",0,1)+Weights!$C$15*IF(BQ199="",0,1)+Weights!$C$16*IF(BS199="",0,1)+Weights!$C$17*IF(BU199="",0,1)+Weights!$C$18*IF(BT199="",0,1)+Weights!$C$19*IF(BW199="",0,1)+Weights!$C$20*IF(BZ199="",0,1)+Weights!$C$21*IF(BO199="",0,1)+Weights!$C$22))</x:f>
      </x:c>
      <x:c r="CC199" s="10">
        <x:f>IF((Weights!$C$23*IF(BQ199="",0,1)+Weights!$C$24*IF(BN199="",0,1)+Weights!$C$25*IF(BS199="",0,1)+Weights!$C$26*IF(BY199="",0,1)+Weights!$C$27*IF(BX199="",0,1)+Weights!$C$28*IF(BT199="",0,1)+Weights!$C$29*IF(CA199="",0,1)+Weights!$C$30+Weights!$C$31*IF(BU199="",0,1))=0,"",(Weights!$C$23*IF(BQ199="",0,BQ199)+Weights!$C$24*IF(BN199="",0,BN199)+Weights!$C$25*IF(BS199="",0,BS199)+Weights!$C$26*IF(BY199="",0,BY199)+Weights!$C$27*IF(BX199="",0,BX199)+Weights!$C$28*IF(BT199="",0,BT199)+Weights!$C$29*IF(CA199="",0,CA199)+Weights!$C$30*BV199+Weights!$C$31*IF(BU199="",0,BU199))/(Weights!$C$23*IF(BQ199="",0,1)+Weights!$C$24*IF(BN199="",0,1)+Weights!$C$25*IF(BS199="",0,1)+Weights!$C$26*IF(BY199="",0,1)+Weights!$C$27*IF(BX199="",0,1)+Weights!$C$28*IF(BT199="",0,1)+Weights!$C$29*IF(CA199="",0,1)+Weights!$C$30+Weights!$C$31*IF(BU199="",0,1)))</x:f>
      </x:c>
      <x:c r="CD199" s="10">
        <x:f>IF(AND(CB199="",CC199=""),"",IF(CB199="",CC199,IF(CC199="",CB199,AVERAGE(CB199,CC199))))</x:f>
      </x:c>
      <x:c r="CE199" s="7">
        <x:f>ROUND(100*((IF(BP199&lt;&gt;"",1,0)+IF(BQ199&lt;&gt;"",1,0)+IF(BR199&lt;&gt;"",1,0)+IF(BS199&lt;&gt;"",1,0)+IF(BU199&lt;&gt;"",1,0)+IF(BT199&lt;&gt;"",1,0)+IF(BN199&lt;&gt;"",1,0)+IF(AW199&lt;&gt;"",1,0))/8),0)</x:f>
      </x:c>
      <x:c r="CF199">
        <x:f>IF(V199="","",LOG10(V199+1))</x:f>
      </x:c>
      <x:c r="CG199">
        <x:f>IF(CF199="","",IF(MAX($CF$2:$CF$252)-MIN($CF$2:$CF$252)=0,"",(CF199-MIN($CF$2:$CF$252))/(MAX($CF$2:$CF$252)-MIN($CF$2:$CF$252))*100))</x:f>
      </x:c>
    </x:row>
    <x:row r="200">
      <x:c r="A200" t="inlineStr">
        <x:is>
          <x:t xml:space="preserve">ZWE</x:t>
        </x:is>
      </x:c>
      <x:c r="B200" t="inlineStr">
        <x:is>
          <x:t xml:space="preserve">Zimbabwe</x:t>
        </x:is>
      </x:c>
      <x:c r="C200" t="inlineStr">
        <x:is>
          <x:t xml:space="preserve">Sub-Saharan Africa</x:t>
        </x:is>
      </x:c>
      <x:c r="D200" t="inlineStr">
        <x:is>
          <x:t xml:space="preserve">Lower middle income</x:t>
        </x:is>
      </x:c>
      <x:c r="E200" t="inlineStr">
        <x:is>
          <x:t xml:space="preserve">Africa</x:t>
        </x:is>
      </x:c>
      <x:c r="F200" t="n">
        <x:v>2024</x:v>
      </x:c>
      <x:c r="G200" t="n">
        <x:v>16634373</x:v>
      </x:c>
      <x:c r="H200" t="n">
        <x:v>2020</x:v>
      </x:c>
      <x:c r="I200" t="n">
        <x:v>51000</x:v>
      </x:c>
      <x:c r="J200" t="n">
        <x:v>33150</x:v>
      </x:c>
      <x:c r="K200" t="n">
        <x:v>10200</x:v>
      </x:c>
      <x:c r="L200" t="n">
        <x:v>6120</x:v>
      </x:c>
      <x:c r="M200" t="n">
        <x:v>2024</x:v>
      </x:c>
      <x:c r="N200" s="8" t="n">
        <x:v>98394292.7162675</x:v>
      </x:c>
      <x:c r="O200" s="9" t="n">
        <x:v>0.351195023855751</x:v>
      </x:c>
      <x:c r="P200" s="8" t="n">
        <x:v>1929.299857181716</x:v>
      </x:c>
      <x:c r="Q200" t="n">
        <x:v>2024</x:v>
      </x:c>
      <x:c r="R200" s="8" t="n">
        <x:v>41539411516.4448</x:v>
      </x:c>
      <x:c r="S200" t="n">
        <x:v>0</x:v>
      </x:c>
      <x:c r="T200" t="n">
        <x:v>0</x:v>
      </x:c>
      <x:c r="U200" t="inlineStr">
        <x:is>
          <x:t xml:space="preserve">No</x:t>
        </x:is>
      </x:c>
      <x:c r="W200" t="inlineStr">
        <x:is>
          <x:t xml:space="preserve">No</x:t>
        </x:is>
      </x:c>
      <x:c r="X200" t="n">
        <x:v>5.127224204729329</x:v>
      </x:c>
      <x:c r="Y200" t="n">
        <x:v>27.05725809274982</x:v>
      </x:c>
      <x:c r="Z200" t="n">
        <x:v>376328.4887427113</x:v>
      </x:c>
      <x:c r="AA200" t="n">
        <x:v>36.68360066526421</x:v>
      </x:c>
      <x:c r="AB200" s="8" t="n">
        <x:v>2052.142529520284</x:v>
      </x:c>
      <x:c r="AR200">
        <x:f>IF(G200="","",LOG10(G200+1))</x:f>
      </x:c>
      <x:c r="AS200" s="10">
        <x:f>IF(AR200="","",IF(MAX($AR$2:$AR$252)-MIN($AR$2:$AR$252)=0,"",(AR200-MIN($AR$2:$AR$252))/(MAX($AR$2:$AR$252)-MIN($AR$2:$AR$252))*100))</x:f>
      </x:c>
      <x:c r="AT200">
        <x:f>IF(R200="","",LOG10(R200+1))</x:f>
      </x:c>
      <x:c r="AU200" s="10">
        <x:f>IF(AT200="","",IF(MAX($AT$2:$AT$252)-MIN($AT$2:$AT$252)=0,"",(AT200-MIN($AT$2:$AT$252))/(MAX($AT$2:$AT$252)-MIN($AT$2:$AT$252))*100))</x:f>
      </x:c>
      <x:c r="AV200">
        <x:f>IF(N200="","",LOG10(N200+1))</x:f>
      </x:c>
      <x:c r="AW200" s="10">
        <x:f>IF(AV200="","",IF(MAX($AV$2:$AV$252)-MIN($AV$2:$AV$252)=0,"",(AV200-MIN($AV$2:$AV$252))/(MAX($AV$2:$AV$252)-MIN($AV$2:$AV$252))*100))</x:f>
      </x:c>
      <x:c r="AX200">
        <x:f>IF(I200="","",LOG10(I200+1))</x:f>
      </x:c>
      <x:c r="AY200" s="10">
        <x:f>IF(AX200="","",IF(MAX($AX$2:$AX$252)-MIN($AX$2:$AX$252)=0,"",(AX200-MIN($AX$2:$AX$252))/(MAX($AX$2:$AX$252)-MIN($AX$2:$AX$252))*100))</x:f>
      </x:c>
      <x:c r="AZ200">
        <x:f>IF(J200="","",LOG10(J200+1))</x:f>
      </x:c>
      <x:c r="BA200" s="10">
        <x:f>IF(AZ200="","",IF(MAX($AZ$2:$AZ$252)-MIN($AZ$2:$AZ$252)=0,"",(AZ200-MIN($AZ$2:$AZ$252))/(MAX($AZ$2:$AZ$252)-MIN($AZ$2:$AZ$252))*100))</x:f>
      </x:c>
      <x:c r="BB200">
        <x:f>IF(K200="","",LOG10(K200+1))</x:f>
      </x:c>
      <x:c r="BC200" s="10">
        <x:f>IF(BB200="","",IF(MAX($BB$2:$BB$252)-MIN($BB$2:$BB$252)=0,"",(BB200-MIN($BB$2:$BB$252))/(MAX($BB$2:$BB$252)-MIN($BB$2:$BB$252))*100))</x:f>
      </x:c>
      <x:c r="BD200">
        <x:f>IF(L200="","",LOG10(L200+1))</x:f>
      </x:c>
      <x:c r="BE200" s="10">
        <x:f>IF(BD200="","",IF(MAX($BD$2:$BD$252)-MIN($BD$2:$BD$252)=0,"",(BD200-MIN($BD$2:$BD$252))/(MAX($BD$2:$BD$252)-MIN($BD$2:$BD$252))*100))</x:f>
      </x:c>
      <x:c r="BF200" s="10">
        <x:f>IF(P200="","",IF(MAX($P$2:$P$252)-MIN($P$2:$P$252)=0,"",(P200-MIN($P$2:$P$252))/(MAX($P$2:$P$252)-MIN($P$2:$P$252))*100))</x:f>
      </x:c>
      <x:c r="BG200">
        <x:f>IF(AF200="","",LOG10(AF200+1))</x:f>
      </x:c>
      <x:c r="BH200" s="10">
        <x:f>IF(BG200="","",IF(MAX($BG$2:$BG$252)-MIN($BG$2:$BG$252)=0,"",(BG200-MIN($BG$2:$BG$252))/(MAX($BG$2:$BG$252)-MIN($BG$2:$BG$252))*100))</x:f>
      </x:c>
      <x:c r="BI200">
        <x:f>IF(AC200="","",LOG10(AC200+1))</x:f>
      </x:c>
      <x:c r="BJ200" s="10">
        <x:f>IF(BI200="","",IF(MAX($BI$2:$BI$252)-MIN($BI$2:$BI$252)=0,"",(BI200-MIN($BI$2:$BI$252))/(MAX($BI$2:$BI$252)-MIN($BI$2:$BI$252))*100))</x:f>
      </x:c>
      <x:c r="BK200">
        <x:f>IF(AD200="","",(AD200*2)+(AE200*1))</x:f>
      </x:c>
      <x:c r="BL200" s="10">
        <x:f>IF(BK200="","",IF(MAX($BK$2:$BK$252)-MIN($BK$2:$BK$252)=0,"",(BK200-MIN($BK$2:$BK$252))/(MAX($BK$2:$BK$252)-MIN($BK$2:$BK$252))*100))</x:f>
      </x:c>
      <x:c r="BM200" s="10">
        <x:f>IF(AB200="","",IF(MAX($AB$2:$AB$252)-MIN($AB$2:$AB$252)=0,"",(AB200-MIN($AB$2:$AB$252))/(MAX($AB$2:$AB$252)-MIN($AB$2:$AB$252))*100))</x:f>
      </x:c>
      <x:c r="BN200" s="10">
        <x:f>IF(X200="","",X200)</x:f>
      </x:c>
      <x:c r="BO200" s="10">
        <x:f>IF(X200="","",100-X200)</x:f>
      </x:c>
      <x:c r="BP200" s="10">
        <x:f>IF((Weights!$C$2*IF(BH200="",0,1)+Weights!$C$3*IF(BJ200="",0,1)+Weights!$C$4*IF(BL200="",0,1))=0,"",(Weights!$C$2*IF(BH200="",0,BH200)+Weights!$C$3*IF(BJ200="",0,BJ200)+Weights!$C$4*IF(BL200="",0,BL200))/(Weights!$C$2*IF(BH200="",0,1)+Weights!$C$3*IF(BJ200="",0,1)+Weights!$C$4*IF(BL200="",0,1)))</x:f>
      </x:c>
      <x:c r="BQ200" s="10">
        <x:f>IF((Weights!$C$5*IF(BA200="",0,1)+Weights!$C$6*IF(AW200="",0,1)+Weights!$C$7*IF(AU200="",0,1))=0,"",(Weights!$C$5*IF(BA200="",0,BA200)+Weights!$C$6*IF(AW200="",0,AW200)+Weights!$C$7*IF(AU200="",0,AU200))/(Weights!$C$5*IF(BA200="",0,1)+Weights!$C$6*IF(AW200="",0,1)+Weights!$C$7*IF(AU200="",0,1)))</x:f>
      </x:c>
      <x:c r="BR200" s="10">
        <x:f>IF((Weights!$C$8*IF(AW200="",0,1)+Weights!$C$9*IF(BC200="",0,1)+Weights!$C$10*IF(BF200="",0,1))=0,"",(Weights!$C$8*IF(AW200="",0,AW200)+Weights!$C$9*IF(BC200="",0,BC200)+Weights!$C$10*IF(BF200="",0,BF200))/(Weights!$C$8*IF(AW200="",0,1)+Weights!$C$9*IF(BC200="",0,1)+Weights!$C$10*IF(BF200="",0,1)))</x:f>
      </x:c>
      <x:c r="BS200" s="10">
        <x:f>IF(Y200="","",Y200)</x:f>
      </x:c>
      <x:c r="BT200" s="10">
        <x:f>IF(AS200="","",AS200)</x:f>
      </x:c>
      <x:c r="BU200" s="10">
        <x:f>IF(AJ200&lt;&gt;"",(0.6*AJ200+0.4*AU200),IF((Weights!$C$11*IF(AU200="",0,1)+Weights!$C$12*IF(BM200="",0,1))=0,"",(Weights!$C$11*IF(AU200="",0,AU200)+Weights!$C$12*IF(BM200="",0,BM200))/(Weights!$C$11*IF(AU200="",0,1)+Weights!$C$12*IF(BM200="",0,1))))</x:f>
      </x:c>
      <x:c r="BV200" s="10">
        <x:f>IF(CG200="",0,CG200)</x:f>
      </x:c>
      <x:c r="BW200" s="10">
        <x:f>IF(AP200="","",AP200)</x:f>
      </x:c>
      <x:c r="BX200" s="10">
        <x:f>IF(AO200="","",AO200)</x:f>
      </x:c>
      <x:c r="BY200" s="10">
        <x:f>IF(AL200="","",AL200)</x:f>
      </x:c>
      <x:c r="BZ200" s="10">
        <x:f>IF(AM200="","",AM200)</x:f>
      </x:c>
      <x:c r="CA200" s="10">
        <x:f>IF(AK200&lt;&gt;"",AK200,AW200)</x:f>
      </x:c>
      <x:c r="CB200" s="10">
        <x:f>IF((Weights!$C$13*IF(BP200="",0,1)+Weights!$C$14*IF(BR200="",0,1)+Weights!$C$15*IF(BQ200="",0,1)+Weights!$C$16*IF(BS200="",0,1)+Weights!$C$17*IF(BU200="",0,1)+Weights!$C$18*IF(BT200="",0,1)+Weights!$C$19*IF(BW200="",0,1)+Weights!$C$20*IF(BZ200="",0,1)+Weights!$C$21*IF(BO200="",0,1)+Weights!$C$22)=0,"",(Weights!$C$13*IF(BP200="",0,BP200)+Weights!$C$14*IF(BR200="",0,BR200)+Weights!$C$15*IF(BQ200="",0,BQ200)+Weights!$C$16*IF(BS200="",0,BS200)+Weights!$C$17*IF(BU200="",0,BU200)+Weights!$C$18*IF(BT200="",0,BT200)+Weights!$C$19*IF(BW200="",0,BW200)+Weights!$C$20*IF(BZ200="",0,BZ200)+Weights!$C$21*IF(BO200="",0,BO200)+Weights!$C$22*BV200)/(Weights!$C$13*IF(BP200="",0,1)+Weights!$C$14*IF(BR200="",0,1)+Weights!$C$15*IF(BQ200="",0,1)+Weights!$C$16*IF(BS200="",0,1)+Weights!$C$17*IF(BU200="",0,1)+Weights!$C$18*IF(BT200="",0,1)+Weights!$C$19*IF(BW200="",0,1)+Weights!$C$20*IF(BZ200="",0,1)+Weights!$C$21*IF(BO200="",0,1)+Weights!$C$22))</x:f>
      </x:c>
      <x:c r="CC200" s="10">
        <x:f>IF((Weights!$C$23*IF(BQ200="",0,1)+Weights!$C$24*IF(BN200="",0,1)+Weights!$C$25*IF(BS200="",0,1)+Weights!$C$26*IF(BY200="",0,1)+Weights!$C$27*IF(BX200="",0,1)+Weights!$C$28*IF(BT200="",0,1)+Weights!$C$29*IF(CA200="",0,1)+Weights!$C$30+Weights!$C$31*IF(BU200="",0,1))=0,"",(Weights!$C$23*IF(BQ200="",0,BQ200)+Weights!$C$24*IF(BN200="",0,BN200)+Weights!$C$25*IF(BS200="",0,BS200)+Weights!$C$26*IF(BY200="",0,BY200)+Weights!$C$27*IF(BX200="",0,BX200)+Weights!$C$28*IF(BT200="",0,BT200)+Weights!$C$29*IF(CA200="",0,CA200)+Weights!$C$30*BV200+Weights!$C$31*IF(BU200="",0,BU200))/(Weights!$C$23*IF(BQ200="",0,1)+Weights!$C$24*IF(BN200="",0,1)+Weights!$C$25*IF(BS200="",0,1)+Weights!$C$26*IF(BY200="",0,1)+Weights!$C$27*IF(BX200="",0,1)+Weights!$C$28*IF(BT200="",0,1)+Weights!$C$29*IF(CA200="",0,1)+Weights!$C$30+Weights!$C$31*IF(BU200="",0,1)))</x:f>
      </x:c>
      <x:c r="CD200" s="10">
        <x:f>IF(AND(CB200="",CC200=""),"",IF(CB200="",CC200,IF(CC200="",CB200,AVERAGE(CB200,CC200))))</x:f>
      </x:c>
      <x:c r="CE200" s="7">
        <x:f>ROUND(100*((IF(BP200&lt;&gt;"",1,0)+IF(BQ200&lt;&gt;"",1,0)+IF(BR200&lt;&gt;"",1,0)+IF(BS200&lt;&gt;"",1,0)+IF(BU200&lt;&gt;"",1,0)+IF(BT200&lt;&gt;"",1,0)+IF(BN200&lt;&gt;"",1,0)+IF(AW200&lt;&gt;"",1,0))/8),0)</x:f>
      </x:c>
      <x:c r="CF200">
        <x:f>IF(V200="","",LOG10(V200+1))</x:f>
      </x:c>
      <x:c r="CG200">
        <x:f>IF(CF200="","",IF(MAX($CF$2:$CF$252)-MIN($CF$2:$CF$252)=0,"",(CF200-MIN($CF$2:$CF$252))/(MAX($CF$2:$CF$252)-MIN($CF$2:$CF$252))*100))</x:f>
      </x:c>
    </x:row>
    <x:row r="201">
      <x:c r="A201" t="inlineStr">
        <x:is>
          <x:t xml:space="preserve">COG</x:t>
        </x:is>
      </x:c>
      <x:c r="B201" t="inlineStr">
        <x:is>
          <x:t xml:space="preserve">Congo, Rep.</x:t>
        </x:is>
      </x:c>
      <x:c r="C201" t="inlineStr">
        <x:is>
          <x:t xml:space="preserve">Sub-Saharan Africa</x:t>
        </x:is>
      </x:c>
      <x:c r="D201" t="inlineStr">
        <x:is>
          <x:t xml:space="preserve">Lower middle income</x:t>
        </x:is>
      </x:c>
      <x:c r="E201" t="inlineStr">
        <x:is>
          <x:t xml:space="preserve">Africa</x:t>
        </x:is>
      </x:c>
      <x:c r="F201" t="n">
        <x:v>2024</x:v>
      </x:c>
      <x:c r="G201" t="n">
        <x:v>6332961</x:v>
      </x:c>
      <x:c r="H201" t="n">
        <x:v>2020</x:v>
      </x:c>
      <x:c r="I201" t="n">
        <x:v>12000</x:v>
      </x:c>
      <x:c r="J201" t="n">
        <x:v>7800</x:v>
      </x:c>
      <x:c r="K201" t="n">
        <x:v>2400</x:v>
      </x:c>
      <x:c r="L201" t="n">
        <x:v>1440</x:v>
      </x:c>
      <x:c r="M201" t="n">
        <x:v>2024</x:v>
      </x:c>
      <x:c r="N201" s="8" t="n">
        <x:v>182044402.521739</x:v>
      </x:c>
      <x:c r="O201" s="9" t="n">
        <x:v>1.18596121569308</x:v>
      </x:c>
      <x:c r="P201" s="8" t="n">
        <x:v>15170.36687681158</x:v>
      </x:c>
      <x:c r="Q201" t="n">
        <x:v>2024</x:v>
      </x:c>
      <x:c r="R201" s="8" t="n">
        <x:v>15719986076.6464</x:v>
      </x:c>
      <x:c r="S201" t="n">
        <x:v>0</x:v>
      </x:c>
      <x:c r="T201" t="n">
        <x:v>0</x:v>
      </x:c>
      <x:c r="U201" t="inlineStr">
        <x:is>
          <x:t xml:space="preserve">No</x:t>
        </x:is>
      </x:c>
      <x:c r="W201" t="inlineStr">
        <x:is>
          <x:t xml:space="preserve">No</x:t>
        </x:is>
      </x:c>
      <x:c r="X201" t="n">
        <x:v>24.6616819089093</x:v>
      </x:c>
      <x:c r="Y201" t="n">
        <x:v>37.49207243890332</x:v>
      </x:c>
      <x:c r="Z201" t="n">
        <x:v>339681.8554528151</x:v>
      </x:c>
      <x:c r="AA201" t="n">
        <x:v>14.58621919441396</x:v>
      </x:c>
      <x:c r="AB201" s="8" t="n">
        <x:v>6109.382776747774</x:v>
      </x:c>
      <x:c r="AC201" t="n">
        <x:v>6</x:v>
      </x:c>
      <x:c r="AD201" t="n">
        <x:v>0</x:v>
      </x:c>
      <x:c r="AE201" t="n">
        <x:v>0</x:v>
      </x:c>
      <x:c r="AR201">
        <x:f>IF(G201="","",LOG10(G201+1))</x:f>
      </x:c>
      <x:c r="AS201" s="10">
        <x:f>IF(AR201="","",IF(MAX($AR$2:$AR$252)-MIN($AR$2:$AR$252)=0,"",(AR201-MIN($AR$2:$AR$252))/(MAX($AR$2:$AR$252)-MIN($AR$2:$AR$252))*100))</x:f>
      </x:c>
      <x:c r="AT201">
        <x:f>IF(R201="","",LOG10(R201+1))</x:f>
      </x:c>
      <x:c r="AU201" s="10">
        <x:f>IF(AT201="","",IF(MAX($AT$2:$AT$252)-MIN($AT$2:$AT$252)=0,"",(AT201-MIN($AT$2:$AT$252))/(MAX($AT$2:$AT$252)-MIN($AT$2:$AT$252))*100))</x:f>
      </x:c>
      <x:c r="AV201">
        <x:f>IF(N201="","",LOG10(N201+1))</x:f>
      </x:c>
      <x:c r="AW201" s="10">
        <x:f>IF(AV201="","",IF(MAX($AV$2:$AV$252)-MIN($AV$2:$AV$252)=0,"",(AV201-MIN($AV$2:$AV$252))/(MAX($AV$2:$AV$252)-MIN($AV$2:$AV$252))*100))</x:f>
      </x:c>
      <x:c r="AX201">
        <x:f>IF(I201="","",LOG10(I201+1))</x:f>
      </x:c>
      <x:c r="AY201" s="10">
        <x:f>IF(AX201="","",IF(MAX($AX$2:$AX$252)-MIN($AX$2:$AX$252)=0,"",(AX201-MIN($AX$2:$AX$252))/(MAX($AX$2:$AX$252)-MIN($AX$2:$AX$252))*100))</x:f>
      </x:c>
      <x:c r="AZ201">
        <x:f>IF(J201="","",LOG10(J201+1))</x:f>
      </x:c>
      <x:c r="BA201" s="10">
        <x:f>IF(AZ201="","",IF(MAX($AZ$2:$AZ$252)-MIN($AZ$2:$AZ$252)=0,"",(AZ201-MIN($AZ$2:$AZ$252))/(MAX($AZ$2:$AZ$252)-MIN($AZ$2:$AZ$252))*100))</x:f>
      </x:c>
      <x:c r="BB201">
        <x:f>IF(K201="","",LOG10(K201+1))</x:f>
      </x:c>
      <x:c r="BC201" s="10">
        <x:f>IF(BB201="","",IF(MAX($BB$2:$BB$252)-MIN($BB$2:$BB$252)=0,"",(BB201-MIN($BB$2:$BB$252))/(MAX($BB$2:$BB$252)-MIN($BB$2:$BB$252))*100))</x:f>
      </x:c>
      <x:c r="BD201">
        <x:f>IF(L201="","",LOG10(L201+1))</x:f>
      </x:c>
      <x:c r="BE201" s="10">
        <x:f>IF(BD201="","",IF(MAX($BD$2:$BD$252)-MIN($BD$2:$BD$252)=0,"",(BD201-MIN($BD$2:$BD$252))/(MAX($BD$2:$BD$252)-MIN($BD$2:$BD$252))*100))</x:f>
      </x:c>
      <x:c r="BF201" s="10">
        <x:f>IF(P201="","",IF(MAX($P$2:$P$252)-MIN($P$2:$P$252)=0,"",(P201-MIN($P$2:$P$252))/(MAX($P$2:$P$252)-MIN($P$2:$P$252))*100))</x:f>
      </x:c>
      <x:c r="BG201">
        <x:f>IF(AF201="","",LOG10(AF201+1))</x:f>
      </x:c>
      <x:c r="BH201" s="10">
        <x:f>IF(BG201="","",IF(MAX($BG$2:$BG$252)-MIN($BG$2:$BG$252)=0,"",(BG201-MIN($BG$2:$BG$252))/(MAX($BG$2:$BG$252)-MIN($BG$2:$BG$252))*100))</x:f>
      </x:c>
      <x:c r="BI201">
        <x:f>IF(AC201="","",LOG10(AC201+1))</x:f>
      </x:c>
      <x:c r="BJ201" s="10">
        <x:f>IF(BI201="","",IF(MAX($BI$2:$BI$252)-MIN($BI$2:$BI$252)=0,"",(BI201-MIN($BI$2:$BI$252))/(MAX($BI$2:$BI$252)-MIN($BI$2:$BI$252))*100))</x:f>
      </x:c>
      <x:c r="BK201">
        <x:f>IF(AD201="","",(AD201*2)+(AE201*1))</x:f>
      </x:c>
      <x:c r="BL201" s="10">
        <x:f>IF(BK201="","",IF(MAX($BK$2:$BK$252)-MIN($BK$2:$BK$252)=0,"",(BK201-MIN($BK$2:$BK$252))/(MAX($BK$2:$BK$252)-MIN($BK$2:$BK$252))*100))</x:f>
      </x:c>
      <x:c r="BM201" s="10">
        <x:f>IF(AB201="","",IF(MAX($AB$2:$AB$252)-MIN($AB$2:$AB$252)=0,"",(AB201-MIN($AB$2:$AB$252))/(MAX($AB$2:$AB$252)-MIN($AB$2:$AB$252))*100))</x:f>
      </x:c>
      <x:c r="BN201" s="10">
        <x:f>IF(X201="","",X201)</x:f>
      </x:c>
      <x:c r="BO201" s="10">
        <x:f>IF(X201="","",100-X201)</x:f>
      </x:c>
      <x:c r="BP201" s="10">
        <x:f>IF((Weights!$C$2*IF(BH201="",0,1)+Weights!$C$3*IF(BJ201="",0,1)+Weights!$C$4*IF(BL201="",0,1))=0,"",(Weights!$C$2*IF(BH201="",0,BH201)+Weights!$C$3*IF(BJ201="",0,BJ201)+Weights!$C$4*IF(BL201="",0,BL201))/(Weights!$C$2*IF(BH201="",0,1)+Weights!$C$3*IF(BJ201="",0,1)+Weights!$C$4*IF(BL201="",0,1)))</x:f>
      </x:c>
      <x:c r="BQ201" s="10">
        <x:f>IF((Weights!$C$5*IF(BA201="",0,1)+Weights!$C$6*IF(AW201="",0,1)+Weights!$C$7*IF(AU201="",0,1))=0,"",(Weights!$C$5*IF(BA201="",0,BA201)+Weights!$C$6*IF(AW201="",0,AW201)+Weights!$C$7*IF(AU201="",0,AU201))/(Weights!$C$5*IF(BA201="",0,1)+Weights!$C$6*IF(AW201="",0,1)+Weights!$C$7*IF(AU201="",0,1)))</x:f>
      </x:c>
      <x:c r="BR201" s="10">
        <x:f>IF((Weights!$C$8*IF(AW201="",0,1)+Weights!$C$9*IF(BC201="",0,1)+Weights!$C$10*IF(BF201="",0,1))=0,"",(Weights!$C$8*IF(AW201="",0,AW201)+Weights!$C$9*IF(BC201="",0,BC201)+Weights!$C$10*IF(BF201="",0,BF201))/(Weights!$C$8*IF(AW201="",0,1)+Weights!$C$9*IF(BC201="",0,1)+Weights!$C$10*IF(BF201="",0,1)))</x:f>
      </x:c>
      <x:c r="BS201" s="10">
        <x:f>IF(Y201="","",Y201)</x:f>
      </x:c>
      <x:c r="BT201" s="10">
        <x:f>IF(AS201="","",AS201)</x:f>
      </x:c>
      <x:c r="BU201" s="10">
        <x:f>IF(AJ201&lt;&gt;"",(0.6*AJ201+0.4*AU201),IF((Weights!$C$11*IF(AU201="",0,1)+Weights!$C$12*IF(BM201="",0,1))=0,"",(Weights!$C$11*IF(AU201="",0,AU201)+Weights!$C$12*IF(BM201="",0,BM201))/(Weights!$C$11*IF(AU201="",0,1)+Weights!$C$12*IF(BM201="",0,1))))</x:f>
      </x:c>
      <x:c r="BV201" s="10">
        <x:f>IF(CG201="",0,CG201)</x:f>
      </x:c>
      <x:c r="BW201" s="10">
        <x:f>IF(AP201="","",AP201)</x:f>
      </x:c>
      <x:c r="BX201" s="10">
        <x:f>IF(AO201="","",AO201)</x:f>
      </x:c>
      <x:c r="BY201" s="10">
        <x:f>IF(AL201="","",AL201)</x:f>
      </x:c>
      <x:c r="BZ201" s="10">
        <x:f>IF(AM201="","",AM201)</x:f>
      </x:c>
      <x:c r="CA201" s="10">
        <x:f>IF(AK201&lt;&gt;"",AK201,AW201)</x:f>
      </x:c>
      <x:c r="CB201" s="10">
        <x:f>IF((Weights!$C$13*IF(BP201="",0,1)+Weights!$C$14*IF(BR201="",0,1)+Weights!$C$15*IF(BQ201="",0,1)+Weights!$C$16*IF(BS201="",0,1)+Weights!$C$17*IF(BU201="",0,1)+Weights!$C$18*IF(BT201="",0,1)+Weights!$C$19*IF(BW201="",0,1)+Weights!$C$20*IF(BZ201="",0,1)+Weights!$C$21*IF(BO201="",0,1)+Weights!$C$22)=0,"",(Weights!$C$13*IF(BP201="",0,BP201)+Weights!$C$14*IF(BR201="",0,BR201)+Weights!$C$15*IF(BQ201="",0,BQ201)+Weights!$C$16*IF(BS201="",0,BS201)+Weights!$C$17*IF(BU201="",0,BU201)+Weights!$C$18*IF(BT201="",0,BT201)+Weights!$C$19*IF(BW201="",0,BW201)+Weights!$C$20*IF(BZ201="",0,BZ201)+Weights!$C$21*IF(BO201="",0,BO201)+Weights!$C$22*BV201)/(Weights!$C$13*IF(BP201="",0,1)+Weights!$C$14*IF(BR201="",0,1)+Weights!$C$15*IF(BQ201="",0,1)+Weights!$C$16*IF(BS201="",0,1)+Weights!$C$17*IF(BU201="",0,1)+Weights!$C$18*IF(BT201="",0,1)+Weights!$C$19*IF(BW201="",0,1)+Weights!$C$20*IF(BZ201="",0,1)+Weights!$C$21*IF(BO201="",0,1)+Weights!$C$22))</x:f>
      </x:c>
      <x:c r="CC201" s="10">
        <x:f>IF((Weights!$C$23*IF(BQ201="",0,1)+Weights!$C$24*IF(BN201="",0,1)+Weights!$C$25*IF(BS201="",0,1)+Weights!$C$26*IF(BY201="",0,1)+Weights!$C$27*IF(BX201="",0,1)+Weights!$C$28*IF(BT201="",0,1)+Weights!$C$29*IF(CA201="",0,1)+Weights!$C$30+Weights!$C$31*IF(BU201="",0,1))=0,"",(Weights!$C$23*IF(BQ201="",0,BQ201)+Weights!$C$24*IF(BN201="",0,BN201)+Weights!$C$25*IF(BS201="",0,BS201)+Weights!$C$26*IF(BY201="",0,BY201)+Weights!$C$27*IF(BX201="",0,BX201)+Weights!$C$28*IF(BT201="",0,BT201)+Weights!$C$29*IF(CA201="",0,CA201)+Weights!$C$30*BV201+Weights!$C$31*IF(BU201="",0,BU201))/(Weights!$C$23*IF(BQ201="",0,1)+Weights!$C$24*IF(BN201="",0,1)+Weights!$C$25*IF(BS201="",0,1)+Weights!$C$26*IF(BY201="",0,1)+Weights!$C$27*IF(BX201="",0,1)+Weights!$C$28*IF(BT201="",0,1)+Weights!$C$29*IF(CA201="",0,1)+Weights!$C$30+Weights!$C$31*IF(BU201="",0,1)))</x:f>
      </x:c>
      <x:c r="CD201" s="10">
        <x:f>IF(AND(CB201="",CC201=""),"",IF(CB201="",CC201,IF(CC201="",CB201,AVERAGE(CB201,CC201))))</x:f>
      </x:c>
      <x:c r="CE201" s="7">
        <x:f>ROUND(100*((IF(BP201&lt;&gt;"",1,0)+IF(BQ201&lt;&gt;"",1,0)+IF(BR201&lt;&gt;"",1,0)+IF(BS201&lt;&gt;"",1,0)+IF(BU201&lt;&gt;"",1,0)+IF(BT201&lt;&gt;"",1,0)+IF(BN201&lt;&gt;"",1,0)+IF(AW201&lt;&gt;"",1,0))/8),0)</x:f>
      </x:c>
      <x:c r="CF201">
        <x:f>IF(V201="","",LOG10(V201+1))</x:f>
      </x:c>
      <x:c r="CG201">
        <x:f>IF(CF201="","",IF(MAX($CF$2:$CF$252)-MIN($CF$2:$CF$252)=0,"",(CF201-MIN($CF$2:$CF$252))/(MAX($CF$2:$CF$252)-MIN($CF$2:$CF$252))*100))</x:f>
      </x:c>
    </x:row>
    <x:row r="202">
      <x:c r="A202" t="inlineStr">
        <x:is>
          <x:t xml:space="preserve">GMB</x:t>
        </x:is>
      </x:c>
      <x:c r="B202" t="inlineStr">
        <x:is>
          <x:t xml:space="preserve">Gambia, The</x:t>
        </x:is>
      </x:c>
      <x:c r="C202" t="inlineStr">
        <x:is>
          <x:t xml:space="preserve">Sub-Saharan Africa</x:t>
        </x:is>
      </x:c>
      <x:c r="D202" t="inlineStr">
        <x:is>
          <x:t xml:space="preserve">Low income</x:t>
        </x:is>
      </x:c>
      <x:c r="E202" t="inlineStr">
        <x:is>
          <x:t xml:space="preserve">Africa</x:t>
        </x:is>
      </x:c>
      <x:c r="F202" t="n">
        <x:v>2024</x:v>
      </x:c>
      <x:c r="G202" t="n">
        <x:v>2759988</x:v>
      </x:c>
      <x:c r="H202" t="n">
        <x:v>2020</x:v>
      </x:c>
      <x:c r="I202" t="n">
        <x:v>4000</x:v>
      </x:c>
      <x:c r="J202" t="n">
        <x:v>2600</x:v>
      </x:c>
      <x:c r="K202" t="n">
        <x:v>800</x:v>
      </x:c>
      <x:c r="L202" t="n">
        <x:v>480</x:v>
      </x:c>
      <x:c r="M202" t="n">
        <x:v>2024</x:v>
      </x:c>
      <x:c r="N202" s="8" t="n">
        <x:v>14433677.7042713</x:v>
      </x:c>
      <x:c r="O202" s="9" t="n">
        <x:v>0.574440350261863</x:v>
      </x:c>
      <x:c r="P202" s="8" t="n">
        <x:v>3608.419426067825</x:v>
      </x:c>
      <x:c r="Q202" t="n">
        <x:v>2024</x:v>
      </x:c>
      <x:c r="R202" s="8" t="n">
        <x:v>2404888749.21907</x:v>
      </x:c>
      <x:c r="S202" t="n">
        <x:v>0</x:v>
      </x:c>
      <x:c r="T202" t="n">
        <x:v>0</x:v>
      </x:c>
      <x:c r="U202" t="inlineStr">
        <x:is>
          <x:t xml:space="preserve">No</x:t>
        </x:is>
      </x:c>
      <x:c r="W202" t="inlineStr">
        <x:is>
          <x:t xml:space="preserve">No</x:t>
        </x:is>
      </x:c>
      <x:c r="X202" t="n">
        <x:v>26.11037161044455</x:v>
      </x:c>
      <x:c r="Y202" t="n">
        <x:v>32.42431959390481</x:v>
      </x:c>
      <x:c r="Z202" t="n">
        <x:v>14031.28445145877</x:v>
      </x:c>
      <x:c r="AA202" t="n">
        <x:v>146.1992312319439</x:v>
      </x:c>
      <x:c r="AB202" s="8" t="n">
        <x:v>1651.097343571079</x:v>
      </x:c>
      <x:c r="AR202">
        <x:f>IF(G202="","",LOG10(G202+1))</x:f>
      </x:c>
      <x:c r="AS202" s="10">
        <x:f>IF(AR202="","",IF(MAX($AR$2:$AR$252)-MIN($AR$2:$AR$252)=0,"",(AR202-MIN($AR$2:$AR$252))/(MAX($AR$2:$AR$252)-MIN($AR$2:$AR$252))*100))</x:f>
      </x:c>
      <x:c r="AT202">
        <x:f>IF(R202="","",LOG10(R202+1))</x:f>
      </x:c>
      <x:c r="AU202" s="10">
        <x:f>IF(AT202="","",IF(MAX($AT$2:$AT$252)-MIN($AT$2:$AT$252)=0,"",(AT202-MIN($AT$2:$AT$252))/(MAX($AT$2:$AT$252)-MIN($AT$2:$AT$252))*100))</x:f>
      </x:c>
      <x:c r="AV202">
        <x:f>IF(N202="","",LOG10(N202+1))</x:f>
      </x:c>
      <x:c r="AW202" s="10">
        <x:f>IF(AV202="","",IF(MAX($AV$2:$AV$252)-MIN($AV$2:$AV$252)=0,"",(AV202-MIN($AV$2:$AV$252))/(MAX($AV$2:$AV$252)-MIN($AV$2:$AV$252))*100))</x:f>
      </x:c>
      <x:c r="AX202">
        <x:f>IF(I202="","",LOG10(I202+1))</x:f>
      </x:c>
      <x:c r="AY202" s="10">
        <x:f>IF(AX202="","",IF(MAX($AX$2:$AX$252)-MIN($AX$2:$AX$252)=0,"",(AX202-MIN($AX$2:$AX$252))/(MAX($AX$2:$AX$252)-MIN($AX$2:$AX$252))*100))</x:f>
      </x:c>
      <x:c r="AZ202">
        <x:f>IF(J202="","",LOG10(J202+1))</x:f>
      </x:c>
      <x:c r="BA202" s="10">
        <x:f>IF(AZ202="","",IF(MAX($AZ$2:$AZ$252)-MIN($AZ$2:$AZ$252)=0,"",(AZ202-MIN($AZ$2:$AZ$252))/(MAX($AZ$2:$AZ$252)-MIN($AZ$2:$AZ$252))*100))</x:f>
      </x:c>
      <x:c r="BB202">
        <x:f>IF(K202="","",LOG10(K202+1))</x:f>
      </x:c>
      <x:c r="BC202" s="10">
        <x:f>IF(BB202="","",IF(MAX($BB$2:$BB$252)-MIN($BB$2:$BB$252)=0,"",(BB202-MIN($BB$2:$BB$252))/(MAX($BB$2:$BB$252)-MIN($BB$2:$BB$252))*100))</x:f>
      </x:c>
      <x:c r="BD202">
        <x:f>IF(L202="","",LOG10(L202+1))</x:f>
      </x:c>
      <x:c r="BE202" s="10">
        <x:f>IF(BD202="","",IF(MAX($BD$2:$BD$252)-MIN($BD$2:$BD$252)=0,"",(BD202-MIN($BD$2:$BD$252))/(MAX($BD$2:$BD$252)-MIN($BD$2:$BD$252))*100))</x:f>
      </x:c>
      <x:c r="BF202" s="10">
        <x:f>IF(P202="","",IF(MAX($P$2:$P$252)-MIN($P$2:$P$252)=0,"",(P202-MIN($P$2:$P$252))/(MAX($P$2:$P$252)-MIN($P$2:$P$252))*100))</x:f>
      </x:c>
      <x:c r="BG202">
        <x:f>IF(AF202="","",LOG10(AF202+1))</x:f>
      </x:c>
      <x:c r="BH202" s="10">
        <x:f>IF(BG202="","",IF(MAX($BG$2:$BG$252)-MIN($BG$2:$BG$252)=0,"",(BG202-MIN($BG$2:$BG$252))/(MAX($BG$2:$BG$252)-MIN($BG$2:$BG$252))*100))</x:f>
      </x:c>
      <x:c r="BI202">
        <x:f>IF(AC202="","",LOG10(AC202+1))</x:f>
      </x:c>
      <x:c r="BJ202" s="10">
        <x:f>IF(BI202="","",IF(MAX($BI$2:$BI$252)-MIN($BI$2:$BI$252)=0,"",(BI202-MIN($BI$2:$BI$252))/(MAX($BI$2:$BI$252)-MIN($BI$2:$BI$252))*100))</x:f>
      </x:c>
      <x:c r="BK202">
        <x:f>IF(AD202="","",(AD202*2)+(AE202*1))</x:f>
      </x:c>
      <x:c r="BL202" s="10">
        <x:f>IF(BK202="","",IF(MAX($BK$2:$BK$252)-MIN($BK$2:$BK$252)=0,"",(BK202-MIN($BK$2:$BK$252))/(MAX($BK$2:$BK$252)-MIN($BK$2:$BK$252))*100))</x:f>
      </x:c>
      <x:c r="BM202" s="10">
        <x:f>IF(AB202="","",IF(MAX($AB$2:$AB$252)-MIN($AB$2:$AB$252)=0,"",(AB202-MIN($AB$2:$AB$252))/(MAX($AB$2:$AB$252)-MIN($AB$2:$AB$252))*100))</x:f>
      </x:c>
      <x:c r="BN202" s="10">
        <x:f>IF(X202="","",X202)</x:f>
      </x:c>
      <x:c r="BO202" s="10">
        <x:f>IF(X202="","",100-X202)</x:f>
      </x:c>
      <x:c r="BP202" s="10">
        <x:f>IF((Weights!$C$2*IF(BH202="",0,1)+Weights!$C$3*IF(BJ202="",0,1)+Weights!$C$4*IF(BL202="",0,1))=0,"",(Weights!$C$2*IF(BH202="",0,BH202)+Weights!$C$3*IF(BJ202="",0,BJ202)+Weights!$C$4*IF(BL202="",0,BL202))/(Weights!$C$2*IF(BH202="",0,1)+Weights!$C$3*IF(BJ202="",0,1)+Weights!$C$4*IF(BL202="",0,1)))</x:f>
      </x:c>
      <x:c r="BQ202" s="10">
        <x:f>IF((Weights!$C$5*IF(BA202="",0,1)+Weights!$C$6*IF(AW202="",0,1)+Weights!$C$7*IF(AU202="",0,1))=0,"",(Weights!$C$5*IF(BA202="",0,BA202)+Weights!$C$6*IF(AW202="",0,AW202)+Weights!$C$7*IF(AU202="",0,AU202))/(Weights!$C$5*IF(BA202="",0,1)+Weights!$C$6*IF(AW202="",0,1)+Weights!$C$7*IF(AU202="",0,1)))</x:f>
      </x:c>
      <x:c r="BR202" s="10">
        <x:f>IF((Weights!$C$8*IF(AW202="",0,1)+Weights!$C$9*IF(BC202="",0,1)+Weights!$C$10*IF(BF202="",0,1))=0,"",(Weights!$C$8*IF(AW202="",0,AW202)+Weights!$C$9*IF(BC202="",0,BC202)+Weights!$C$10*IF(BF202="",0,BF202))/(Weights!$C$8*IF(AW202="",0,1)+Weights!$C$9*IF(BC202="",0,1)+Weights!$C$10*IF(BF202="",0,1)))</x:f>
      </x:c>
      <x:c r="BS202" s="10">
        <x:f>IF(Y202="","",Y202)</x:f>
      </x:c>
      <x:c r="BT202" s="10">
        <x:f>IF(AS202="","",AS202)</x:f>
      </x:c>
      <x:c r="BU202" s="10">
        <x:f>IF(AJ202&lt;&gt;"",(0.6*AJ202+0.4*AU202),IF((Weights!$C$11*IF(AU202="",0,1)+Weights!$C$12*IF(BM202="",0,1))=0,"",(Weights!$C$11*IF(AU202="",0,AU202)+Weights!$C$12*IF(BM202="",0,BM202))/(Weights!$C$11*IF(AU202="",0,1)+Weights!$C$12*IF(BM202="",0,1))))</x:f>
      </x:c>
      <x:c r="BV202" s="10">
        <x:f>IF(CG202="",0,CG202)</x:f>
      </x:c>
      <x:c r="BW202" s="10">
        <x:f>IF(AP202="","",AP202)</x:f>
      </x:c>
      <x:c r="BX202" s="10">
        <x:f>IF(AO202="","",AO202)</x:f>
      </x:c>
      <x:c r="BY202" s="10">
        <x:f>IF(AL202="","",AL202)</x:f>
      </x:c>
      <x:c r="BZ202" s="10">
        <x:f>IF(AM202="","",AM202)</x:f>
      </x:c>
      <x:c r="CA202" s="10">
        <x:f>IF(AK202&lt;&gt;"",AK202,AW202)</x:f>
      </x:c>
      <x:c r="CB202" s="10">
        <x:f>IF((Weights!$C$13*IF(BP202="",0,1)+Weights!$C$14*IF(BR202="",0,1)+Weights!$C$15*IF(BQ202="",0,1)+Weights!$C$16*IF(BS202="",0,1)+Weights!$C$17*IF(BU202="",0,1)+Weights!$C$18*IF(BT202="",0,1)+Weights!$C$19*IF(BW202="",0,1)+Weights!$C$20*IF(BZ202="",0,1)+Weights!$C$21*IF(BO202="",0,1)+Weights!$C$22)=0,"",(Weights!$C$13*IF(BP202="",0,BP202)+Weights!$C$14*IF(BR202="",0,BR202)+Weights!$C$15*IF(BQ202="",0,BQ202)+Weights!$C$16*IF(BS202="",0,BS202)+Weights!$C$17*IF(BU202="",0,BU202)+Weights!$C$18*IF(BT202="",0,BT202)+Weights!$C$19*IF(BW202="",0,BW202)+Weights!$C$20*IF(BZ202="",0,BZ202)+Weights!$C$21*IF(BO202="",0,BO202)+Weights!$C$22*BV202)/(Weights!$C$13*IF(BP202="",0,1)+Weights!$C$14*IF(BR202="",0,1)+Weights!$C$15*IF(BQ202="",0,1)+Weights!$C$16*IF(BS202="",0,1)+Weights!$C$17*IF(BU202="",0,1)+Weights!$C$18*IF(BT202="",0,1)+Weights!$C$19*IF(BW202="",0,1)+Weights!$C$20*IF(BZ202="",0,1)+Weights!$C$21*IF(BO202="",0,1)+Weights!$C$22))</x:f>
      </x:c>
      <x:c r="CC202" s="10">
        <x:f>IF((Weights!$C$23*IF(BQ202="",0,1)+Weights!$C$24*IF(BN202="",0,1)+Weights!$C$25*IF(BS202="",0,1)+Weights!$C$26*IF(BY202="",0,1)+Weights!$C$27*IF(BX202="",0,1)+Weights!$C$28*IF(BT202="",0,1)+Weights!$C$29*IF(CA202="",0,1)+Weights!$C$30+Weights!$C$31*IF(BU202="",0,1))=0,"",(Weights!$C$23*IF(BQ202="",0,BQ202)+Weights!$C$24*IF(BN202="",0,BN202)+Weights!$C$25*IF(BS202="",0,BS202)+Weights!$C$26*IF(BY202="",0,BY202)+Weights!$C$27*IF(BX202="",0,BX202)+Weights!$C$28*IF(BT202="",0,BT202)+Weights!$C$29*IF(CA202="",0,CA202)+Weights!$C$30*BV202+Weights!$C$31*IF(BU202="",0,BU202))/(Weights!$C$23*IF(BQ202="",0,1)+Weights!$C$24*IF(BN202="",0,1)+Weights!$C$25*IF(BS202="",0,1)+Weights!$C$26*IF(BY202="",0,1)+Weights!$C$27*IF(BX202="",0,1)+Weights!$C$28*IF(BT202="",0,1)+Weights!$C$29*IF(CA202="",0,1)+Weights!$C$30+Weights!$C$31*IF(BU202="",0,1)))</x:f>
      </x:c>
      <x:c r="CD202" s="10">
        <x:f>IF(AND(CB202="",CC202=""),"",IF(CB202="",CC202,IF(CC202="",CB202,AVERAGE(CB202,CC202))))</x:f>
      </x:c>
      <x:c r="CE202" s="7">
        <x:f>ROUND(100*((IF(BP202&lt;&gt;"",1,0)+IF(BQ202&lt;&gt;"",1,0)+IF(BR202&lt;&gt;"",1,0)+IF(BS202&lt;&gt;"",1,0)+IF(BU202&lt;&gt;"",1,0)+IF(BT202&lt;&gt;"",1,0)+IF(BN202&lt;&gt;"",1,0)+IF(AW202&lt;&gt;"",1,0))/8),0)</x:f>
      </x:c>
      <x:c r="CF202">
        <x:f>IF(V202="","",LOG10(V202+1))</x:f>
      </x:c>
      <x:c r="CG202">
        <x:f>IF(CF202="","",IF(MAX($CF$2:$CF$252)-MIN($CF$2:$CF$252)=0,"",(CF202-MIN($CF$2:$CF$252))/(MAX($CF$2:$CF$252)-MIN($CF$2:$CF$252))*100))</x:f>
      </x:c>
    </x:row>
    <x:row r="203">
      <x:c r="A203" t="inlineStr">
        <x:is>
          <x:t xml:space="preserve">MHL</x:t>
        </x:is>
      </x:c>
      <x:c r="B203" t="inlineStr">
        <x:is>
          <x:t xml:space="preserve">Marshall Islands</x:t>
        </x:is>
      </x:c>
      <x:c r="C203" t="inlineStr">
        <x:is>
          <x:t xml:space="preserve">East Asia &amp; Pacific</x:t>
        </x:is>
      </x:c>
      <x:c r="D203" t="inlineStr">
        <x:is>
          <x:t xml:space="preserve">Upper middle income</x:t>
        </x:is>
      </x:c>
      <x:c r="F203" t="n">
        <x:v>2024</x:v>
      </x:c>
      <x:c r="G203" t="n">
        <x:v>37548</x:v>
      </x:c>
      <x:c r="N203" s="8" t="n"/>
      <x:c r="O203" s="9" t="n"/>
      <x:c r="P203" s="8" t="n"/>
      <x:c r="Q203" t="n">
        <x:v>2024</x:v>
      </x:c>
      <x:c r="R203" s="8" t="n">
        <x:v>290108489.990234</x:v>
      </x:c>
      <x:c r="S203" t="n">
        <x:v>0</x:v>
      </x:c>
      <x:c r="T203" t="n">
        <x:v>0</x:v>
      </x:c>
      <x:c r="U203" t="inlineStr">
        <x:is>
          <x:t xml:space="preserve">No</x:t>
        </x:is>
      </x:c>
      <x:c r="W203" t="inlineStr">
        <x:is>
          <x:t xml:space="preserve">No</x:t>
        </x:is>
      </x:c>
      <x:c r="AB203" s="8" t="n"/>
      <x:c r="AR203">
        <x:f>IF(G203="","",LOG10(G203+1))</x:f>
      </x:c>
      <x:c r="AS203" s="10">
        <x:f>IF(AR203="","",IF(MAX($AR$2:$AR$252)-MIN($AR$2:$AR$252)=0,"",(AR203-MIN($AR$2:$AR$252))/(MAX($AR$2:$AR$252)-MIN($AR$2:$AR$252))*100))</x:f>
      </x:c>
      <x:c r="AT203">
        <x:f>IF(R203="","",LOG10(R203+1))</x:f>
      </x:c>
      <x:c r="AU203" s="10">
        <x:f>IF(AT203="","",IF(MAX($AT$2:$AT$252)-MIN($AT$2:$AT$252)=0,"",(AT203-MIN($AT$2:$AT$252))/(MAX($AT$2:$AT$252)-MIN($AT$2:$AT$252))*100))</x:f>
      </x:c>
      <x:c r="AV203">
        <x:f>IF(N203="","",LOG10(N203+1))</x:f>
      </x:c>
      <x:c r="AW203" s="10">
        <x:f>IF(AV203="","",IF(MAX($AV$2:$AV$252)-MIN($AV$2:$AV$252)=0,"",(AV203-MIN($AV$2:$AV$252))/(MAX($AV$2:$AV$252)-MIN($AV$2:$AV$252))*100))</x:f>
      </x:c>
      <x:c r="AX203">
        <x:f>IF(I203="","",LOG10(I203+1))</x:f>
      </x:c>
      <x:c r="AY203" s="10">
        <x:f>IF(AX203="","",IF(MAX($AX$2:$AX$252)-MIN($AX$2:$AX$252)=0,"",(AX203-MIN($AX$2:$AX$252))/(MAX($AX$2:$AX$252)-MIN($AX$2:$AX$252))*100))</x:f>
      </x:c>
      <x:c r="AZ203">
        <x:f>IF(J203="","",LOG10(J203+1))</x:f>
      </x:c>
      <x:c r="BA203" s="10">
        <x:f>IF(AZ203="","",IF(MAX($AZ$2:$AZ$252)-MIN($AZ$2:$AZ$252)=0,"",(AZ203-MIN($AZ$2:$AZ$252))/(MAX($AZ$2:$AZ$252)-MIN($AZ$2:$AZ$252))*100))</x:f>
      </x:c>
      <x:c r="BB203">
        <x:f>IF(K203="","",LOG10(K203+1))</x:f>
      </x:c>
      <x:c r="BC203" s="10">
        <x:f>IF(BB203="","",IF(MAX($BB$2:$BB$252)-MIN($BB$2:$BB$252)=0,"",(BB203-MIN($BB$2:$BB$252))/(MAX($BB$2:$BB$252)-MIN($BB$2:$BB$252))*100))</x:f>
      </x:c>
      <x:c r="BD203">
        <x:f>IF(L203="","",LOG10(L203+1))</x:f>
      </x:c>
      <x:c r="BE203" s="10">
        <x:f>IF(BD203="","",IF(MAX($BD$2:$BD$252)-MIN($BD$2:$BD$252)=0,"",(BD203-MIN($BD$2:$BD$252))/(MAX($BD$2:$BD$252)-MIN($BD$2:$BD$252))*100))</x:f>
      </x:c>
      <x:c r="BF203" s="10">
        <x:f>IF(P203="","",IF(MAX($P$2:$P$252)-MIN($P$2:$P$252)=0,"",(P203-MIN($P$2:$P$252))/(MAX($P$2:$P$252)-MIN($P$2:$P$252))*100))</x:f>
      </x:c>
      <x:c r="BG203">
        <x:f>IF(AF203="","",LOG10(AF203+1))</x:f>
      </x:c>
      <x:c r="BH203" s="10">
        <x:f>IF(BG203="","",IF(MAX($BG$2:$BG$252)-MIN($BG$2:$BG$252)=0,"",(BG203-MIN($BG$2:$BG$252))/(MAX($BG$2:$BG$252)-MIN($BG$2:$BG$252))*100))</x:f>
      </x:c>
      <x:c r="BI203">
        <x:f>IF(AC203="","",LOG10(AC203+1))</x:f>
      </x:c>
      <x:c r="BJ203" s="10">
        <x:f>IF(BI203="","",IF(MAX($BI$2:$BI$252)-MIN($BI$2:$BI$252)=0,"",(BI203-MIN($BI$2:$BI$252))/(MAX($BI$2:$BI$252)-MIN($BI$2:$BI$252))*100))</x:f>
      </x:c>
      <x:c r="BK203">
        <x:f>IF(AD203="","",(AD203*2)+(AE203*1))</x:f>
      </x:c>
      <x:c r="BL203" s="10">
        <x:f>IF(BK203="","",IF(MAX($BK$2:$BK$252)-MIN($BK$2:$BK$252)=0,"",(BK203-MIN($BK$2:$BK$252))/(MAX($BK$2:$BK$252)-MIN($BK$2:$BK$252))*100))</x:f>
      </x:c>
      <x:c r="BM203" s="10">
        <x:f>IF(AB203="","",IF(MAX($AB$2:$AB$252)-MIN($AB$2:$AB$252)=0,"",(AB203-MIN($AB$2:$AB$252))/(MAX($AB$2:$AB$252)-MIN($AB$2:$AB$252))*100))</x:f>
      </x:c>
      <x:c r="BN203" s="10">
        <x:f>IF(X203="","",X203)</x:f>
      </x:c>
      <x:c r="BO203" s="10">
        <x:f>IF(X203="","",100-X203)</x:f>
      </x:c>
      <x:c r="BP203" s="10">
        <x:f>IF((Weights!$C$2*IF(BH203="",0,1)+Weights!$C$3*IF(BJ203="",0,1)+Weights!$C$4*IF(BL203="",0,1))=0,"",(Weights!$C$2*IF(BH203="",0,BH203)+Weights!$C$3*IF(BJ203="",0,BJ203)+Weights!$C$4*IF(BL203="",0,BL203))/(Weights!$C$2*IF(BH203="",0,1)+Weights!$C$3*IF(BJ203="",0,1)+Weights!$C$4*IF(BL203="",0,1)))</x:f>
      </x:c>
      <x:c r="BQ203" s="10">
        <x:f>IF((Weights!$C$5*IF(BA203="",0,1)+Weights!$C$6*IF(AW203="",0,1)+Weights!$C$7*IF(AU203="",0,1))=0,"",(Weights!$C$5*IF(BA203="",0,BA203)+Weights!$C$6*IF(AW203="",0,AW203)+Weights!$C$7*IF(AU203="",0,AU203))/(Weights!$C$5*IF(BA203="",0,1)+Weights!$C$6*IF(AW203="",0,1)+Weights!$C$7*IF(AU203="",0,1)))</x:f>
      </x:c>
      <x:c r="BR203" s="10">
        <x:f>IF((Weights!$C$8*IF(AW203="",0,1)+Weights!$C$9*IF(BC203="",0,1)+Weights!$C$10*IF(BF203="",0,1))=0,"",(Weights!$C$8*IF(AW203="",0,AW203)+Weights!$C$9*IF(BC203="",0,BC203)+Weights!$C$10*IF(BF203="",0,BF203))/(Weights!$C$8*IF(AW203="",0,1)+Weights!$C$9*IF(BC203="",0,1)+Weights!$C$10*IF(BF203="",0,1)))</x:f>
      </x:c>
      <x:c r="BS203" s="10">
        <x:f>IF(Y203="","",Y203)</x:f>
      </x:c>
      <x:c r="BT203" s="10">
        <x:f>IF(AS203="","",AS203)</x:f>
      </x:c>
      <x:c r="BU203" s="10">
        <x:f>IF(AJ203&lt;&gt;"",(0.6*AJ203+0.4*AU203),IF((Weights!$C$11*IF(AU203="",0,1)+Weights!$C$12*IF(BM203="",0,1))=0,"",(Weights!$C$11*IF(AU203="",0,AU203)+Weights!$C$12*IF(BM203="",0,BM203))/(Weights!$C$11*IF(AU203="",0,1)+Weights!$C$12*IF(BM203="",0,1))))</x:f>
      </x:c>
      <x:c r="BV203" s="10">
        <x:f>IF(CG203="",0,CG203)</x:f>
      </x:c>
      <x:c r="BW203" s="10">
        <x:f>IF(AP203="","",AP203)</x:f>
      </x:c>
      <x:c r="BX203" s="10">
        <x:f>IF(AO203="","",AO203)</x:f>
      </x:c>
      <x:c r="BY203" s="10">
        <x:f>IF(AL203="","",AL203)</x:f>
      </x:c>
      <x:c r="BZ203" s="10">
        <x:f>IF(AM203="","",AM203)</x:f>
      </x:c>
      <x:c r="CA203" s="10">
        <x:f>IF(AK203&lt;&gt;"",AK203,AW203)</x:f>
      </x:c>
      <x:c r="CB203" s="10">
        <x:f>IF((Weights!$C$13*IF(BP203="",0,1)+Weights!$C$14*IF(BR203="",0,1)+Weights!$C$15*IF(BQ203="",0,1)+Weights!$C$16*IF(BS203="",0,1)+Weights!$C$17*IF(BU203="",0,1)+Weights!$C$18*IF(BT203="",0,1)+Weights!$C$19*IF(BW203="",0,1)+Weights!$C$20*IF(BZ203="",0,1)+Weights!$C$21*IF(BO203="",0,1)+Weights!$C$22)=0,"",(Weights!$C$13*IF(BP203="",0,BP203)+Weights!$C$14*IF(BR203="",0,BR203)+Weights!$C$15*IF(BQ203="",0,BQ203)+Weights!$C$16*IF(BS203="",0,BS203)+Weights!$C$17*IF(BU203="",0,BU203)+Weights!$C$18*IF(BT203="",0,BT203)+Weights!$C$19*IF(BW203="",0,BW203)+Weights!$C$20*IF(BZ203="",0,BZ203)+Weights!$C$21*IF(BO203="",0,BO203)+Weights!$C$22*BV203)/(Weights!$C$13*IF(BP203="",0,1)+Weights!$C$14*IF(BR203="",0,1)+Weights!$C$15*IF(BQ203="",0,1)+Weights!$C$16*IF(BS203="",0,1)+Weights!$C$17*IF(BU203="",0,1)+Weights!$C$18*IF(BT203="",0,1)+Weights!$C$19*IF(BW203="",0,1)+Weights!$C$20*IF(BZ203="",0,1)+Weights!$C$21*IF(BO203="",0,1)+Weights!$C$22))</x:f>
      </x:c>
      <x:c r="CC203" s="10">
        <x:f>IF((Weights!$C$23*IF(BQ203="",0,1)+Weights!$C$24*IF(BN203="",0,1)+Weights!$C$25*IF(BS203="",0,1)+Weights!$C$26*IF(BY203="",0,1)+Weights!$C$27*IF(BX203="",0,1)+Weights!$C$28*IF(BT203="",0,1)+Weights!$C$29*IF(CA203="",0,1)+Weights!$C$30+Weights!$C$31*IF(BU203="",0,1))=0,"",(Weights!$C$23*IF(BQ203="",0,BQ203)+Weights!$C$24*IF(BN203="",0,BN203)+Weights!$C$25*IF(BS203="",0,BS203)+Weights!$C$26*IF(BY203="",0,BY203)+Weights!$C$27*IF(BX203="",0,BX203)+Weights!$C$28*IF(BT203="",0,BT203)+Weights!$C$29*IF(CA203="",0,CA203)+Weights!$C$30*BV203+Weights!$C$31*IF(BU203="",0,BU203))/(Weights!$C$23*IF(BQ203="",0,1)+Weights!$C$24*IF(BN203="",0,1)+Weights!$C$25*IF(BS203="",0,1)+Weights!$C$26*IF(BY203="",0,1)+Weights!$C$27*IF(BX203="",0,1)+Weights!$C$28*IF(BT203="",0,1)+Weights!$C$29*IF(CA203="",0,1)+Weights!$C$30+Weights!$C$31*IF(BU203="",0,1)))</x:f>
      </x:c>
      <x:c r="CD203" s="10">
        <x:f>IF(AND(CB203="",CC203=""),"",IF(CB203="",CC203,IF(CC203="",CB203,AVERAGE(CB203,CC203))))</x:f>
      </x:c>
      <x:c r="CE203" s="7">
        <x:f>ROUND(100*((IF(BP203&lt;&gt;"",1,0)+IF(BQ203&lt;&gt;"",1,0)+IF(BR203&lt;&gt;"",1,0)+IF(BS203&lt;&gt;"",1,0)+IF(BU203&lt;&gt;"",1,0)+IF(BT203&lt;&gt;"",1,0)+IF(BN203&lt;&gt;"",1,0)+IF(AW203&lt;&gt;"",1,0))/8),0)</x:f>
      </x:c>
      <x:c r="CF203">
        <x:f>IF(V203="","",LOG10(V203+1))</x:f>
      </x:c>
      <x:c r="CG203">
        <x:f>IF(CF203="","",IF(MAX($CF$2:$CF$252)-MIN($CF$2:$CF$252)=0,"",(CF203-MIN($CF$2:$CF$252))/(MAX($CF$2:$CF$252)-MIN($CF$2:$CF$252))*100))</x:f>
      </x:c>
    </x:row>
    <x:row r="204">
      <x:c r="A204" t="inlineStr">
        <x:is>
          <x:t xml:space="preserve">NER</x:t>
        </x:is>
      </x:c>
      <x:c r="B204" t="inlineStr">
        <x:is>
          <x:t xml:space="preserve">Niger</x:t>
        </x:is>
      </x:c>
      <x:c r="C204" t="inlineStr">
        <x:is>
          <x:t xml:space="preserve">Sub-Saharan Africa</x:t>
        </x:is>
      </x:c>
      <x:c r="D204" t="inlineStr">
        <x:is>
          <x:t xml:space="preserve">Low income</x:t>
        </x:is>
      </x:c>
      <x:c r="E204" t="inlineStr">
        <x:is>
          <x:t xml:space="preserve">Africa</x:t>
        </x:is>
      </x:c>
      <x:c r="F204" t="n">
        <x:v>2024</x:v>
      </x:c>
      <x:c r="G204" t="n">
        <x:v>27032412</x:v>
      </x:c>
      <x:c r="H204" t="n">
        <x:v>2020</x:v>
      </x:c>
      <x:c r="I204" t="n">
        <x:v>10000</x:v>
      </x:c>
      <x:c r="J204" t="n">
        <x:v>6500</x:v>
      </x:c>
      <x:c r="K204" t="n">
        <x:v>2000</x:v>
      </x:c>
      <x:c r="L204" t="n">
        <x:v>1200</x:v>
      </x:c>
      <x:c r="M204" t="n">
        <x:v>2024</x:v>
      </x:c>
      <x:c r="N204" s="8" t="n">
        <x:v>435880522.487372</x:v>
      </x:c>
      <x:c r="O204" s="9" t="n">
        <x:v>2.24177586841643</x:v>
      </x:c>
      <x:c r="P204" s="8" t="n">
        <x:v>43588.0522487372</x:v>
      </x:c>
      <x:c r="Q204" t="n">
        <x:v>2024</x:v>
      </x:c>
      <x:c r="R204" s="8" t="n">
        <x:v>19876128485.7857</x:v>
      </x:c>
      <x:c r="S204" t="n">
        <x:v>0</x:v>
      </x:c>
      <x:c r="T204" t="n">
        <x:v>0</x:v>
      </x:c>
      <x:c r="U204" t="inlineStr">
        <x:is>
          <x:t xml:space="preserve">No</x:t>
        </x:is>
      </x:c>
      <x:c r="W204" t="inlineStr">
        <x:is>
          <x:t xml:space="preserve">No</x:t>
        </x:is>
      </x:c>
      <x:c r="X204" t="n">
        <x:v>15.60584165759996</x:v>
      </x:c>
      <x:c r="Y204" t="n">
        <x:v>12.30907114688672</x:v>
      </x:c>
      <x:c r="Z204" t="n">
        <x:v>1182269.648000065</x:v>
      </x:c>
      <x:c r="AA204" t="n">
        <x:v>16.27830337398541</x:v>
      </x:c>
      <x:c r="AB204" s="8" t="n">
        <x:v>1047.006486348075</x:v>
      </x:c>
      <x:c r="AR204">
        <x:f>IF(G204="","",LOG10(G204+1))</x:f>
      </x:c>
      <x:c r="AS204" s="10">
        <x:f>IF(AR204="","",IF(MAX($AR$2:$AR$252)-MIN($AR$2:$AR$252)=0,"",(AR204-MIN($AR$2:$AR$252))/(MAX($AR$2:$AR$252)-MIN($AR$2:$AR$252))*100))</x:f>
      </x:c>
      <x:c r="AT204">
        <x:f>IF(R204="","",LOG10(R204+1))</x:f>
      </x:c>
      <x:c r="AU204" s="10">
        <x:f>IF(AT204="","",IF(MAX($AT$2:$AT$252)-MIN($AT$2:$AT$252)=0,"",(AT204-MIN($AT$2:$AT$252))/(MAX($AT$2:$AT$252)-MIN($AT$2:$AT$252))*100))</x:f>
      </x:c>
      <x:c r="AV204">
        <x:f>IF(N204="","",LOG10(N204+1))</x:f>
      </x:c>
      <x:c r="AW204" s="10">
        <x:f>IF(AV204="","",IF(MAX($AV$2:$AV$252)-MIN($AV$2:$AV$252)=0,"",(AV204-MIN($AV$2:$AV$252))/(MAX($AV$2:$AV$252)-MIN($AV$2:$AV$252))*100))</x:f>
      </x:c>
      <x:c r="AX204">
        <x:f>IF(I204="","",LOG10(I204+1))</x:f>
      </x:c>
      <x:c r="AY204" s="10">
        <x:f>IF(AX204="","",IF(MAX($AX$2:$AX$252)-MIN($AX$2:$AX$252)=0,"",(AX204-MIN($AX$2:$AX$252))/(MAX($AX$2:$AX$252)-MIN($AX$2:$AX$252))*100))</x:f>
      </x:c>
      <x:c r="AZ204">
        <x:f>IF(J204="","",LOG10(J204+1))</x:f>
      </x:c>
      <x:c r="BA204" s="10">
        <x:f>IF(AZ204="","",IF(MAX($AZ$2:$AZ$252)-MIN($AZ$2:$AZ$252)=0,"",(AZ204-MIN($AZ$2:$AZ$252))/(MAX($AZ$2:$AZ$252)-MIN($AZ$2:$AZ$252))*100))</x:f>
      </x:c>
      <x:c r="BB204">
        <x:f>IF(K204="","",LOG10(K204+1))</x:f>
      </x:c>
      <x:c r="BC204" s="10">
        <x:f>IF(BB204="","",IF(MAX($BB$2:$BB$252)-MIN($BB$2:$BB$252)=0,"",(BB204-MIN($BB$2:$BB$252))/(MAX($BB$2:$BB$252)-MIN($BB$2:$BB$252))*100))</x:f>
      </x:c>
      <x:c r="BD204">
        <x:f>IF(L204="","",LOG10(L204+1))</x:f>
      </x:c>
      <x:c r="BE204" s="10">
        <x:f>IF(BD204="","",IF(MAX($BD$2:$BD$252)-MIN($BD$2:$BD$252)=0,"",(BD204-MIN($BD$2:$BD$252))/(MAX($BD$2:$BD$252)-MIN($BD$2:$BD$252))*100))</x:f>
      </x:c>
      <x:c r="BF204" s="10">
        <x:f>IF(P204="","",IF(MAX($P$2:$P$252)-MIN($P$2:$P$252)=0,"",(P204-MIN($P$2:$P$252))/(MAX($P$2:$P$252)-MIN($P$2:$P$252))*100))</x:f>
      </x:c>
      <x:c r="BG204">
        <x:f>IF(AF204="","",LOG10(AF204+1))</x:f>
      </x:c>
      <x:c r="BH204" s="10">
        <x:f>IF(BG204="","",IF(MAX($BG$2:$BG$252)-MIN($BG$2:$BG$252)=0,"",(BG204-MIN($BG$2:$BG$252))/(MAX($BG$2:$BG$252)-MIN($BG$2:$BG$252))*100))</x:f>
      </x:c>
      <x:c r="BI204">
        <x:f>IF(AC204="","",LOG10(AC204+1))</x:f>
      </x:c>
      <x:c r="BJ204" s="10">
        <x:f>IF(BI204="","",IF(MAX($BI$2:$BI$252)-MIN($BI$2:$BI$252)=0,"",(BI204-MIN($BI$2:$BI$252))/(MAX($BI$2:$BI$252)-MIN($BI$2:$BI$252))*100))</x:f>
      </x:c>
      <x:c r="BK204">
        <x:f>IF(AD204="","",(AD204*2)+(AE204*1))</x:f>
      </x:c>
      <x:c r="BL204" s="10">
        <x:f>IF(BK204="","",IF(MAX($BK$2:$BK$252)-MIN($BK$2:$BK$252)=0,"",(BK204-MIN($BK$2:$BK$252))/(MAX($BK$2:$BK$252)-MIN($BK$2:$BK$252))*100))</x:f>
      </x:c>
      <x:c r="BM204" s="10">
        <x:f>IF(AB204="","",IF(MAX($AB$2:$AB$252)-MIN($AB$2:$AB$252)=0,"",(AB204-MIN($AB$2:$AB$252))/(MAX($AB$2:$AB$252)-MIN($AB$2:$AB$252))*100))</x:f>
      </x:c>
      <x:c r="BN204" s="10">
        <x:f>IF(X204="","",X204)</x:f>
      </x:c>
      <x:c r="BO204" s="10">
        <x:f>IF(X204="","",100-X204)</x:f>
      </x:c>
      <x:c r="BP204" s="10">
        <x:f>IF((Weights!$C$2*IF(BH204="",0,1)+Weights!$C$3*IF(BJ204="",0,1)+Weights!$C$4*IF(BL204="",0,1))=0,"",(Weights!$C$2*IF(BH204="",0,BH204)+Weights!$C$3*IF(BJ204="",0,BJ204)+Weights!$C$4*IF(BL204="",0,BL204))/(Weights!$C$2*IF(BH204="",0,1)+Weights!$C$3*IF(BJ204="",0,1)+Weights!$C$4*IF(BL204="",0,1)))</x:f>
      </x:c>
      <x:c r="BQ204" s="10">
        <x:f>IF((Weights!$C$5*IF(BA204="",0,1)+Weights!$C$6*IF(AW204="",0,1)+Weights!$C$7*IF(AU204="",0,1))=0,"",(Weights!$C$5*IF(BA204="",0,BA204)+Weights!$C$6*IF(AW204="",0,AW204)+Weights!$C$7*IF(AU204="",0,AU204))/(Weights!$C$5*IF(BA204="",0,1)+Weights!$C$6*IF(AW204="",0,1)+Weights!$C$7*IF(AU204="",0,1)))</x:f>
      </x:c>
      <x:c r="BR204" s="10">
        <x:f>IF((Weights!$C$8*IF(AW204="",0,1)+Weights!$C$9*IF(BC204="",0,1)+Weights!$C$10*IF(BF204="",0,1))=0,"",(Weights!$C$8*IF(AW204="",0,AW204)+Weights!$C$9*IF(BC204="",0,BC204)+Weights!$C$10*IF(BF204="",0,BF204))/(Weights!$C$8*IF(AW204="",0,1)+Weights!$C$9*IF(BC204="",0,1)+Weights!$C$10*IF(BF204="",0,1)))</x:f>
      </x:c>
      <x:c r="BS204" s="10">
        <x:f>IF(Y204="","",Y204)</x:f>
      </x:c>
      <x:c r="BT204" s="10">
        <x:f>IF(AS204="","",AS204)</x:f>
      </x:c>
      <x:c r="BU204" s="10">
        <x:f>IF(AJ204&lt;&gt;"",(0.6*AJ204+0.4*AU204),IF((Weights!$C$11*IF(AU204="",0,1)+Weights!$C$12*IF(BM204="",0,1))=0,"",(Weights!$C$11*IF(AU204="",0,AU204)+Weights!$C$12*IF(BM204="",0,BM204))/(Weights!$C$11*IF(AU204="",0,1)+Weights!$C$12*IF(BM204="",0,1))))</x:f>
      </x:c>
      <x:c r="BV204" s="10">
        <x:f>IF(CG204="",0,CG204)</x:f>
      </x:c>
      <x:c r="BW204" s="10">
        <x:f>IF(AP204="","",AP204)</x:f>
      </x:c>
      <x:c r="BX204" s="10">
        <x:f>IF(AO204="","",AO204)</x:f>
      </x:c>
      <x:c r="BY204" s="10">
        <x:f>IF(AL204="","",AL204)</x:f>
      </x:c>
      <x:c r="BZ204" s="10">
        <x:f>IF(AM204="","",AM204)</x:f>
      </x:c>
      <x:c r="CA204" s="10">
        <x:f>IF(AK204&lt;&gt;"",AK204,AW204)</x:f>
      </x:c>
      <x:c r="CB204" s="10">
        <x:f>IF((Weights!$C$13*IF(BP204="",0,1)+Weights!$C$14*IF(BR204="",0,1)+Weights!$C$15*IF(BQ204="",0,1)+Weights!$C$16*IF(BS204="",0,1)+Weights!$C$17*IF(BU204="",0,1)+Weights!$C$18*IF(BT204="",0,1)+Weights!$C$19*IF(BW204="",0,1)+Weights!$C$20*IF(BZ204="",0,1)+Weights!$C$21*IF(BO204="",0,1)+Weights!$C$22)=0,"",(Weights!$C$13*IF(BP204="",0,BP204)+Weights!$C$14*IF(BR204="",0,BR204)+Weights!$C$15*IF(BQ204="",0,BQ204)+Weights!$C$16*IF(BS204="",0,BS204)+Weights!$C$17*IF(BU204="",0,BU204)+Weights!$C$18*IF(BT204="",0,BT204)+Weights!$C$19*IF(BW204="",0,BW204)+Weights!$C$20*IF(BZ204="",0,BZ204)+Weights!$C$21*IF(BO204="",0,BO204)+Weights!$C$22*BV204)/(Weights!$C$13*IF(BP204="",0,1)+Weights!$C$14*IF(BR204="",0,1)+Weights!$C$15*IF(BQ204="",0,1)+Weights!$C$16*IF(BS204="",0,1)+Weights!$C$17*IF(BU204="",0,1)+Weights!$C$18*IF(BT204="",0,1)+Weights!$C$19*IF(BW204="",0,1)+Weights!$C$20*IF(BZ204="",0,1)+Weights!$C$21*IF(BO204="",0,1)+Weights!$C$22))</x:f>
      </x:c>
      <x:c r="CC204" s="10">
        <x:f>IF((Weights!$C$23*IF(BQ204="",0,1)+Weights!$C$24*IF(BN204="",0,1)+Weights!$C$25*IF(BS204="",0,1)+Weights!$C$26*IF(BY204="",0,1)+Weights!$C$27*IF(BX204="",0,1)+Weights!$C$28*IF(BT204="",0,1)+Weights!$C$29*IF(CA204="",0,1)+Weights!$C$30+Weights!$C$31*IF(BU204="",0,1))=0,"",(Weights!$C$23*IF(BQ204="",0,BQ204)+Weights!$C$24*IF(BN204="",0,BN204)+Weights!$C$25*IF(BS204="",0,BS204)+Weights!$C$26*IF(BY204="",0,BY204)+Weights!$C$27*IF(BX204="",0,BX204)+Weights!$C$28*IF(BT204="",0,BT204)+Weights!$C$29*IF(CA204="",0,CA204)+Weights!$C$30*BV204+Weights!$C$31*IF(BU204="",0,BU204))/(Weights!$C$23*IF(BQ204="",0,1)+Weights!$C$24*IF(BN204="",0,1)+Weights!$C$25*IF(BS204="",0,1)+Weights!$C$26*IF(BY204="",0,1)+Weights!$C$27*IF(BX204="",0,1)+Weights!$C$28*IF(BT204="",0,1)+Weights!$C$29*IF(CA204="",0,1)+Weights!$C$30+Weights!$C$31*IF(BU204="",0,1)))</x:f>
      </x:c>
      <x:c r="CD204" s="10">
        <x:f>IF(AND(CB204="",CC204=""),"",IF(CB204="",CC204,IF(CC204="",CB204,AVERAGE(CB204,CC204))))</x:f>
      </x:c>
      <x:c r="CE204" s="7">
        <x:f>ROUND(100*((IF(BP204&lt;&gt;"",1,0)+IF(BQ204&lt;&gt;"",1,0)+IF(BR204&lt;&gt;"",1,0)+IF(BS204&lt;&gt;"",1,0)+IF(BU204&lt;&gt;"",1,0)+IF(BT204&lt;&gt;"",1,0)+IF(BN204&lt;&gt;"",1,0)+IF(AW204&lt;&gt;"",1,0))/8),0)</x:f>
      </x:c>
      <x:c r="CF204">
        <x:f>IF(V204="","",LOG10(V204+1))</x:f>
      </x:c>
      <x:c r="CG204">
        <x:f>IF(CF204="","",IF(MAX($CF$2:$CF$252)-MIN($CF$2:$CF$252)=0,"",(CF204-MIN($CF$2:$CF$252))/(MAX($CF$2:$CF$252)-MIN($CF$2:$CF$252))*100))</x:f>
      </x:c>
    </x:row>
    <x:row r="205">
      <x:c r="A205" t="inlineStr">
        <x:is>
          <x:t xml:space="preserve">PHL</x:t>
        </x:is>
      </x:c>
      <x:c r="B205" t="inlineStr">
        <x:is>
          <x:t xml:space="preserve">Philippines</x:t>
        </x:is>
      </x:c>
      <x:c r="C205" t="inlineStr">
        <x:is>
          <x:t xml:space="preserve">East Asia &amp; Pacific</x:t>
        </x:is>
      </x:c>
      <x:c r="D205" t="inlineStr">
        <x:is>
          <x:t xml:space="preserve">Lower middle income</x:t>
        </x:is>
      </x:c>
      <x:c r="E205" t="inlineStr">
        <x:is>
          <x:t xml:space="preserve">Asia</x:t>
        </x:is>
      </x:c>
      <x:c r="F205" t="n">
        <x:v>2024</x:v>
      </x:c>
      <x:c r="G205" t="n">
        <x:v>115843670</x:v>
      </x:c>
      <x:c r="H205" t="n">
        <x:v>2020</x:v>
      </x:c>
      <x:c r="I205" t="n">
        <x:v>157000</x:v>
      </x:c>
      <x:c r="J205" t="n">
        <x:v>102050</x:v>
      </x:c>
      <x:c r="K205" t="n">
        <x:v>31400</x:v>
      </x:c>
      <x:c r="L205" t="n">
        <x:v>18840</x:v>
      </x:c>
      <x:c r="M205" t="n">
        <x:v>2024</x:v>
      </x:c>
      <x:c r="N205" s="8" t="n">
        <x:v>6117535232.86185</x:v>
      </x:c>
      <x:c r="O205" s="9" t="n">
        <x:v>1.32426895346612</x:v>
      </x:c>
      <x:c r="P205" s="8" t="n">
        <x:v>38965.19256599904</x:v>
      </x:c>
      <x:c r="Q205" t="n">
        <x:v>2024</x:v>
      </x:c>
      <x:c r="R205" s="8" t="n">
        <x:v>461617509782.355</x:v>
      </x:c>
      <x:c r="S205" t="n">
        <x:v>0</x:v>
      </x:c>
      <x:c r="T205" t="n">
        <x:v>0</x:v>
      </x:c>
      <x:c r="U205" t="inlineStr">
        <x:is>
          <x:t xml:space="preserve">No</x:t>
        </x:is>
      </x:c>
      <x:c r="W205" t="inlineStr">
        <x:is>
          <x:t xml:space="preserve">No</x:t>
        </x:is>
      </x:c>
      <x:c r="X205" t="n">
        <x:v>82.37804179264752</x:v>
      </x:c>
      <x:c r="Y205" t="n">
        <x:v>60.52929168726152</x:v>
      </x:c>
      <x:c r="Z205" t="n">
        <x:v>292256.939380041</x:v>
      </x:c>
      <x:c r="AA205" t="n">
        <x:v>356.7274611893097</x:v>
      </x:c>
      <x:c r="AB205" s="8" t="n">
        <x:v>7691.638039398298</x:v>
      </x:c>
      <x:c r="AC205" t="n">
        <x:v>111</x:v>
      </x:c>
      <x:c r="AD205" t="n">
        <x:v>0</x:v>
      </x:c>
      <x:c r="AE205" t="n">
        <x:v>0</x:v>
      </x:c>
      <x:c r="AF205" t="n">
        <x:v>33.7</x:v>
      </x:c>
      <x:c r="AG205" t="n">
        <x:v>61</x:v>
      </x:c>
      <x:c r="AH205" t="n">
        <x:v>30</x:v>
      </x:c>
      <x:c r="AI205" t="n">
        <x:v>15.2</x:v>
      </x:c>
      <x:c r="AJ205" t="n">
        <x:v>5.4</x:v>
      </x:c>
      <x:c r="AK205" t="n">
        <x:v>10.2</x:v>
      </x:c>
      <x:c r="AL205" t="n">
        <x:v>22</x:v>
      </x:c>
      <x:c r="AM205" t="n">
        <x:v>6.3</x:v>
      </x:c>
      <x:c r="AN205" t="n">
        <x:v>10.6</x:v>
      </x:c>
      <x:c r="AO205" t="n">
        <x:v>18.2</x:v>
      </x:c>
      <x:c r="AP205" t="n">
        <x:v>48.8</x:v>
      </x:c>
      <x:c r="AQ205" t="n">
        <x:v>13.2</x:v>
      </x:c>
      <x:c r="AR205">
        <x:f>IF(G205="","",LOG10(G205+1))</x:f>
      </x:c>
      <x:c r="AS205" s="10">
        <x:f>IF(AR205="","",IF(MAX($AR$2:$AR$252)-MIN($AR$2:$AR$252)=0,"",(AR205-MIN($AR$2:$AR$252))/(MAX($AR$2:$AR$252)-MIN($AR$2:$AR$252))*100))</x:f>
      </x:c>
      <x:c r="AT205">
        <x:f>IF(R205="","",LOG10(R205+1))</x:f>
      </x:c>
      <x:c r="AU205" s="10">
        <x:f>IF(AT205="","",IF(MAX($AT$2:$AT$252)-MIN($AT$2:$AT$252)=0,"",(AT205-MIN($AT$2:$AT$252))/(MAX($AT$2:$AT$252)-MIN($AT$2:$AT$252))*100))</x:f>
      </x:c>
      <x:c r="AV205">
        <x:f>IF(N205="","",LOG10(N205+1))</x:f>
      </x:c>
      <x:c r="AW205" s="10">
        <x:f>IF(AV205="","",IF(MAX($AV$2:$AV$252)-MIN($AV$2:$AV$252)=0,"",(AV205-MIN($AV$2:$AV$252))/(MAX($AV$2:$AV$252)-MIN($AV$2:$AV$252))*100))</x:f>
      </x:c>
      <x:c r="AX205">
        <x:f>IF(I205="","",LOG10(I205+1))</x:f>
      </x:c>
      <x:c r="AY205" s="10">
        <x:f>IF(AX205="","",IF(MAX($AX$2:$AX$252)-MIN($AX$2:$AX$252)=0,"",(AX205-MIN($AX$2:$AX$252))/(MAX($AX$2:$AX$252)-MIN($AX$2:$AX$252))*100))</x:f>
      </x:c>
      <x:c r="AZ205">
        <x:f>IF(J205="","",LOG10(J205+1))</x:f>
      </x:c>
      <x:c r="BA205" s="10">
        <x:f>IF(AZ205="","",IF(MAX($AZ$2:$AZ$252)-MIN($AZ$2:$AZ$252)=0,"",(AZ205-MIN($AZ$2:$AZ$252))/(MAX($AZ$2:$AZ$252)-MIN($AZ$2:$AZ$252))*100))</x:f>
      </x:c>
      <x:c r="BB205">
        <x:f>IF(K205="","",LOG10(K205+1))</x:f>
      </x:c>
      <x:c r="BC205" s="10">
        <x:f>IF(BB205="","",IF(MAX($BB$2:$BB$252)-MIN($BB$2:$BB$252)=0,"",(BB205-MIN($BB$2:$BB$252))/(MAX($BB$2:$BB$252)-MIN($BB$2:$BB$252))*100))</x:f>
      </x:c>
      <x:c r="BD205">
        <x:f>IF(L205="","",LOG10(L205+1))</x:f>
      </x:c>
      <x:c r="BE205" s="10">
        <x:f>IF(BD205="","",IF(MAX($BD$2:$BD$252)-MIN($BD$2:$BD$252)=0,"",(BD205-MIN($BD$2:$BD$252))/(MAX($BD$2:$BD$252)-MIN($BD$2:$BD$252))*100))</x:f>
      </x:c>
      <x:c r="BF205" s="10">
        <x:f>IF(P205="","",IF(MAX($P$2:$P$252)-MIN($P$2:$P$252)=0,"",(P205-MIN($P$2:$P$252))/(MAX($P$2:$P$252)-MIN($P$2:$P$252))*100))</x:f>
      </x:c>
      <x:c r="BG205">
        <x:f>IF(AF205="","",LOG10(AF205+1))</x:f>
      </x:c>
      <x:c r="BH205" s="10">
        <x:f>IF(BG205="","",IF(MAX($BG$2:$BG$252)-MIN($BG$2:$BG$252)=0,"",(BG205-MIN($BG$2:$BG$252))/(MAX($BG$2:$BG$252)-MIN($BG$2:$BG$252))*100))</x:f>
      </x:c>
      <x:c r="BI205">
        <x:f>IF(AC205="","",LOG10(AC205+1))</x:f>
      </x:c>
      <x:c r="BJ205" s="10">
        <x:f>IF(BI205="","",IF(MAX($BI$2:$BI$252)-MIN($BI$2:$BI$252)=0,"",(BI205-MIN($BI$2:$BI$252))/(MAX($BI$2:$BI$252)-MIN($BI$2:$BI$252))*100))</x:f>
      </x:c>
      <x:c r="BK205">
        <x:f>IF(AD205="","",(AD205*2)+(AE205*1))</x:f>
      </x:c>
      <x:c r="BL205" s="10">
        <x:f>IF(BK205="","",IF(MAX($BK$2:$BK$252)-MIN($BK$2:$BK$252)=0,"",(BK205-MIN($BK$2:$BK$252))/(MAX($BK$2:$BK$252)-MIN($BK$2:$BK$252))*100))</x:f>
      </x:c>
      <x:c r="BM205" s="10">
        <x:f>IF(AB205="","",IF(MAX($AB$2:$AB$252)-MIN($AB$2:$AB$252)=0,"",(AB205-MIN($AB$2:$AB$252))/(MAX($AB$2:$AB$252)-MIN($AB$2:$AB$252))*100))</x:f>
      </x:c>
      <x:c r="BN205" s="10">
        <x:f>IF(X205="","",X205)</x:f>
      </x:c>
      <x:c r="BO205" s="10">
        <x:f>IF(X205="","",100-X205)</x:f>
      </x:c>
      <x:c r="BP205" s="10">
        <x:f>IF((Weights!$C$2*IF(BH205="",0,1)+Weights!$C$3*IF(BJ205="",0,1)+Weights!$C$4*IF(BL205="",0,1))=0,"",(Weights!$C$2*IF(BH205="",0,BH205)+Weights!$C$3*IF(BJ205="",0,BJ205)+Weights!$C$4*IF(BL205="",0,BL205))/(Weights!$C$2*IF(BH205="",0,1)+Weights!$C$3*IF(BJ205="",0,1)+Weights!$C$4*IF(BL205="",0,1)))</x:f>
      </x:c>
      <x:c r="BQ205" s="10">
        <x:f>IF((Weights!$C$5*IF(BA205="",0,1)+Weights!$C$6*IF(AW205="",0,1)+Weights!$C$7*IF(AU205="",0,1))=0,"",(Weights!$C$5*IF(BA205="",0,BA205)+Weights!$C$6*IF(AW205="",0,AW205)+Weights!$C$7*IF(AU205="",0,AU205))/(Weights!$C$5*IF(BA205="",0,1)+Weights!$C$6*IF(AW205="",0,1)+Weights!$C$7*IF(AU205="",0,1)))</x:f>
      </x:c>
      <x:c r="BR205" s="10">
        <x:f>IF((Weights!$C$8*IF(AW205="",0,1)+Weights!$C$9*IF(BC205="",0,1)+Weights!$C$10*IF(BF205="",0,1))=0,"",(Weights!$C$8*IF(AW205="",0,AW205)+Weights!$C$9*IF(BC205="",0,BC205)+Weights!$C$10*IF(BF205="",0,BF205))/(Weights!$C$8*IF(AW205="",0,1)+Weights!$C$9*IF(BC205="",0,1)+Weights!$C$10*IF(BF205="",0,1)))</x:f>
      </x:c>
      <x:c r="BS205" s="10">
        <x:f>IF(Y205="","",Y205)</x:f>
      </x:c>
      <x:c r="BT205" s="10">
        <x:f>IF(AS205="","",AS205)</x:f>
      </x:c>
      <x:c r="BU205" s="10">
        <x:f>IF(AJ205&lt;&gt;"",(0.6*AJ205+0.4*AU205),IF((Weights!$C$11*IF(AU205="",0,1)+Weights!$C$12*IF(BM205="",0,1))=0,"",(Weights!$C$11*IF(AU205="",0,AU205)+Weights!$C$12*IF(BM205="",0,BM205))/(Weights!$C$11*IF(AU205="",0,1)+Weights!$C$12*IF(BM205="",0,1))))</x:f>
      </x:c>
      <x:c r="BV205" s="10">
        <x:f>IF(CG205="",0,CG205)</x:f>
      </x:c>
      <x:c r="BW205" s="10">
        <x:f>IF(AP205="","",AP205)</x:f>
      </x:c>
      <x:c r="BX205" s="10">
        <x:f>IF(AO205="","",AO205)</x:f>
      </x:c>
      <x:c r="BY205" s="10">
        <x:f>IF(AL205="","",AL205)</x:f>
      </x:c>
      <x:c r="BZ205" s="10">
        <x:f>IF(AM205="","",AM205)</x:f>
      </x:c>
      <x:c r="CA205" s="10">
        <x:f>IF(AK205&lt;&gt;"",AK205,AW205)</x:f>
      </x:c>
      <x:c r="CB205" s="10">
        <x:f>IF((Weights!$C$13*IF(BP205="",0,1)+Weights!$C$14*IF(BR205="",0,1)+Weights!$C$15*IF(BQ205="",0,1)+Weights!$C$16*IF(BS205="",0,1)+Weights!$C$17*IF(BU205="",0,1)+Weights!$C$18*IF(BT205="",0,1)+Weights!$C$19*IF(BW205="",0,1)+Weights!$C$20*IF(BZ205="",0,1)+Weights!$C$21*IF(BO205="",0,1)+Weights!$C$22)=0,"",(Weights!$C$13*IF(BP205="",0,BP205)+Weights!$C$14*IF(BR205="",0,BR205)+Weights!$C$15*IF(BQ205="",0,BQ205)+Weights!$C$16*IF(BS205="",0,BS205)+Weights!$C$17*IF(BU205="",0,BU205)+Weights!$C$18*IF(BT205="",0,BT205)+Weights!$C$19*IF(BW205="",0,BW205)+Weights!$C$20*IF(BZ205="",0,BZ205)+Weights!$C$21*IF(BO205="",0,BO205)+Weights!$C$22*BV205)/(Weights!$C$13*IF(BP205="",0,1)+Weights!$C$14*IF(BR205="",0,1)+Weights!$C$15*IF(BQ205="",0,1)+Weights!$C$16*IF(BS205="",0,1)+Weights!$C$17*IF(BU205="",0,1)+Weights!$C$18*IF(BT205="",0,1)+Weights!$C$19*IF(BW205="",0,1)+Weights!$C$20*IF(BZ205="",0,1)+Weights!$C$21*IF(BO205="",0,1)+Weights!$C$22))</x:f>
      </x:c>
      <x:c r="CC205" s="10">
        <x:f>IF((Weights!$C$23*IF(BQ205="",0,1)+Weights!$C$24*IF(BN205="",0,1)+Weights!$C$25*IF(BS205="",0,1)+Weights!$C$26*IF(BY205="",0,1)+Weights!$C$27*IF(BX205="",0,1)+Weights!$C$28*IF(BT205="",0,1)+Weights!$C$29*IF(CA205="",0,1)+Weights!$C$30+Weights!$C$31*IF(BU205="",0,1))=0,"",(Weights!$C$23*IF(BQ205="",0,BQ205)+Weights!$C$24*IF(BN205="",0,BN205)+Weights!$C$25*IF(BS205="",0,BS205)+Weights!$C$26*IF(BY205="",0,BY205)+Weights!$C$27*IF(BX205="",0,BX205)+Weights!$C$28*IF(BT205="",0,BT205)+Weights!$C$29*IF(CA205="",0,CA205)+Weights!$C$30*BV205+Weights!$C$31*IF(BU205="",0,BU205))/(Weights!$C$23*IF(BQ205="",0,1)+Weights!$C$24*IF(BN205="",0,1)+Weights!$C$25*IF(BS205="",0,1)+Weights!$C$26*IF(BY205="",0,1)+Weights!$C$27*IF(BX205="",0,1)+Weights!$C$28*IF(BT205="",0,1)+Weights!$C$29*IF(CA205="",0,1)+Weights!$C$30+Weights!$C$31*IF(BU205="",0,1)))</x:f>
      </x:c>
      <x:c r="CD205" s="10">
        <x:f>IF(AND(CB205="",CC205=""),"",IF(CB205="",CC205,IF(CC205="",CB205,AVERAGE(CB205,CC205))))</x:f>
      </x:c>
      <x:c r="CE205" s="7">
        <x:f>ROUND(100*((IF(BP205&lt;&gt;"",1,0)+IF(BQ205&lt;&gt;"",1,0)+IF(BR205&lt;&gt;"",1,0)+IF(BS205&lt;&gt;"",1,0)+IF(BU205&lt;&gt;"",1,0)+IF(BT205&lt;&gt;"",1,0)+IF(BN205&lt;&gt;"",1,0)+IF(AW205&lt;&gt;"",1,0))/8),0)</x:f>
      </x:c>
      <x:c r="CF205">
        <x:f>IF(V205="","",LOG10(V205+1))</x:f>
      </x:c>
      <x:c r="CG205">
        <x:f>IF(CF205="","",IF(MAX($CF$2:$CF$252)-MIN($CF$2:$CF$252)=0,"",(CF205-MIN($CF$2:$CF$252))/(MAX($CF$2:$CF$252)-MIN($CF$2:$CF$252))*100))</x:f>
      </x:c>
    </x:row>
    <x:row r="206">
      <x:c r="A206" t="inlineStr">
        <x:is>
          <x:t xml:space="preserve">SDN</x:t>
        </x:is>
      </x:c>
      <x:c r="B206" t="inlineStr">
        <x:is>
          <x:t xml:space="preserve">Sudan</x:t>
        </x:is>
      </x:c>
      <x:c r="C206" t="inlineStr">
        <x:is>
          <x:t xml:space="preserve">Sub-Saharan Africa</x:t>
        </x:is>
      </x:c>
      <x:c r="D206" t="inlineStr">
        <x:is>
          <x:t xml:space="preserve">Low income</x:t>
        </x:is>
      </x:c>
      <x:c r="E206" t="inlineStr">
        <x:is>
          <x:t xml:space="preserve">Africa</x:t>
        </x:is>
      </x:c>
      <x:c r="F206" t="n">
        <x:v>2024</x:v>
      </x:c>
      <x:c r="G206" t="n">
        <x:v>50448963</x:v>
      </x:c>
      <x:c r="H206" t="n">
        <x:v>2020</x:v>
      </x:c>
      <x:c r="I206" t="n">
        <x:v>144000</x:v>
      </x:c>
      <x:c r="J206" t="n">
        <x:v>93600</x:v>
      </x:c>
      <x:c r="K206" t="n">
        <x:v>28800</x:v>
      </x:c>
      <x:c r="L206" t="n">
        <x:v>17280</x:v>
      </x:c>
      <x:c r="M206" t="n">
        <x:v>2021</x:v>
      </x:c>
      <x:c r="N206" s="8" t="n">
        <x:v>375212619.388697</x:v>
      </x:c>
      <x:c r="O206" s="9" t="n">
        <x:v>0.925377247984565</x:v>
      </x:c>
      <x:c r="P206" s="8" t="n">
        <x:v>2605.643190199285</x:v>
      </x:c>
      <x:c r="Q206" t="n">
        <x:v>2024</x:v>
      </x:c>
      <x:c r="R206" s="8" t="n">
        <x:v>49672435513.1126</x:v>
      </x:c>
      <x:c r="S206" t="n">
        <x:v>1</x:v>
      </x:c>
      <x:c r="T206" t="n">
        <x:v>0</x:v>
      </x:c>
      <x:c r="U206" t="inlineStr">
        <x:is>
          <x:t xml:space="preserve">No</x:t>
        </x:is>
      </x:c>
      <x:c r="W206" t="inlineStr">
        <x:is>
          <x:t xml:space="preserve">No</x:t>
        </x:is>
      </x:c>
      <x:c r="X206" t="n">
        <x:v>15.40028857455683</x:v>
      </x:c>
      <x:c r="Y206" t="n">
        <x:v>35.63984527055133</x:v>
      </x:c>
      <x:c r="Z206" t="n">
        <x:v>1850885.564792434</x:v>
      </x:c>
      <x:c r="AA206" t="n">
        <x:v>20.17733333188977</x:v>
      </x:c>
      <x:c r="AB206" s="8" t="n">
        <x:v>4720.727972134049</x:v>
      </x:c>
      <x:c r="AC206" t="n">
        <x:v>12</x:v>
      </x:c>
      <x:c r="AD206" t="n">
        <x:v>0</x:v>
      </x:c>
      <x:c r="AE206" t="n">
        <x:v>0</x:v>
      </x:c>
      <x:c r="AR206">
        <x:f>IF(G206="","",LOG10(G206+1))</x:f>
      </x:c>
      <x:c r="AS206" s="10">
        <x:f>IF(AR206="","",IF(MAX($AR$2:$AR$252)-MIN($AR$2:$AR$252)=0,"",(AR206-MIN($AR$2:$AR$252))/(MAX($AR$2:$AR$252)-MIN($AR$2:$AR$252))*100))</x:f>
      </x:c>
      <x:c r="AT206">
        <x:f>IF(R206="","",LOG10(R206+1))</x:f>
      </x:c>
      <x:c r="AU206" s="10">
        <x:f>IF(AT206="","",IF(MAX($AT$2:$AT$252)-MIN($AT$2:$AT$252)=0,"",(AT206-MIN($AT$2:$AT$252))/(MAX($AT$2:$AT$252)-MIN($AT$2:$AT$252))*100))</x:f>
      </x:c>
      <x:c r="AV206">
        <x:f>IF(N206="","",LOG10(N206+1))</x:f>
      </x:c>
      <x:c r="AW206" s="10">
        <x:f>IF(AV206="","",IF(MAX($AV$2:$AV$252)-MIN($AV$2:$AV$252)=0,"",(AV206-MIN($AV$2:$AV$252))/(MAX($AV$2:$AV$252)-MIN($AV$2:$AV$252))*100))</x:f>
      </x:c>
      <x:c r="AX206">
        <x:f>IF(I206="","",LOG10(I206+1))</x:f>
      </x:c>
      <x:c r="AY206" s="10">
        <x:f>IF(AX206="","",IF(MAX($AX$2:$AX$252)-MIN($AX$2:$AX$252)=0,"",(AX206-MIN($AX$2:$AX$252))/(MAX($AX$2:$AX$252)-MIN($AX$2:$AX$252))*100))</x:f>
      </x:c>
      <x:c r="AZ206">
        <x:f>IF(J206="","",LOG10(J206+1))</x:f>
      </x:c>
      <x:c r="BA206" s="10">
        <x:f>IF(AZ206="","",IF(MAX($AZ$2:$AZ$252)-MIN($AZ$2:$AZ$252)=0,"",(AZ206-MIN($AZ$2:$AZ$252))/(MAX($AZ$2:$AZ$252)-MIN($AZ$2:$AZ$252))*100))</x:f>
      </x:c>
      <x:c r="BB206">
        <x:f>IF(K206="","",LOG10(K206+1))</x:f>
      </x:c>
      <x:c r="BC206" s="10">
        <x:f>IF(BB206="","",IF(MAX($BB$2:$BB$252)-MIN($BB$2:$BB$252)=0,"",(BB206-MIN($BB$2:$BB$252))/(MAX($BB$2:$BB$252)-MIN($BB$2:$BB$252))*100))</x:f>
      </x:c>
      <x:c r="BD206">
        <x:f>IF(L206="","",LOG10(L206+1))</x:f>
      </x:c>
      <x:c r="BE206" s="10">
        <x:f>IF(BD206="","",IF(MAX($BD$2:$BD$252)-MIN($BD$2:$BD$252)=0,"",(BD206-MIN($BD$2:$BD$252))/(MAX($BD$2:$BD$252)-MIN($BD$2:$BD$252))*100))</x:f>
      </x:c>
      <x:c r="BF206" s="10">
        <x:f>IF(P206="","",IF(MAX($P$2:$P$252)-MIN($P$2:$P$252)=0,"",(P206-MIN($P$2:$P$252))/(MAX($P$2:$P$252)-MIN($P$2:$P$252))*100))</x:f>
      </x:c>
      <x:c r="BG206">
        <x:f>IF(AF206="","",LOG10(AF206+1))</x:f>
      </x:c>
      <x:c r="BH206" s="10">
        <x:f>IF(BG206="","",IF(MAX($BG$2:$BG$252)-MIN($BG$2:$BG$252)=0,"",(BG206-MIN($BG$2:$BG$252))/(MAX($BG$2:$BG$252)-MIN($BG$2:$BG$252))*100))</x:f>
      </x:c>
      <x:c r="BI206">
        <x:f>IF(AC206="","",LOG10(AC206+1))</x:f>
      </x:c>
      <x:c r="BJ206" s="10">
        <x:f>IF(BI206="","",IF(MAX($BI$2:$BI$252)-MIN($BI$2:$BI$252)=0,"",(BI206-MIN($BI$2:$BI$252))/(MAX($BI$2:$BI$252)-MIN($BI$2:$BI$252))*100))</x:f>
      </x:c>
      <x:c r="BK206">
        <x:f>IF(AD206="","",(AD206*2)+(AE206*1))</x:f>
      </x:c>
      <x:c r="BL206" s="10">
        <x:f>IF(BK206="","",IF(MAX($BK$2:$BK$252)-MIN($BK$2:$BK$252)=0,"",(BK206-MIN($BK$2:$BK$252))/(MAX($BK$2:$BK$252)-MIN($BK$2:$BK$252))*100))</x:f>
      </x:c>
      <x:c r="BM206" s="10">
        <x:f>IF(AB206="","",IF(MAX($AB$2:$AB$252)-MIN($AB$2:$AB$252)=0,"",(AB206-MIN($AB$2:$AB$252))/(MAX($AB$2:$AB$252)-MIN($AB$2:$AB$252))*100))</x:f>
      </x:c>
      <x:c r="BN206" s="10">
        <x:f>IF(X206="","",X206)</x:f>
      </x:c>
      <x:c r="BO206" s="10">
        <x:f>IF(X206="","",100-X206)</x:f>
      </x:c>
      <x:c r="BP206" s="10">
        <x:f>IF((Weights!$C$2*IF(BH206="",0,1)+Weights!$C$3*IF(BJ206="",0,1)+Weights!$C$4*IF(BL206="",0,1))=0,"",(Weights!$C$2*IF(BH206="",0,BH206)+Weights!$C$3*IF(BJ206="",0,BJ206)+Weights!$C$4*IF(BL206="",0,BL206))/(Weights!$C$2*IF(BH206="",0,1)+Weights!$C$3*IF(BJ206="",0,1)+Weights!$C$4*IF(BL206="",0,1)))</x:f>
      </x:c>
      <x:c r="BQ206" s="10">
        <x:f>IF((Weights!$C$5*IF(BA206="",0,1)+Weights!$C$6*IF(AW206="",0,1)+Weights!$C$7*IF(AU206="",0,1))=0,"",(Weights!$C$5*IF(BA206="",0,BA206)+Weights!$C$6*IF(AW206="",0,AW206)+Weights!$C$7*IF(AU206="",0,AU206))/(Weights!$C$5*IF(BA206="",0,1)+Weights!$C$6*IF(AW206="",0,1)+Weights!$C$7*IF(AU206="",0,1)))</x:f>
      </x:c>
      <x:c r="BR206" s="10">
        <x:f>IF((Weights!$C$8*IF(AW206="",0,1)+Weights!$C$9*IF(BC206="",0,1)+Weights!$C$10*IF(BF206="",0,1))=0,"",(Weights!$C$8*IF(AW206="",0,AW206)+Weights!$C$9*IF(BC206="",0,BC206)+Weights!$C$10*IF(BF206="",0,BF206))/(Weights!$C$8*IF(AW206="",0,1)+Weights!$C$9*IF(BC206="",0,1)+Weights!$C$10*IF(BF206="",0,1)))</x:f>
      </x:c>
      <x:c r="BS206" s="10">
        <x:f>IF(Y206="","",Y206)</x:f>
      </x:c>
      <x:c r="BT206" s="10">
        <x:f>IF(AS206="","",AS206)</x:f>
      </x:c>
      <x:c r="BU206" s="10">
        <x:f>IF(AJ206&lt;&gt;"",(0.6*AJ206+0.4*AU206),IF((Weights!$C$11*IF(AU206="",0,1)+Weights!$C$12*IF(BM206="",0,1))=0,"",(Weights!$C$11*IF(AU206="",0,AU206)+Weights!$C$12*IF(BM206="",0,BM206))/(Weights!$C$11*IF(AU206="",0,1)+Weights!$C$12*IF(BM206="",0,1))))</x:f>
      </x:c>
      <x:c r="BV206" s="10">
        <x:f>IF(CG206="",0,CG206)</x:f>
      </x:c>
      <x:c r="BW206" s="10">
        <x:f>IF(AP206="","",AP206)</x:f>
      </x:c>
      <x:c r="BX206" s="10">
        <x:f>IF(AO206="","",AO206)</x:f>
      </x:c>
      <x:c r="BY206" s="10">
        <x:f>IF(AL206="","",AL206)</x:f>
      </x:c>
      <x:c r="BZ206" s="10">
        <x:f>IF(AM206="","",AM206)</x:f>
      </x:c>
      <x:c r="CA206" s="10">
        <x:f>IF(AK206&lt;&gt;"",AK206,AW206)</x:f>
      </x:c>
      <x:c r="CB206" s="10">
        <x:f>IF((Weights!$C$13*IF(BP206="",0,1)+Weights!$C$14*IF(BR206="",0,1)+Weights!$C$15*IF(BQ206="",0,1)+Weights!$C$16*IF(BS206="",0,1)+Weights!$C$17*IF(BU206="",0,1)+Weights!$C$18*IF(BT206="",0,1)+Weights!$C$19*IF(BW206="",0,1)+Weights!$C$20*IF(BZ206="",0,1)+Weights!$C$21*IF(BO206="",0,1)+Weights!$C$22)=0,"",(Weights!$C$13*IF(BP206="",0,BP206)+Weights!$C$14*IF(BR206="",0,BR206)+Weights!$C$15*IF(BQ206="",0,BQ206)+Weights!$C$16*IF(BS206="",0,BS206)+Weights!$C$17*IF(BU206="",0,BU206)+Weights!$C$18*IF(BT206="",0,BT206)+Weights!$C$19*IF(BW206="",0,BW206)+Weights!$C$20*IF(BZ206="",0,BZ206)+Weights!$C$21*IF(BO206="",0,BO206)+Weights!$C$22*BV206)/(Weights!$C$13*IF(BP206="",0,1)+Weights!$C$14*IF(BR206="",0,1)+Weights!$C$15*IF(BQ206="",0,1)+Weights!$C$16*IF(BS206="",0,1)+Weights!$C$17*IF(BU206="",0,1)+Weights!$C$18*IF(BT206="",0,1)+Weights!$C$19*IF(BW206="",0,1)+Weights!$C$20*IF(BZ206="",0,1)+Weights!$C$21*IF(BO206="",0,1)+Weights!$C$22))</x:f>
      </x:c>
      <x:c r="CC206" s="10">
        <x:f>IF((Weights!$C$23*IF(BQ206="",0,1)+Weights!$C$24*IF(BN206="",0,1)+Weights!$C$25*IF(BS206="",0,1)+Weights!$C$26*IF(BY206="",0,1)+Weights!$C$27*IF(BX206="",0,1)+Weights!$C$28*IF(BT206="",0,1)+Weights!$C$29*IF(CA206="",0,1)+Weights!$C$30+Weights!$C$31*IF(BU206="",0,1))=0,"",(Weights!$C$23*IF(BQ206="",0,BQ206)+Weights!$C$24*IF(BN206="",0,BN206)+Weights!$C$25*IF(BS206="",0,BS206)+Weights!$C$26*IF(BY206="",0,BY206)+Weights!$C$27*IF(BX206="",0,BX206)+Weights!$C$28*IF(BT206="",0,BT206)+Weights!$C$29*IF(CA206="",0,CA206)+Weights!$C$30*BV206+Weights!$C$31*IF(BU206="",0,BU206))/(Weights!$C$23*IF(BQ206="",0,1)+Weights!$C$24*IF(BN206="",0,1)+Weights!$C$25*IF(BS206="",0,1)+Weights!$C$26*IF(BY206="",0,1)+Weights!$C$27*IF(BX206="",0,1)+Weights!$C$28*IF(BT206="",0,1)+Weights!$C$29*IF(CA206="",0,1)+Weights!$C$30+Weights!$C$31*IF(BU206="",0,1)))</x:f>
      </x:c>
      <x:c r="CD206" s="10">
        <x:f>IF(AND(CB206="",CC206=""),"",IF(CB206="",CC206,IF(CC206="",CB206,AVERAGE(CB206,CC206))))</x:f>
      </x:c>
      <x:c r="CE206" s="7">
        <x:f>ROUND(100*((IF(BP206&lt;&gt;"",1,0)+IF(BQ206&lt;&gt;"",1,0)+IF(BR206&lt;&gt;"",1,0)+IF(BS206&lt;&gt;"",1,0)+IF(BU206&lt;&gt;"",1,0)+IF(BT206&lt;&gt;"",1,0)+IF(BN206&lt;&gt;"",1,0)+IF(AW206&lt;&gt;"",1,0))/8),0)</x:f>
      </x:c>
      <x:c r="CF206">
        <x:f>IF(V206="","",LOG10(V206+1))</x:f>
      </x:c>
      <x:c r="CG206">
        <x:f>IF(CF206="","",IF(MAX($CF$2:$CF$252)-MIN($CF$2:$CF$252)=0,"",(CF206-MIN($CF$2:$CF$252))/(MAX($CF$2:$CF$252)-MIN($CF$2:$CF$252))*100))</x:f>
      </x:c>
    </x:row>
    <x:row r="207">
      <x:c r="A207" t="inlineStr">
        <x:is>
          <x:t xml:space="preserve">ROU</x:t>
        </x:is>
      </x:c>
      <x:c r="B207" t="inlineStr">
        <x:is>
          <x:t xml:space="preserve">Romania</x:t>
        </x:is>
      </x:c>
      <x:c r="C207" t="inlineStr">
        <x:is>
          <x:t xml:space="preserve">Europe &amp; Central Asia</x:t>
        </x:is>
      </x:c>
      <x:c r="D207" t="inlineStr">
        <x:is>
          <x:t xml:space="preserve">High income</x:t>
        </x:is>
      </x:c>
      <x:c r="E207" t="inlineStr">
        <x:is>
          <x:t xml:space="preserve">Europe</x:t>
        </x:is>
      </x:c>
      <x:c r="F207" t="n">
        <x:v>2024</x:v>
      </x:c>
      <x:c r="G207" t="n">
        <x:v>19051804</x:v>
      </x:c>
      <x:c r="H207" t="n">
        <x:v>2020</x:v>
      </x:c>
      <x:c r="I207" t="n">
        <x:v>128000</x:v>
      </x:c>
      <x:c r="J207" t="n">
        <x:v>83200</x:v>
      </x:c>
      <x:c r="K207" t="n">
        <x:v>25600</x:v>
      </x:c>
      <x:c r="L207" t="n">
        <x:v>15360</x:v>
      </x:c>
      <x:c r="M207" t="n">
        <x:v>2024</x:v>
      </x:c>
      <x:c r="N207" s="8" t="n">
        <x:v>8715729594.321899</x:v>
      </x:c>
      <x:c r="O207" s="9" t="n">
        <x:v>2.29815245791591</x:v>
      </x:c>
      <x:c r="P207" s="8" t="n">
        <x:v>68091.63745563984</x:v>
      </x:c>
      <x:c r="Q207" t="n">
        <x:v>2024</x:v>
      </x:c>
      <x:c r="R207" s="8" t="n">
        <x:v>382564217988.866</x:v>
      </x:c>
      <x:c r="S207" t="n">
        <x:v>0</x:v>
      </x:c>
      <x:c r="T207" t="n">
        <x:v>0</x:v>
      </x:c>
      <x:c r="U207" t="inlineStr">
        <x:is>
          <x:t xml:space="preserve">No</x:t>
        </x:is>
      </x:c>
      <x:c r="W207" t="inlineStr">
        <x:is>
          <x:t xml:space="preserve">No</x:t>
        </x:is>
      </x:c>
      <x:c r="X207" t="n">
        <x:v>9.601283876889356</x:v>
      </x:c>
      <x:c r="Y207" t="n">
        <x:v>66.30365728777926</x:v>
      </x:c>
      <x:c r="Z207" t="n">
        <x:v>238356.2971154744</x:v>
      </x:c>
      <x:c r="AA207" t="n">
        <x:v>90.3268227462418</x:v>
      </x:c>
      <x:c r="AB207" s="8" t="n">
        <x:v>20483.07830662258</x:v>
      </x:c>
      <x:c r="AC207" t="n">
        <x:v>20</x:v>
      </x:c>
      <x:c r="AD207" t="n">
        <x:v>0</x:v>
      </x:c>
      <x:c r="AE207" t="n">
        <x:v>0</x:v>
      </x:c>
      <x:c r="AR207">
        <x:f>IF(G207="","",LOG10(G207+1))</x:f>
      </x:c>
      <x:c r="AS207" s="10">
        <x:f>IF(AR207="","",IF(MAX($AR$2:$AR$252)-MIN($AR$2:$AR$252)=0,"",(AR207-MIN($AR$2:$AR$252))/(MAX($AR$2:$AR$252)-MIN($AR$2:$AR$252))*100))</x:f>
      </x:c>
      <x:c r="AT207">
        <x:f>IF(R207="","",LOG10(R207+1))</x:f>
      </x:c>
      <x:c r="AU207" s="10">
        <x:f>IF(AT207="","",IF(MAX($AT$2:$AT$252)-MIN($AT$2:$AT$252)=0,"",(AT207-MIN($AT$2:$AT$252))/(MAX($AT$2:$AT$252)-MIN($AT$2:$AT$252))*100))</x:f>
      </x:c>
      <x:c r="AV207">
        <x:f>IF(N207="","",LOG10(N207+1))</x:f>
      </x:c>
      <x:c r="AW207" s="10">
        <x:f>IF(AV207="","",IF(MAX($AV$2:$AV$252)-MIN($AV$2:$AV$252)=0,"",(AV207-MIN($AV$2:$AV$252))/(MAX($AV$2:$AV$252)-MIN($AV$2:$AV$252))*100))</x:f>
      </x:c>
      <x:c r="AX207">
        <x:f>IF(I207="","",LOG10(I207+1))</x:f>
      </x:c>
      <x:c r="AY207" s="10">
        <x:f>IF(AX207="","",IF(MAX($AX$2:$AX$252)-MIN($AX$2:$AX$252)=0,"",(AX207-MIN($AX$2:$AX$252))/(MAX($AX$2:$AX$252)-MIN($AX$2:$AX$252))*100))</x:f>
      </x:c>
      <x:c r="AZ207">
        <x:f>IF(J207="","",LOG10(J207+1))</x:f>
      </x:c>
      <x:c r="BA207" s="10">
        <x:f>IF(AZ207="","",IF(MAX($AZ$2:$AZ$252)-MIN($AZ$2:$AZ$252)=0,"",(AZ207-MIN($AZ$2:$AZ$252))/(MAX($AZ$2:$AZ$252)-MIN($AZ$2:$AZ$252))*100))</x:f>
      </x:c>
      <x:c r="BB207">
        <x:f>IF(K207="","",LOG10(K207+1))</x:f>
      </x:c>
      <x:c r="BC207" s="10">
        <x:f>IF(BB207="","",IF(MAX($BB$2:$BB$252)-MIN($BB$2:$BB$252)=0,"",(BB207-MIN($BB$2:$BB$252))/(MAX($BB$2:$BB$252)-MIN($BB$2:$BB$252))*100))</x:f>
      </x:c>
      <x:c r="BD207">
        <x:f>IF(L207="","",LOG10(L207+1))</x:f>
      </x:c>
      <x:c r="BE207" s="10">
        <x:f>IF(BD207="","",IF(MAX($BD$2:$BD$252)-MIN($BD$2:$BD$252)=0,"",(BD207-MIN($BD$2:$BD$252))/(MAX($BD$2:$BD$252)-MIN($BD$2:$BD$252))*100))</x:f>
      </x:c>
      <x:c r="BF207" s="10">
        <x:f>IF(P207="","",IF(MAX($P$2:$P$252)-MIN($P$2:$P$252)=0,"",(P207-MIN($P$2:$P$252))/(MAX($P$2:$P$252)-MIN($P$2:$P$252))*100))</x:f>
      </x:c>
      <x:c r="BG207">
        <x:f>IF(AF207="","",LOG10(AF207+1))</x:f>
      </x:c>
      <x:c r="BH207" s="10">
        <x:f>IF(BG207="","",IF(MAX($BG$2:$BG$252)-MIN($BG$2:$BG$252)=0,"",(BG207-MIN($BG$2:$BG$252))/(MAX($BG$2:$BG$252)-MIN($BG$2:$BG$252))*100))</x:f>
      </x:c>
      <x:c r="BI207">
        <x:f>IF(AC207="","",LOG10(AC207+1))</x:f>
      </x:c>
      <x:c r="BJ207" s="10">
        <x:f>IF(BI207="","",IF(MAX($BI$2:$BI$252)-MIN($BI$2:$BI$252)=0,"",(BI207-MIN($BI$2:$BI$252))/(MAX($BI$2:$BI$252)-MIN($BI$2:$BI$252))*100))</x:f>
      </x:c>
      <x:c r="BK207">
        <x:f>IF(AD207="","",(AD207*2)+(AE207*1))</x:f>
      </x:c>
      <x:c r="BL207" s="10">
        <x:f>IF(BK207="","",IF(MAX($BK$2:$BK$252)-MIN($BK$2:$BK$252)=0,"",(BK207-MIN($BK$2:$BK$252))/(MAX($BK$2:$BK$252)-MIN($BK$2:$BK$252))*100))</x:f>
      </x:c>
      <x:c r="BM207" s="10">
        <x:f>IF(AB207="","",IF(MAX($AB$2:$AB$252)-MIN($AB$2:$AB$252)=0,"",(AB207-MIN($AB$2:$AB$252))/(MAX($AB$2:$AB$252)-MIN($AB$2:$AB$252))*100))</x:f>
      </x:c>
      <x:c r="BN207" s="10">
        <x:f>IF(X207="","",X207)</x:f>
      </x:c>
      <x:c r="BO207" s="10">
        <x:f>IF(X207="","",100-X207)</x:f>
      </x:c>
      <x:c r="BP207" s="10">
        <x:f>IF((Weights!$C$2*IF(BH207="",0,1)+Weights!$C$3*IF(BJ207="",0,1)+Weights!$C$4*IF(BL207="",0,1))=0,"",(Weights!$C$2*IF(BH207="",0,BH207)+Weights!$C$3*IF(BJ207="",0,BJ207)+Weights!$C$4*IF(BL207="",0,BL207))/(Weights!$C$2*IF(BH207="",0,1)+Weights!$C$3*IF(BJ207="",0,1)+Weights!$C$4*IF(BL207="",0,1)))</x:f>
      </x:c>
      <x:c r="BQ207" s="10">
        <x:f>IF((Weights!$C$5*IF(BA207="",0,1)+Weights!$C$6*IF(AW207="",0,1)+Weights!$C$7*IF(AU207="",0,1))=0,"",(Weights!$C$5*IF(BA207="",0,BA207)+Weights!$C$6*IF(AW207="",0,AW207)+Weights!$C$7*IF(AU207="",0,AU207))/(Weights!$C$5*IF(BA207="",0,1)+Weights!$C$6*IF(AW207="",0,1)+Weights!$C$7*IF(AU207="",0,1)))</x:f>
      </x:c>
      <x:c r="BR207" s="10">
        <x:f>IF((Weights!$C$8*IF(AW207="",0,1)+Weights!$C$9*IF(BC207="",0,1)+Weights!$C$10*IF(BF207="",0,1))=0,"",(Weights!$C$8*IF(AW207="",0,AW207)+Weights!$C$9*IF(BC207="",0,BC207)+Weights!$C$10*IF(BF207="",0,BF207))/(Weights!$C$8*IF(AW207="",0,1)+Weights!$C$9*IF(BC207="",0,1)+Weights!$C$10*IF(BF207="",0,1)))</x:f>
      </x:c>
      <x:c r="BS207" s="10">
        <x:f>IF(Y207="","",Y207)</x:f>
      </x:c>
      <x:c r="BT207" s="10">
        <x:f>IF(AS207="","",AS207)</x:f>
      </x:c>
      <x:c r="BU207" s="10">
        <x:f>IF(AJ207&lt;&gt;"",(0.6*AJ207+0.4*AU207),IF((Weights!$C$11*IF(AU207="",0,1)+Weights!$C$12*IF(BM207="",0,1))=0,"",(Weights!$C$11*IF(AU207="",0,AU207)+Weights!$C$12*IF(BM207="",0,BM207))/(Weights!$C$11*IF(AU207="",0,1)+Weights!$C$12*IF(BM207="",0,1))))</x:f>
      </x:c>
      <x:c r="BV207" s="10">
        <x:f>IF(CG207="",0,CG207)</x:f>
      </x:c>
      <x:c r="BW207" s="10">
        <x:f>IF(AP207="","",AP207)</x:f>
      </x:c>
      <x:c r="BX207" s="10">
        <x:f>IF(AO207="","",AO207)</x:f>
      </x:c>
      <x:c r="BY207" s="10">
        <x:f>IF(AL207="","",AL207)</x:f>
      </x:c>
      <x:c r="BZ207" s="10">
        <x:f>IF(AM207="","",AM207)</x:f>
      </x:c>
      <x:c r="CA207" s="10">
        <x:f>IF(AK207&lt;&gt;"",AK207,AW207)</x:f>
      </x:c>
      <x:c r="CB207" s="10">
        <x:f>IF((Weights!$C$13*IF(BP207="",0,1)+Weights!$C$14*IF(BR207="",0,1)+Weights!$C$15*IF(BQ207="",0,1)+Weights!$C$16*IF(BS207="",0,1)+Weights!$C$17*IF(BU207="",0,1)+Weights!$C$18*IF(BT207="",0,1)+Weights!$C$19*IF(BW207="",0,1)+Weights!$C$20*IF(BZ207="",0,1)+Weights!$C$21*IF(BO207="",0,1)+Weights!$C$22)=0,"",(Weights!$C$13*IF(BP207="",0,BP207)+Weights!$C$14*IF(BR207="",0,BR207)+Weights!$C$15*IF(BQ207="",0,BQ207)+Weights!$C$16*IF(BS207="",0,BS207)+Weights!$C$17*IF(BU207="",0,BU207)+Weights!$C$18*IF(BT207="",0,BT207)+Weights!$C$19*IF(BW207="",0,BW207)+Weights!$C$20*IF(BZ207="",0,BZ207)+Weights!$C$21*IF(BO207="",0,BO207)+Weights!$C$22*BV207)/(Weights!$C$13*IF(BP207="",0,1)+Weights!$C$14*IF(BR207="",0,1)+Weights!$C$15*IF(BQ207="",0,1)+Weights!$C$16*IF(BS207="",0,1)+Weights!$C$17*IF(BU207="",0,1)+Weights!$C$18*IF(BT207="",0,1)+Weights!$C$19*IF(BW207="",0,1)+Weights!$C$20*IF(BZ207="",0,1)+Weights!$C$21*IF(BO207="",0,1)+Weights!$C$22))</x:f>
      </x:c>
      <x:c r="CC207" s="10">
        <x:f>IF((Weights!$C$23*IF(BQ207="",0,1)+Weights!$C$24*IF(BN207="",0,1)+Weights!$C$25*IF(BS207="",0,1)+Weights!$C$26*IF(BY207="",0,1)+Weights!$C$27*IF(BX207="",0,1)+Weights!$C$28*IF(BT207="",0,1)+Weights!$C$29*IF(CA207="",0,1)+Weights!$C$30+Weights!$C$31*IF(BU207="",0,1))=0,"",(Weights!$C$23*IF(BQ207="",0,BQ207)+Weights!$C$24*IF(BN207="",0,BN207)+Weights!$C$25*IF(BS207="",0,BS207)+Weights!$C$26*IF(BY207="",0,BY207)+Weights!$C$27*IF(BX207="",0,BX207)+Weights!$C$28*IF(BT207="",0,BT207)+Weights!$C$29*IF(CA207="",0,CA207)+Weights!$C$30*BV207+Weights!$C$31*IF(BU207="",0,BU207))/(Weights!$C$23*IF(BQ207="",0,1)+Weights!$C$24*IF(BN207="",0,1)+Weights!$C$25*IF(BS207="",0,1)+Weights!$C$26*IF(BY207="",0,1)+Weights!$C$27*IF(BX207="",0,1)+Weights!$C$28*IF(BT207="",0,1)+Weights!$C$29*IF(CA207="",0,1)+Weights!$C$30+Weights!$C$31*IF(BU207="",0,1)))</x:f>
      </x:c>
      <x:c r="CD207" s="10">
        <x:f>IF(AND(CB207="",CC207=""),"",IF(CB207="",CC207,IF(CC207="",CB207,AVERAGE(CB207,CC207))))</x:f>
      </x:c>
      <x:c r="CE207" s="7">
        <x:f>ROUND(100*((IF(BP207&lt;&gt;"",1,0)+IF(BQ207&lt;&gt;"",1,0)+IF(BR207&lt;&gt;"",1,0)+IF(BS207&lt;&gt;"",1,0)+IF(BU207&lt;&gt;"",1,0)+IF(BT207&lt;&gt;"",1,0)+IF(BN207&lt;&gt;"",1,0)+IF(AW207&lt;&gt;"",1,0))/8),0)</x:f>
      </x:c>
      <x:c r="CF207">
        <x:f>IF(V207="","",LOG10(V207+1))</x:f>
      </x:c>
      <x:c r="CG207">
        <x:f>IF(CF207="","",IF(MAX($CF$2:$CF$252)-MIN($CF$2:$CF$252)=0,"",(CF207-MIN($CF$2:$CF$252))/(MAX($CF$2:$CF$252)-MIN($CF$2:$CF$252))*100))</x:f>
      </x:c>
    </x:row>
    <x:row r="208">
      <x:c r="A208" t="inlineStr">
        <x:is>
          <x:t xml:space="preserve">RUS</x:t>
        </x:is>
      </x:c>
      <x:c r="B208" t="inlineStr">
        <x:is>
          <x:t xml:space="preserve">Russian Federation</x:t>
        </x:is>
      </x:c>
      <x:c r="C208" t="inlineStr">
        <x:is>
          <x:t xml:space="preserve">Europe &amp; Central Asia</x:t>
        </x:is>
      </x:c>
      <x:c r="D208" t="inlineStr">
        <x:is>
          <x:t xml:space="preserve">High income</x:t>
        </x:is>
      </x:c>
      <x:c r="E208" t="inlineStr">
        <x:is>
          <x:t xml:space="preserve">Europe</x:t>
        </x:is>
      </x:c>
      <x:c r="F208" t="n">
        <x:v>2024</x:v>
      </x:c>
      <x:c r="G208" t="n">
        <x:v>143533851</x:v>
      </x:c>
      <x:c r="H208" t="n">
        <x:v>2020</x:v>
      </x:c>
      <x:c r="I208" t="n">
        <x:v>1454000</x:v>
      </x:c>
      <x:c r="J208" t="n">
        <x:v>945100</x:v>
      </x:c>
      <x:c r="K208" t="n">
        <x:v>290800</x:v>
      </x:c>
      <x:c r="L208" t="n">
        <x:v>174480</x:v>
      </x:c>
      <x:c r="M208" t="n">
        <x:v>2024</x:v>
      </x:c>
      <x:c r="N208" s="8" t="n">
        <x:v>148967275140.483</x:v>
      </x:c>
      <x:c r="O208" s="9" t="n">
        <x:v>7.05233864500366</x:v>
      </x:c>
      <x:c r="P208" s="8" t="n">
        <x:v>102453.4216922166</x:v>
      </x:c>
      <x:c r="Q208" t="n">
        <x:v>2024</x:v>
      </x:c>
      <x:c r="R208" s="8" t="n">
        <x:v>2173835806671.66</x:v>
      </x:c>
      <x:c r="S208" t="n">
        <x:v>182</x:v>
      </x:c>
      <x:c r="T208" t="n">
        <x:v>110</x:v>
      </x:c>
      <x:c r="U208" t="inlineStr">
        <x:is>
          <x:t xml:space="preserve">Yes</x:t>
        </x:is>
      </x:c>
      <x:c r="V208" t="n">
        <x:v>5487</x:v>
      </x:c>
      <x:c r="W208" t="inlineStr">
        <x:is>
          <x:t xml:space="preserve">Yes</x:t>
        </x:is>
      </x:c>
      <x:c r="X208" t="n">
        <x:v>77.62144154378824</x:v>
      </x:c>
      <x:c r="Y208" t="n">
        <x:v>55.6812499434453</x:v>
      </x:c>
      <x:c r="Z208" t="n">
        <x:v>17018507.40946657</x:v>
      </x:c>
      <x:c r="AA208" t="n">
        <x:v>8.358989162637672</x:v>
      </x:c>
      <x:c r="AB208" s="8" t="n">
        <x:v>26325.49777562197</x:v>
      </x:c>
      <x:c r="AC208" t="n">
        <x:v>781</x:v>
      </x:c>
      <x:c r="AD208" t="n">
        <x:v>1</x:v>
      </x:c>
      <x:c r="AE208" t="n">
        <x:v>0</x:v>
      </x:c>
      <x:c r="AF208" t="n">
        <x:v>242.3</x:v>
      </x:c>
      <x:c r="AG208" t="n">
        <x:v>283</x:v>
      </x:c>
      <x:c r="AH208" t="n">
        <x:v>3</x:v>
      </x:c>
      <x:c r="AI208" t="n">
        <x:v>32.1</x:v>
      </x:c>
      <x:c r="AJ208" t="n">
        <x:v>13.3</x:v>
      </x:c>
      <x:c r="AK208" t="n">
        <x:v>55.4</x:v>
      </x:c>
      <x:c r="AL208" t="n">
        <x:v>69.59999999999999</x:v>
      </x:c>
      <x:c r="AM208" t="n">
        <x:v>21.3</x:v>
      </x:c>
      <x:c r="AN208" t="n">
        <x:v>8.300000000000001</x:v>
      </x:c>
      <x:c r="AO208" t="n">
        <x:v>23.1</x:v>
      </x:c>
      <x:c r="AP208" t="n">
        <x:v>57.7</x:v>
      </x:c>
      <x:c r="AQ208" t="n">
        <x:v>16.9</x:v>
      </x:c>
      <x:c r="AR208">
        <x:f>IF(G208="","",LOG10(G208+1))</x:f>
      </x:c>
      <x:c r="AS208" s="10">
        <x:f>IF(AR208="","",IF(MAX($AR$2:$AR$252)-MIN($AR$2:$AR$252)=0,"",(AR208-MIN($AR$2:$AR$252))/(MAX($AR$2:$AR$252)-MIN($AR$2:$AR$252))*100))</x:f>
      </x:c>
      <x:c r="AT208">
        <x:f>IF(R208="","",LOG10(R208+1))</x:f>
      </x:c>
      <x:c r="AU208" s="10">
        <x:f>IF(AT208="","",IF(MAX($AT$2:$AT$252)-MIN($AT$2:$AT$252)=0,"",(AT208-MIN($AT$2:$AT$252))/(MAX($AT$2:$AT$252)-MIN($AT$2:$AT$252))*100))</x:f>
      </x:c>
      <x:c r="AV208">
        <x:f>IF(N208="","",LOG10(N208+1))</x:f>
      </x:c>
      <x:c r="AW208" s="10">
        <x:f>IF(AV208="","",IF(MAX($AV$2:$AV$252)-MIN($AV$2:$AV$252)=0,"",(AV208-MIN($AV$2:$AV$252))/(MAX($AV$2:$AV$252)-MIN($AV$2:$AV$252))*100))</x:f>
      </x:c>
      <x:c r="AX208">
        <x:f>IF(I208="","",LOG10(I208+1))</x:f>
      </x:c>
      <x:c r="AY208" s="10">
        <x:f>IF(AX208="","",IF(MAX($AX$2:$AX$252)-MIN($AX$2:$AX$252)=0,"",(AX208-MIN($AX$2:$AX$252))/(MAX($AX$2:$AX$252)-MIN($AX$2:$AX$252))*100))</x:f>
      </x:c>
      <x:c r="AZ208">
        <x:f>IF(J208="","",LOG10(J208+1))</x:f>
      </x:c>
      <x:c r="BA208" s="10">
        <x:f>IF(AZ208="","",IF(MAX($AZ$2:$AZ$252)-MIN($AZ$2:$AZ$252)=0,"",(AZ208-MIN($AZ$2:$AZ$252))/(MAX($AZ$2:$AZ$252)-MIN($AZ$2:$AZ$252))*100))</x:f>
      </x:c>
      <x:c r="BB208">
        <x:f>IF(K208="","",LOG10(K208+1))</x:f>
      </x:c>
      <x:c r="BC208" s="10">
        <x:f>IF(BB208="","",IF(MAX($BB$2:$BB$252)-MIN($BB$2:$BB$252)=0,"",(BB208-MIN($BB$2:$BB$252))/(MAX($BB$2:$BB$252)-MIN($BB$2:$BB$252))*100))</x:f>
      </x:c>
      <x:c r="BD208">
        <x:f>IF(L208="","",LOG10(L208+1))</x:f>
      </x:c>
      <x:c r="BE208" s="10">
        <x:f>IF(BD208="","",IF(MAX($BD$2:$BD$252)-MIN($BD$2:$BD$252)=0,"",(BD208-MIN($BD$2:$BD$252))/(MAX($BD$2:$BD$252)-MIN($BD$2:$BD$252))*100))</x:f>
      </x:c>
      <x:c r="BF208" s="10">
        <x:f>IF(P208="","",IF(MAX($P$2:$P$252)-MIN($P$2:$P$252)=0,"",(P208-MIN($P$2:$P$252))/(MAX($P$2:$P$252)-MIN($P$2:$P$252))*100))</x:f>
      </x:c>
      <x:c r="BG208">
        <x:f>IF(AF208="","",LOG10(AF208+1))</x:f>
      </x:c>
      <x:c r="BH208" s="10">
        <x:f>IF(BG208="","",IF(MAX($BG$2:$BG$252)-MIN($BG$2:$BG$252)=0,"",(BG208-MIN($BG$2:$BG$252))/(MAX($BG$2:$BG$252)-MIN($BG$2:$BG$252))*100))</x:f>
      </x:c>
      <x:c r="BI208">
        <x:f>IF(AC208="","",LOG10(AC208+1))</x:f>
      </x:c>
      <x:c r="BJ208" s="10">
        <x:f>IF(BI208="","",IF(MAX($BI$2:$BI$252)-MIN($BI$2:$BI$252)=0,"",(BI208-MIN($BI$2:$BI$252))/(MAX($BI$2:$BI$252)-MIN($BI$2:$BI$252))*100))</x:f>
      </x:c>
      <x:c r="BK208">
        <x:f>IF(AD208="","",(AD208*2)+(AE208*1))</x:f>
      </x:c>
      <x:c r="BL208" s="10">
        <x:f>IF(BK208="","",IF(MAX($BK$2:$BK$252)-MIN($BK$2:$BK$252)=0,"",(BK208-MIN($BK$2:$BK$252))/(MAX($BK$2:$BK$252)-MIN($BK$2:$BK$252))*100))</x:f>
      </x:c>
      <x:c r="BM208" s="10">
        <x:f>IF(AB208="","",IF(MAX($AB$2:$AB$252)-MIN($AB$2:$AB$252)=0,"",(AB208-MIN($AB$2:$AB$252))/(MAX($AB$2:$AB$252)-MIN($AB$2:$AB$252))*100))</x:f>
      </x:c>
      <x:c r="BN208" s="10">
        <x:f>IF(X208="","",X208)</x:f>
      </x:c>
      <x:c r="BO208" s="10">
        <x:f>IF(X208="","",100-X208)</x:f>
      </x:c>
      <x:c r="BP208" s="10">
        <x:f>IF((Weights!$C$2*IF(BH208="",0,1)+Weights!$C$3*IF(BJ208="",0,1)+Weights!$C$4*IF(BL208="",0,1))=0,"",(Weights!$C$2*IF(BH208="",0,BH208)+Weights!$C$3*IF(BJ208="",0,BJ208)+Weights!$C$4*IF(BL208="",0,BL208))/(Weights!$C$2*IF(BH208="",0,1)+Weights!$C$3*IF(BJ208="",0,1)+Weights!$C$4*IF(BL208="",0,1)))</x:f>
      </x:c>
      <x:c r="BQ208" s="10">
        <x:f>IF((Weights!$C$5*IF(BA208="",0,1)+Weights!$C$6*IF(AW208="",0,1)+Weights!$C$7*IF(AU208="",0,1))=0,"",(Weights!$C$5*IF(BA208="",0,BA208)+Weights!$C$6*IF(AW208="",0,AW208)+Weights!$C$7*IF(AU208="",0,AU208))/(Weights!$C$5*IF(BA208="",0,1)+Weights!$C$6*IF(AW208="",0,1)+Weights!$C$7*IF(AU208="",0,1)))</x:f>
      </x:c>
      <x:c r="BR208" s="10">
        <x:f>IF((Weights!$C$8*IF(AW208="",0,1)+Weights!$C$9*IF(BC208="",0,1)+Weights!$C$10*IF(BF208="",0,1))=0,"",(Weights!$C$8*IF(AW208="",0,AW208)+Weights!$C$9*IF(BC208="",0,BC208)+Weights!$C$10*IF(BF208="",0,BF208))/(Weights!$C$8*IF(AW208="",0,1)+Weights!$C$9*IF(BC208="",0,1)+Weights!$C$10*IF(BF208="",0,1)))</x:f>
      </x:c>
      <x:c r="BS208" s="10">
        <x:f>IF(Y208="","",Y208)</x:f>
      </x:c>
      <x:c r="BT208" s="10">
        <x:f>IF(AS208="","",AS208)</x:f>
      </x:c>
      <x:c r="BU208" s="10">
        <x:f>IF(AJ208&lt;&gt;"",(0.6*AJ208+0.4*AU208),IF((Weights!$C$11*IF(AU208="",0,1)+Weights!$C$12*IF(BM208="",0,1))=0,"",(Weights!$C$11*IF(AU208="",0,AU208)+Weights!$C$12*IF(BM208="",0,BM208))/(Weights!$C$11*IF(AU208="",0,1)+Weights!$C$12*IF(BM208="",0,1))))</x:f>
      </x:c>
      <x:c r="BV208" s="10">
        <x:f>IF(CG208="",0,CG208)</x:f>
      </x:c>
      <x:c r="BW208" s="10">
        <x:f>IF(AP208="","",AP208)</x:f>
      </x:c>
      <x:c r="BX208" s="10">
        <x:f>IF(AO208="","",AO208)</x:f>
      </x:c>
      <x:c r="BY208" s="10">
        <x:f>IF(AL208="","",AL208)</x:f>
      </x:c>
      <x:c r="BZ208" s="10">
        <x:f>IF(AM208="","",AM208)</x:f>
      </x:c>
      <x:c r="CA208" s="10">
        <x:f>IF(AK208&lt;&gt;"",AK208,AW208)</x:f>
      </x:c>
      <x:c r="CB208" s="10">
        <x:f>IF((Weights!$C$13*IF(BP208="",0,1)+Weights!$C$14*IF(BR208="",0,1)+Weights!$C$15*IF(BQ208="",0,1)+Weights!$C$16*IF(BS208="",0,1)+Weights!$C$17*IF(BU208="",0,1)+Weights!$C$18*IF(BT208="",0,1)+Weights!$C$19*IF(BW208="",0,1)+Weights!$C$20*IF(BZ208="",0,1)+Weights!$C$21*IF(BO208="",0,1)+Weights!$C$22)=0,"",(Weights!$C$13*IF(BP208="",0,BP208)+Weights!$C$14*IF(BR208="",0,BR208)+Weights!$C$15*IF(BQ208="",0,BQ208)+Weights!$C$16*IF(BS208="",0,BS208)+Weights!$C$17*IF(BU208="",0,BU208)+Weights!$C$18*IF(BT208="",0,BT208)+Weights!$C$19*IF(BW208="",0,BW208)+Weights!$C$20*IF(BZ208="",0,BZ208)+Weights!$C$21*IF(BO208="",0,BO208)+Weights!$C$22*BV208)/(Weights!$C$13*IF(BP208="",0,1)+Weights!$C$14*IF(BR208="",0,1)+Weights!$C$15*IF(BQ208="",0,1)+Weights!$C$16*IF(BS208="",0,1)+Weights!$C$17*IF(BU208="",0,1)+Weights!$C$18*IF(BT208="",0,1)+Weights!$C$19*IF(BW208="",0,1)+Weights!$C$20*IF(BZ208="",0,1)+Weights!$C$21*IF(BO208="",0,1)+Weights!$C$22))</x:f>
      </x:c>
      <x:c r="CC208" s="10">
        <x:f>IF((Weights!$C$23*IF(BQ208="",0,1)+Weights!$C$24*IF(BN208="",0,1)+Weights!$C$25*IF(BS208="",0,1)+Weights!$C$26*IF(BY208="",0,1)+Weights!$C$27*IF(BX208="",0,1)+Weights!$C$28*IF(BT208="",0,1)+Weights!$C$29*IF(CA208="",0,1)+Weights!$C$30+Weights!$C$31*IF(BU208="",0,1))=0,"",(Weights!$C$23*IF(BQ208="",0,BQ208)+Weights!$C$24*IF(BN208="",0,BN208)+Weights!$C$25*IF(BS208="",0,BS208)+Weights!$C$26*IF(BY208="",0,BY208)+Weights!$C$27*IF(BX208="",0,BX208)+Weights!$C$28*IF(BT208="",0,BT208)+Weights!$C$29*IF(CA208="",0,CA208)+Weights!$C$30*BV208+Weights!$C$31*IF(BU208="",0,BU208))/(Weights!$C$23*IF(BQ208="",0,1)+Weights!$C$24*IF(BN208="",0,1)+Weights!$C$25*IF(BS208="",0,1)+Weights!$C$26*IF(BY208="",0,1)+Weights!$C$27*IF(BX208="",0,1)+Weights!$C$28*IF(BT208="",0,1)+Weights!$C$29*IF(CA208="",0,1)+Weights!$C$30+Weights!$C$31*IF(BU208="",0,1)))</x:f>
      </x:c>
      <x:c r="CD208" s="10">
        <x:f>IF(AND(CB208="",CC208=""),"",IF(CB208="",CC208,IF(CC208="",CB208,AVERAGE(CB208,CC208))))</x:f>
      </x:c>
      <x:c r="CE208" s="7">
        <x:f>ROUND(100*((IF(BP208&lt;&gt;"",1,0)+IF(BQ208&lt;&gt;"",1,0)+IF(BR208&lt;&gt;"",1,0)+IF(BS208&lt;&gt;"",1,0)+IF(BU208&lt;&gt;"",1,0)+IF(BT208&lt;&gt;"",1,0)+IF(BN208&lt;&gt;"",1,0)+IF(AW208&lt;&gt;"",1,0))/8),0)</x:f>
      </x:c>
      <x:c r="CF208">
        <x:f>IF(V208="","",LOG10(V208+1))</x:f>
      </x:c>
      <x:c r="CG208">
        <x:f>IF(CF208="","",IF(MAX($CF$2:$CF$252)-MIN($CF$2:$CF$252)=0,"",(CF208-MIN($CF$2:$CF$252))/(MAX($CF$2:$CF$252)-MIN($CF$2:$CF$252))*100))</x:f>
      </x:c>
    </x:row>
    <x:row r="209">
      <x:c r="A209" t="inlineStr">
        <x:is>
          <x:t xml:space="preserve">RWA</x:t>
        </x:is>
      </x:c>
      <x:c r="B209" t="inlineStr">
        <x:is>
          <x:t xml:space="preserve">Rwanda</x:t>
        </x:is>
      </x:c>
      <x:c r="C209" t="inlineStr">
        <x:is>
          <x:t xml:space="preserve">Sub-Saharan Africa</x:t>
        </x:is>
      </x:c>
      <x:c r="D209" t="inlineStr">
        <x:is>
          <x:t xml:space="preserve">Low income</x:t>
        </x:is>
      </x:c>
      <x:c r="E209" t="inlineStr">
        <x:is>
          <x:t xml:space="preserve">Africa</x:t>
        </x:is>
      </x:c>
      <x:c r="F209" t="n">
        <x:v>2024</x:v>
      </x:c>
      <x:c r="G209" t="n">
        <x:v>14256567</x:v>
      </x:c>
      <x:c r="H209" t="n">
        <x:v>2020</x:v>
      </x:c>
      <x:c r="I209" t="n">
        <x:v>35000</x:v>
      </x:c>
      <x:c r="J209" t="n">
        <x:v>22750</x:v>
      </x:c>
      <x:c r="K209" t="n">
        <x:v>7000</x:v>
      </x:c>
      <x:c r="L209" t="n">
        <x:v>4200</x:v>
      </x:c>
      <x:c r="M209" t="n">
        <x:v>2024</x:v>
      </x:c>
      <x:c r="N209" s="8" t="n">
        <x:v>175924380.585353</x:v>
      </x:c>
      <x:c r="O209" s="9" t="n">
        <x:v>1.24772078121775</x:v>
      </x:c>
      <x:c r="P209" s="8" t="n">
        <x:v>5026.410873867228</x:v>
      </x:c>
      <x:c r="Q209" t="n">
        <x:v>2024</x:v>
      </x:c>
      <x:c r="R209" s="8" t="n">
        <x:v>14251642235.0968</x:v>
      </x:c>
      <x:c r="S209" t="n">
        <x:v>0</x:v>
      </x:c>
      <x:c r="T209" t="n">
        <x:v>0</x:v>
      </x:c>
      <x:c r="U209" t="inlineStr">
        <x:is>
          <x:t xml:space="preserve">No</x:t>
        </x:is>
      </x:c>
      <x:c r="W209" t="inlineStr">
        <x:is>
          <x:t xml:space="preserve">No</x:t>
        </x:is>
      </x:c>
      <x:c r="X209" t="n">
        <x:v>7.720847327123817</x:v>
      </x:c>
      <x:c r="Y209" t="n">
        <x:v>41.86117771050998</x:v>
      </x:c>
      <x:c r="Z209" t="n">
        <x:v>23365.41119277817</x:v>
      </x:c>
      <x:c r="AA209" t="n">
        <x:v>509.3633448949759</x:v>
      </x:c>
      <x:c r="AB209" s="8" t="n">
        <x:v>1845.988281797463</x:v>
      </x:c>
      <x:c r="AR209">
        <x:f>IF(G209="","",LOG10(G209+1))</x:f>
      </x:c>
      <x:c r="AS209" s="10">
        <x:f>IF(AR209="","",IF(MAX($AR$2:$AR$252)-MIN($AR$2:$AR$252)=0,"",(AR209-MIN($AR$2:$AR$252))/(MAX($AR$2:$AR$252)-MIN($AR$2:$AR$252))*100))</x:f>
      </x:c>
      <x:c r="AT209">
        <x:f>IF(R209="","",LOG10(R209+1))</x:f>
      </x:c>
      <x:c r="AU209" s="10">
        <x:f>IF(AT209="","",IF(MAX($AT$2:$AT$252)-MIN($AT$2:$AT$252)=0,"",(AT209-MIN($AT$2:$AT$252))/(MAX($AT$2:$AT$252)-MIN($AT$2:$AT$252))*100))</x:f>
      </x:c>
      <x:c r="AV209">
        <x:f>IF(N209="","",LOG10(N209+1))</x:f>
      </x:c>
      <x:c r="AW209" s="10">
        <x:f>IF(AV209="","",IF(MAX($AV$2:$AV$252)-MIN($AV$2:$AV$252)=0,"",(AV209-MIN($AV$2:$AV$252))/(MAX($AV$2:$AV$252)-MIN($AV$2:$AV$252))*100))</x:f>
      </x:c>
      <x:c r="AX209">
        <x:f>IF(I209="","",LOG10(I209+1))</x:f>
      </x:c>
      <x:c r="AY209" s="10">
        <x:f>IF(AX209="","",IF(MAX($AX$2:$AX$252)-MIN($AX$2:$AX$252)=0,"",(AX209-MIN($AX$2:$AX$252))/(MAX($AX$2:$AX$252)-MIN($AX$2:$AX$252))*100))</x:f>
      </x:c>
      <x:c r="AZ209">
        <x:f>IF(J209="","",LOG10(J209+1))</x:f>
      </x:c>
      <x:c r="BA209" s="10">
        <x:f>IF(AZ209="","",IF(MAX($AZ$2:$AZ$252)-MIN($AZ$2:$AZ$252)=0,"",(AZ209-MIN($AZ$2:$AZ$252))/(MAX($AZ$2:$AZ$252)-MIN($AZ$2:$AZ$252))*100))</x:f>
      </x:c>
      <x:c r="BB209">
        <x:f>IF(K209="","",LOG10(K209+1))</x:f>
      </x:c>
      <x:c r="BC209" s="10">
        <x:f>IF(BB209="","",IF(MAX($BB$2:$BB$252)-MIN($BB$2:$BB$252)=0,"",(BB209-MIN($BB$2:$BB$252))/(MAX($BB$2:$BB$252)-MIN($BB$2:$BB$252))*100))</x:f>
      </x:c>
      <x:c r="BD209">
        <x:f>IF(L209="","",LOG10(L209+1))</x:f>
      </x:c>
      <x:c r="BE209" s="10">
        <x:f>IF(BD209="","",IF(MAX($BD$2:$BD$252)-MIN($BD$2:$BD$252)=0,"",(BD209-MIN($BD$2:$BD$252))/(MAX($BD$2:$BD$252)-MIN($BD$2:$BD$252))*100))</x:f>
      </x:c>
      <x:c r="BF209" s="10">
        <x:f>IF(P209="","",IF(MAX($P$2:$P$252)-MIN($P$2:$P$252)=0,"",(P209-MIN($P$2:$P$252))/(MAX($P$2:$P$252)-MIN($P$2:$P$252))*100))</x:f>
      </x:c>
      <x:c r="BG209">
        <x:f>IF(AF209="","",LOG10(AF209+1))</x:f>
      </x:c>
      <x:c r="BH209" s="10">
        <x:f>IF(BG209="","",IF(MAX($BG$2:$BG$252)-MIN($BG$2:$BG$252)=0,"",(BG209-MIN($BG$2:$BG$252))/(MAX($BG$2:$BG$252)-MIN($BG$2:$BG$252))*100))</x:f>
      </x:c>
      <x:c r="BI209">
        <x:f>IF(AC209="","",LOG10(AC209+1))</x:f>
      </x:c>
      <x:c r="BJ209" s="10">
        <x:f>IF(BI209="","",IF(MAX($BI$2:$BI$252)-MIN($BI$2:$BI$252)=0,"",(BI209-MIN($BI$2:$BI$252))/(MAX($BI$2:$BI$252)-MIN($BI$2:$BI$252))*100))</x:f>
      </x:c>
      <x:c r="BK209">
        <x:f>IF(AD209="","",(AD209*2)+(AE209*1))</x:f>
      </x:c>
      <x:c r="BL209" s="10">
        <x:f>IF(BK209="","",IF(MAX($BK$2:$BK$252)-MIN($BK$2:$BK$252)=0,"",(BK209-MIN($BK$2:$BK$252))/(MAX($BK$2:$BK$252)-MIN($BK$2:$BK$252))*100))</x:f>
      </x:c>
      <x:c r="BM209" s="10">
        <x:f>IF(AB209="","",IF(MAX($AB$2:$AB$252)-MIN($AB$2:$AB$252)=0,"",(AB209-MIN($AB$2:$AB$252))/(MAX($AB$2:$AB$252)-MIN($AB$2:$AB$252))*100))</x:f>
      </x:c>
      <x:c r="BN209" s="10">
        <x:f>IF(X209="","",X209)</x:f>
      </x:c>
      <x:c r="BO209" s="10">
        <x:f>IF(X209="","",100-X209)</x:f>
      </x:c>
      <x:c r="BP209" s="10">
        <x:f>IF((Weights!$C$2*IF(BH209="",0,1)+Weights!$C$3*IF(BJ209="",0,1)+Weights!$C$4*IF(BL209="",0,1))=0,"",(Weights!$C$2*IF(BH209="",0,BH209)+Weights!$C$3*IF(BJ209="",0,BJ209)+Weights!$C$4*IF(BL209="",0,BL209))/(Weights!$C$2*IF(BH209="",0,1)+Weights!$C$3*IF(BJ209="",0,1)+Weights!$C$4*IF(BL209="",0,1)))</x:f>
      </x:c>
      <x:c r="BQ209" s="10">
        <x:f>IF((Weights!$C$5*IF(BA209="",0,1)+Weights!$C$6*IF(AW209="",0,1)+Weights!$C$7*IF(AU209="",0,1))=0,"",(Weights!$C$5*IF(BA209="",0,BA209)+Weights!$C$6*IF(AW209="",0,AW209)+Weights!$C$7*IF(AU209="",0,AU209))/(Weights!$C$5*IF(BA209="",0,1)+Weights!$C$6*IF(AW209="",0,1)+Weights!$C$7*IF(AU209="",0,1)))</x:f>
      </x:c>
      <x:c r="BR209" s="10">
        <x:f>IF((Weights!$C$8*IF(AW209="",0,1)+Weights!$C$9*IF(BC209="",0,1)+Weights!$C$10*IF(BF209="",0,1))=0,"",(Weights!$C$8*IF(AW209="",0,AW209)+Weights!$C$9*IF(BC209="",0,BC209)+Weights!$C$10*IF(BF209="",0,BF209))/(Weights!$C$8*IF(AW209="",0,1)+Weights!$C$9*IF(BC209="",0,1)+Weights!$C$10*IF(BF209="",0,1)))</x:f>
      </x:c>
      <x:c r="BS209" s="10">
        <x:f>IF(Y209="","",Y209)</x:f>
      </x:c>
      <x:c r="BT209" s="10">
        <x:f>IF(AS209="","",AS209)</x:f>
      </x:c>
      <x:c r="BU209" s="10">
        <x:f>IF(AJ209&lt;&gt;"",(0.6*AJ209+0.4*AU209),IF((Weights!$C$11*IF(AU209="",0,1)+Weights!$C$12*IF(BM209="",0,1))=0,"",(Weights!$C$11*IF(AU209="",0,AU209)+Weights!$C$12*IF(BM209="",0,BM209))/(Weights!$C$11*IF(AU209="",0,1)+Weights!$C$12*IF(BM209="",0,1))))</x:f>
      </x:c>
      <x:c r="BV209" s="10">
        <x:f>IF(CG209="",0,CG209)</x:f>
      </x:c>
      <x:c r="BW209" s="10">
        <x:f>IF(AP209="","",AP209)</x:f>
      </x:c>
      <x:c r="BX209" s="10">
        <x:f>IF(AO209="","",AO209)</x:f>
      </x:c>
      <x:c r="BY209" s="10">
        <x:f>IF(AL209="","",AL209)</x:f>
      </x:c>
      <x:c r="BZ209" s="10">
        <x:f>IF(AM209="","",AM209)</x:f>
      </x:c>
      <x:c r="CA209" s="10">
        <x:f>IF(AK209&lt;&gt;"",AK209,AW209)</x:f>
      </x:c>
      <x:c r="CB209" s="10">
        <x:f>IF((Weights!$C$13*IF(BP209="",0,1)+Weights!$C$14*IF(BR209="",0,1)+Weights!$C$15*IF(BQ209="",0,1)+Weights!$C$16*IF(BS209="",0,1)+Weights!$C$17*IF(BU209="",0,1)+Weights!$C$18*IF(BT209="",0,1)+Weights!$C$19*IF(BW209="",0,1)+Weights!$C$20*IF(BZ209="",0,1)+Weights!$C$21*IF(BO209="",0,1)+Weights!$C$22)=0,"",(Weights!$C$13*IF(BP209="",0,BP209)+Weights!$C$14*IF(BR209="",0,BR209)+Weights!$C$15*IF(BQ209="",0,BQ209)+Weights!$C$16*IF(BS209="",0,BS209)+Weights!$C$17*IF(BU209="",0,BU209)+Weights!$C$18*IF(BT209="",0,BT209)+Weights!$C$19*IF(BW209="",0,BW209)+Weights!$C$20*IF(BZ209="",0,BZ209)+Weights!$C$21*IF(BO209="",0,BO209)+Weights!$C$22*BV209)/(Weights!$C$13*IF(BP209="",0,1)+Weights!$C$14*IF(BR209="",0,1)+Weights!$C$15*IF(BQ209="",0,1)+Weights!$C$16*IF(BS209="",0,1)+Weights!$C$17*IF(BU209="",0,1)+Weights!$C$18*IF(BT209="",0,1)+Weights!$C$19*IF(BW209="",0,1)+Weights!$C$20*IF(BZ209="",0,1)+Weights!$C$21*IF(BO209="",0,1)+Weights!$C$22))</x:f>
      </x:c>
      <x:c r="CC209" s="10">
        <x:f>IF((Weights!$C$23*IF(BQ209="",0,1)+Weights!$C$24*IF(BN209="",0,1)+Weights!$C$25*IF(BS209="",0,1)+Weights!$C$26*IF(BY209="",0,1)+Weights!$C$27*IF(BX209="",0,1)+Weights!$C$28*IF(BT209="",0,1)+Weights!$C$29*IF(CA209="",0,1)+Weights!$C$30+Weights!$C$31*IF(BU209="",0,1))=0,"",(Weights!$C$23*IF(BQ209="",0,BQ209)+Weights!$C$24*IF(BN209="",0,BN209)+Weights!$C$25*IF(BS209="",0,BS209)+Weights!$C$26*IF(BY209="",0,BY209)+Weights!$C$27*IF(BX209="",0,BX209)+Weights!$C$28*IF(BT209="",0,BT209)+Weights!$C$29*IF(CA209="",0,CA209)+Weights!$C$30*BV209+Weights!$C$31*IF(BU209="",0,BU209))/(Weights!$C$23*IF(BQ209="",0,1)+Weights!$C$24*IF(BN209="",0,1)+Weights!$C$25*IF(BS209="",0,1)+Weights!$C$26*IF(BY209="",0,1)+Weights!$C$27*IF(BX209="",0,1)+Weights!$C$28*IF(BT209="",0,1)+Weights!$C$29*IF(CA209="",0,1)+Weights!$C$30+Weights!$C$31*IF(BU209="",0,1)))</x:f>
      </x:c>
      <x:c r="CD209" s="10">
        <x:f>IF(AND(CB209="",CC209=""),"",IF(CB209="",CC209,IF(CC209="",CB209,AVERAGE(CB209,CC209))))</x:f>
      </x:c>
      <x:c r="CE209" s="7">
        <x:f>ROUND(100*((IF(BP209&lt;&gt;"",1,0)+IF(BQ209&lt;&gt;"",1,0)+IF(BR209&lt;&gt;"",1,0)+IF(BS209&lt;&gt;"",1,0)+IF(BU209&lt;&gt;"",1,0)+IF(BT209&lt;&gt;"",1,0)+IF(BN209&lt;&gt;"",1,0)+IF(AW209&lt;&gt;"",1,0))/8),0)</x:f>
      </x:c>
      <x:c r="CF209">
        <x:f>IF(V209="","",LOG10(V209+1))</x:f>
      </x:c>
      <x:c r="CG209">
        <x:f>IF(CF209="","",IF(MAX($CF$2:$CF$252)-MIN($CF$2:$CF$252)=0,"",(CF209-MIN($CF$2:$CF$252))/(MAX($CF$2:$CF$252)-MIN($CF$2:$CF$252))*100))</x:f>
      </x:c>
    </x:row>
    <x:row r="210">
      <x:c r="A210" t="inlineStr">
        <x:is>
          <x:t xml:space="preserve">REU</x:t>
        </x:is>
      </x:c>
      <x:c r="B210" t="inlineStr">
        <x:is>
          <x:t xml:space="preserve">Réunion</x:t>
        </x:is>
      </x:c>
      <x:c r="N210" s="8" t="n"/>
      <x:c r="O210" s="9" t="n"/>
      <x:c r="P210" s="8" t="n"/>
      <x:c r="R210" s="8" t="n"/>
      <x:c r="AB210" s="8" t="n"/>
      <x:c r="AR210">
        <x:f>IF(G210="","",LOG10(G210+1))</x:f>
      </x:c>
      <x:c r="AS210" s="10">
        <x:f>IF(AR210="","",IF(MAX($AR$2:$AR$252)-MIN($AR$2:$AR$252)=0,"",(AR210-MIN($AR$2:$AR$252))/(MAX($AR$2:$AR$252)-MIN($AR$2:$AR$252))*100))</x:f>
      </x:c>
      <x:c r="AT210">
        <x:f>IF(R210="","",LOG10(R210+1))</x:f>
      </x:c>
      <x:c r="AU210" s="10">
        <x:f>IF(AT210="","",IF(MAX($AT$2:$AT$252)-MIN($AT$2:$AT$252)=0,"",(AT210-MIN($AT$2:$AT$252))/(MAX($AT$2:$AT$252)-MIN($AT$2:$AT$252))*100))</x:f>
      </x:c>
      <x:c r="AV210">
        <x:f>IF(N210="","",LOG10(N210+1))</x:f>
      </x:c>
      <x:c r="AW210" s="10">
        <x:f>IF(AV210="","",IF(MAX($AV$2:$AV$252)-MIN($AV$2:$AV$252)=0,"",(AV210-MIN($AV$2:$AV$252))/(MAX($AV$2:$AV$252)-MIN($AV$2:$AV$252))*100))</x:f>
      </x:c>
      <x:c r="AX210">
        <x:f>IF(I210="","",LOG10(I210+1))</x:f>
      </x:c>
      <x:c r="AY210" s="10">
        <x:f>IF(AX210="","",IF(MAX($AX$2:$AX$252)-MIN($AX$2:$AX$252)=0,"",(AX210-MIN($AX$2:$AX$252))/(MAX($AX$2:$AX$252)-MIN($AX$2:$AX$252))*100))</x:f>
      </x:c>
      <x:c r="AZ210">
        <x:f>IF(J210="","",LOG10(J210+1))</x:f>
      </x:c>
      <x:c r="BA210" s="10">
        <x:f>IF(AZ210="","",IF(MAX($AZ$2:$AZ$252)-MIN($AZ$2:$AZ$252)=0,"",(AZ210-MIN($AZ$2:$AZ$252))/(MAX($AZ$2:$AZ$252)-MIN($AZ$2:$AZ$252))*100))</x:f>
      </x:c>
      <x:c r="BB210">
        <x:f>IF(K210="","",LOG10(K210+1))</x:f>
      </x:c>
      <x:c r="BC210" s="10">
        <x:f>IF(BB210="","",IF(MAX($BB$2:$BB$252)-MIN($BB$2:$BB$252)=0,"",(BB210-MIN($BB$2:$BB$252))/(MAX($BB$2:$BB$252)-MIN($BB$2:$BB$252))*100))</x:f>
      </x:c>
      <x:c r="BD210">
        <x:f>IF(L210="","",LOG10(L210+1))</x:f>
      </x:c>
      <x:c r="BE210" s="10">
        <x:f>IF(BD210="","",IF(MAX($BD$2:$BD$252)-MIN($BD$2:$BD$252)=0,"",(BD210-MIN($BD$2:$BD$252))/(MAX($BD$2:$BD$252)-MIN($BD$2:$BD$252))*100))</x:f>
      </x:c>
      <x:c r="BF210" s="10">
        <x:f>IF(P210="","",IF(MAX($P$2:$P$252)-MIN($P$2:$P$252)=0,"",(P210-MIN($P$2:$P$252))/(MAX($P$2:$P$252)-MIN($P$2:$P$252))*100))</x:f>
      </x:c>
      <x:c r="BG210">
        <x:f>IF(AF210="","",LOG10(AF210+1))</x:f>
      </x:c>
      <x:c r="BH210" s="10">
        <x:f>IF(BG210="","",IF(MAX($BG$2:$BG$252)-MIN($BG$2:$BG$252)=0,"",(BG210-MIN($BG$2:$BG$252))/(MAX($BG$2:$BG$252)-MIN($BG$2:$BG$252))*100))</x:f>
      </x:c>
      <x:c r="BI210">
        <x:f>IF(AC210="","",LOG10(AC210+1))</x:f>
      </x:c>
      <x:c r="BJ210" s="10">
        <x:f>IF(BI210="","",IF(MAX($BI$2:$BI$252)-MIN($BI$2:$BI$252)=0,"",(BI210-MIN($BI$2:$BI$252))/(MAX($BI$2:$BI$252)-MIN($BI$2:$BI$252))*100))</x:f>
      </x:c>
      <x:c r="BK210">
        <x:f>IF(AD210="","",(AD210*2)+(AE210*1))</x:f>
      </x:c>
      <x:c r="BL210" s="10">
        <x:f>IF(BK210="","",IF(MAX($BK$2:$BK$252)-MIN($BK$2:$BK$252)=0,"",(BK210-MIN($BK$2:$BK$252))/(MAX($BK$2:$BK$252)-MIN($BK$2:$BK$252))*100))</x:f>
      </x:c>
      <x:c r="BM210" s="10">
        <x:f>IF(AB210="","",IF(MAX($AB$2:$AB$252)-MIN($AB$2:$AB$252)=0,"",(AB210-MIN($AB$2:$AB$252))/(MAX($AB$2:$AB$252)-MIN($AB$2:$AB$252))*100))</x:f>
      </x:c>
      <x:c r="BN210" s="10">
        <x:f>IF(X210="","",X210)</x:f>
      </x:c>
      <x:c r="BO210" s="10">
        <x:f>IF(X210="","",100-X210)</x:f>
      </x:c>
      <x:c r="BP210" s="10">
        <x:f>IF((Weights!$C$2*IF(BH210="",0,1)+Weights!$C$3*IF(BJ210="",0,1)+Weights!$C$4*IF(BL210="",0,1))=0,"",(Weights!$C$2*IF(BH210="",0,BH210)+Weights!$C$3*IF(BJ210="",0,BJ210)+Weights!$C$4*IF(BL210="",0,BL210))/(Weights!$C$2*IF(BH210="",0,1)+Weights!$C$3*IF(BJ210="",0,1)+Weights!$C$4*IF(BL210="",0,1)))</x:f>
      </x:c>
      <x:c r="BQ210" s="10">
        <x:f>IF((Weights!$C$5*IF(BA210="",0,1)+Weights!$C$6*IF(AW210="",0,1)+Weights!$C$7*IF(AU210="",0,1))=0,"",(Weights!$C$5*IF(BA210="",0,BA210)+Weights!$C$6*IF(AW210="",0,AW210)+Weights!$C$7*IF(AU210="",0,AU210))/(Weights!$C$5*IF(BA210="",0,1)+Weights!$C$6*IF(AW210="",0,1)+Weights!$C$7*IF(AU210="",0,1)))</x:f>
      </x:c>
      <x:c r="BR210" s="10">
        <x:f>IF((Weights!$C$8*IF(AW210="",0,1)+Weights!$C$9*IF(BC210="",0,1)+Weights!$C$10*IF(BF210="",0,1))=0,"",(Weights!$C$8*IF(AW210="",0,AW210)+Weights!$C$9*IF(BC210="",0,BC210)+Weights!$C$10*IF(BF210="",0,BF210))/(Weights!$C$8*IF(AW210="",0,1)+Weights!$C$9*IF(BC210="",0,1)+Weights!$C$10*IF(BF210="",0,1)))</x:f>
      </x:c>
      <x:c r="BS210" s="10">
        <x:f>IF(Y210="","",Y210)</x:f>
      </x:c>
      <x:c r="BT210" s="10">
        <x:f>IF(AS210="","",AS210)</x:f>
      </x:c>
      <x:c r="BU210" s="10">
        <x:f>IF(AJ210&lt;&gt;"",(0.6*AJ210+0.4*AU210),IF((Weights!$C$11*IF(AU210="",0,1)+Weights!$C$12*IF(BM210="",0,1))=0,"",(Weights!$C$11*IF(AU210="",0,AU210)+Weights!$C$12*IF(BM210="",0,BM210))/(Weights!$C$11*IF(AU210="",0,1)+Weights!$C$12*IF(BM210="",0,1))))</x:f>
      </x:c>
      <x:c r="BV210" s="10">
        <x:f>IF(CG210="",0,CG210)</x:f>
      </x:c>
      <x:c r="BW210" s="10">
        <x:f>IF(AP210="","",AP210)</x:f>
      </x:c>
      <x:c r="BX210" s="10">
        <x:f>IF(AO210="","",AO210)</x:f>
      </x:c>
      <x:c r="BY210" s="10">
        <x:f>IF(AL210="","",AL210)</x:f>
      </x:c>
      <x:c r="BZ210" s="10">
        <x:f>IF(AM210="","",AM210)</x:f>
      </x:c>
      <x:c r="CA210" s="10">
        <x:f>IF(AK210&lt;&gt;"",AK210,AW210)</x:f>
      </x:c>
      <x:c r="CB210" s="10">
        <x:f>IF((Weights!$C$13*IF(BP210="",0,1)+Weights!$C$14*IF(BR210="",0,1)+Weights!$C$15*IF(BQ210="",0,1)+Weights!$C$16*IF(BS210="",0,1)+Weights!$C$17*IF(BU210="",0,1)+Weights!$C$18*IF(BT210="",0,1)+Weights!$C$19*IF(BW210="",0,1)+Weights!$C$20*IF(BZ210="",0,1)+Weights!$C$21*IF(BO210="",0,1)+Weights!$C$22)=0,"",(Weights!$C$13*IF(BP210="",0,BP210)+Weights!$C$14*IF(BR210="",0,BR210)+Weights!$C$15*IF(BQ210="",0,BQ210)+Weights!$C$16*IF(BS210="",0,BS210)+Weights!$C$17*IF(BU210="",0,BU210)+Weights!$C$18*IF(BT210="",0,BT210)+Weights!$C$19*IF(BW210="",0,BW210)+Weights!$C$20*IF(BZ210="",0,BZ210)+Weights!$C$21*IF(BO210="",0,BO210)+Weights!$C$22*BV210)/(Weights!$C$13*IF(BP210="",0,1)+Weights!$C$14*IF(BR210="",0,1)+Weights!$C$15*IF(BQ210="",0,1)+Weights!$C$16*IF(BS210="",0,1)+Weights!$C$17*IF(BU210="",0,1)+Weights!$C$18*IF(BT210="",0,1)+Weights!$C$19*IF(BW210="",0,1)+Weights!$C$20*IF(BZ210="",0,1)+Weights!$C$21*IF(BO210="",0,1)+Weights!$C$22))</x:f>
      </x:c>
      <x:c r="CC210" s="10">
        <x:f>IF((Weights!$C$23*IF(BQ210="",0,1)+Weights!$C$24*IF(BN210="",0,1)+Weights!$C$25*IF(BS210="",0,1)+Weights!$C$26*IF(BY210="",0,1)+Weights!$C$27*IF(BX210="",0,1)+Weights!$C$28*IF(BT210="",0,1)+Weights!$C$29*IF(CA210="",0,1)+Weights!$C$30+Weights!$C$31*IF(BU210="",0,1))=0,"",(Weights!$C$23*IF(BQ210="",0,BQ210)+Weights!$C$24*IF(BN210="",0,BN210)+Weights!$C$25*IF(BS210="",0,BS210)+Weights!$C$26*IF(BY210="",0,BY210)+Weights!$C$27*IF(BX210="",0,BX210)+Weights!$C$28*IF(BT210="",0,BT210)+Weights!$C$29*IF(CA210="",0,CA210)+Weights!$C$30*BV210+Weights!$C$31*IF(BU210="",0,BU210))/(Weights!$C$23*IF(BQ210="",0,1)+Weights!$C$24*IF(BN210="",0,1)+Weights!$C$25*IF(BS210="",0,1)+Weights!$C$26*IF(BY210="",0,1)+Weights!$C$27*IF(BX210="",0,1)+Weights!$C$28*IF(BT210="",0,1)+Weights!$C$29*IF(CA210="",0,1)+Weights!$C$30+Weights!$C$31*IF(BU210="",0,1)))</x:f>
      </x:c>
      <x:c r="CD210" s="10">
        <x:f>IF(AND(CB210="",CC210=""),"",IF(CB210="",CC210,IF(CC210="",CB210,AVERAGE(CB210,CC210))))</x:f>
      </x:c>
      <x:c r="CE210" s="7">
        <x:f>ROUND(100*((IF(BP210&lt;&gt;"",1,0)+IF(BQ210&lt;&gt;"",1,0)+IF(BR210&lt;&gt;"",1,0)+IF(BS210&lt;&gt;"",1,0)+IF(BU210&lt;&gt;"",1,0)+IF(BT210&lt;&gt;"",1,0)+IF(BN210&lt;&gt;"",1,0)+IF(AW210&lt;&gt;"",1,0))/8),0)</x:f>
      </x:c>
      <x:c r="CF210">
        <x:f>IF(V210="","",LOG10(V210+1))</x:f>
      </x:c>
      <x:c r="CG210">
        <x:f>IF(CF210="","",IF(MAX($CF$2:$CF$252)-MIN($CF$2:$CF$252)=0,"",(CF210-MIN($CF$2:$CF$252))/(MAX($CF$2:$CF$252)-MIN($CF$2:$CF$252))*100))</x:f>
      </x:c>
    </x:row>
    <x:row r="211">
      <x:c r="A211" t="inlineStr">
        <x:is>
          <x:t xml:space="preserve">BLM</x:t>
        </x:is>
      </x:c>
      <x:c r="B211" t="inlineStr">
        <x:is>
          <x:t xml:space="preserve">Saint Barthélemy</x:t>
        </x:is>
      </x:c>
      <x:c r="N211" s="8" t="n"/>
      <x:c r="O211" s="9" t="n"/>
      <x:c r="P211" s="8" t="n"/>
      <x:c r="R211" s="8" t="n"/>
      <x:c r="AB211" s="8" t="n"/>
      <x:c r="AR211">
        <x:f>IF(G211="","",LOG10(G211+1))</x:f>
      </x:c>
      <x:c r="AS211" s="10">
        <x:f>IF(AR211="","",IF(MAX($AR$2:$AR$252)-MIN($AR$2:$AR$252)=0,"",(AR211-MIN($AR$2:$AR$252))/(MAX($AR$2:$AR$252)-MIN($AR$2:$AR$252))*100))</x:f>
      </x:c>
      <x:c r="AT211">
        <x:f>IF(R211="","",LOG10(R211+1))</x:f>
      </x:c>
      <x:c r="AU211" s="10">
        <x:f>IF(AT211="","",IF(MAX($AT$2:$AT$252)-MIN($AT$2:$AT$252)=0,"",(AT211-MIN($AT$2:$AT$252))/(MAX($AT$2:$AT$252)-MIN($AT$2:$AT$252))*100))</x:f>
      </x:c>
      <x:c r="AV211">
        <x:f>IF(N211="","",LOG10(N211+1))</x:f>
      </x:c>
      <x:c r="AW211" s="10">
        <x:f>IF(AV211="","",IF(MAX($AV$2:$AV$252)-MIN($AV$2:$AV$252)=0,"",(AV211-MIN($AV$2:$AV$252))/(MAX($AV$2:$AV$252)-MIN($AV$2:$AV$252))*100))</x:f>
      </x:c>
      <x:c r="AX211">
        <x:f>IF(I211="","",LOG10(I211+1))</x:f>
      </x:c>
      <x:c r="AY211" s="10">
        <x:f>IF(AX211="","",IF(MAX($AX$2:$AX$252)-MIN($AX$2:$AX$252)=0,"",(AX211-MIN($AX$2:$AX$252))/(MAX($AX$2:$AX$252)-MIN($AX$2:$AX$252))*100))</x:f>
      </x:c>
      <x:c r="AZ211">
        <x:f>IF(J211="","",LOG10(J211+1))</x:f>
      </x:c>
      <x:c r="BA211" s="10">
        <x:f>IF(AZ211="","",IF(MAX($AZ$2:$AZ$252)-MIN($AZ$2:$AZ$252)=0,"",(AZ211-MIN($AZ$2:$AZ$252))/(MAX($AZ$2:$AZ$252)-MIN($AZ$2:$AZ$252))*100))</x:f>
      </x:c>
      <x:c r="BB211">
        <x:f>IF(K211="","",LOG10(K211+1))</x:f>
      </x:c>
      <x:c r="BC211" s="10">
        <x:f>IF(BB211="","",IF(MAX($BB$2:$BB$252)-MIN($BB$2:$BB$252)=0,"",(BB211-MIN($BB$2:$BB$252))/(MAX($BB$2:$BB$252)-MIN($BB$2:$BB$252))*100))</x:f>
      </x:c>
      <x:c r="BD211">
        <x:f>IF(L211="","",LOG10(L211+1))</x:f>
      </x:c>
      <x:c r="BE211" s="10">
        <x:f>IF(BD211="","",IF(MAX($BD$2:$BD$252)-MIN($BD$2:$BD$252)=0,"",(BD211-MIN($BD$2:$BD$252))/(MAX($BD$2:$BD$252)-MIN($BD$2:$BD$252))*100))</x:f>
      </x:c>
      <x:c r="BF211" s="10">
        <x:f>IF(P211="","",IF(MAX($P$2:$P$252)-MIN($P$2:$P$252)=0,"",(P211-MIN($P$2:$P$252))/(MAX($P$2:$P$252)-MIN($P$2:$P$252))*100))</x:f>
      </x:c>
      <x:c r="BG211">
        <x:f>IF(AF211="","",LOG10(AF211+1))</x:f>
      </x:c>
      <x:c r="BH211" s="10">
        <x:f>IF(BG211="","",IF(MAX($BG$2:$BG$252)-MIN($BG$2:$BG$252)=0,"",(BG211-MIN($BG$2:$BG$252))/(MAX($BG$2:$BG$252)-MIN($BG$2:$BG$252))*100))</x:f>
      </x:c>
      <x:c r="BI211">
        <x:f>IF(AC211="","",LOG10(AC211+1))</x:f>
      </x:c>
      <x:c r="BJ211" s="10">
        <x:f>IF(BI211="","",IF(MAX($BI$2:$BI$252)-MIN($BI$2:$BI$252)=0,"",(BI211-MIN($BI$2:$BI$252))/(MAX($BI$2:$BI$252)-MIN($BI$2:$BI$252))*100))</x:f>
      </x:c>
      <x:c r="BK211">
        <x:f>IF(AD211="","",(AD211*2)+(AE211*1))</x:f>
      </x:c>
      <x:c r="BL211" s="10">
        <x:f>IF(BK211="","",IF(MAX($BK$2:$BK$252)-MIN($BK$2:$BK$252)=0,"",(BK211-MIN($BK$2:$BK$252))/(MAX($BK$2:$BK$252)-MIN($BK$2:$BK$252))*100))</x:f>
      </x:c>
      <x:c r="BM211" s="10">
        <x:f>IF(AB211="","",IF(MAX($AB$2:$AB$252)-MIN($AB$2:$AB$252)=0,"",(AB211-MIN($AB$2:$AB$252))/(MAX($AB$2:$AB$252)-MIN($AB$2:$AB$252))*100))</x:f>
      </x:c>
      <x:c r="BN211" s="10">
        <x:f>IF(X211="","",X211)</x:f>
      </x:c>
      <x:c r="BO211" s="10">
        <x:f>IF(X211="","",100-X211)</x:f>
      </x:c>
      <x:c r="BP211" s="10">
        <x:f>IF((Weights!$C$2*IF(BH211="",0,1)+Weights!$C$3*IF(BJ211="",0,1)+Weights!$C$4*IF(BL211="",0,1))=0,"",(Weights!$C$2*IF(BH211="",0,BH211)+Weights!$C$3*IF(BJ211="",0,BJ211)+Weights!$C$4*IF(BL211="",0,BL211))/(Weights!$C$2*IF(BH211="",0,1)+Weights!$C$3*IF(BJ211="",0,1)+Weights!$C$4*IF(BL211="",0,1)))</x:f>
      </x:c>
      <x:c r="BQ211" s="10">
        <x:f>IF((Weights!$C$5*IF(BA211="",0,1)+Weights!$C$6*IF(AW211="",0,1)+Weights!$C$7*IF(AU211="",0,1))=0,"",(Weights!$C$5*IF(BA211="",0,BA211)+Weights!$C$6*IF(AW211="",0,AW211)+Weights!$C$7*IF(AU211="",0,AU211))/(Weights!$C$5*IF(BA211="",0,1)+Weights!$C$6*IF(AW211="",0,1)+Weights!$C$7*IF(AU211="",0,1)))</x:f>
      </x:c>
      <x:c r="BR211" s="10">
        <x:f>IF((Weights!$C$8*IF(AW211="",0,1)+Weights!$C$9*IF(BC211="",0,1)+Weights!$C$10*IF(BF211="",0,1))=0,"",(Weights!$C$8*IF(AW211="",0,AW211)+Weights!$C$9*IF(BC211="",0,BC211)+Weights!$C$10*IF(BF211="",0,BF211))/(Weights!$C$8*IF(AW211="",0,1)+Weights!$C$9*IF(BC211="",0,1)+Weights!$C$10*IF(BF211="",0,1)))</x:f>
      </x:c>
      <x:c r="BS211" s="10">
        <x:f>IF(Y211="","",Y211)</x:f>
      </x:c>
      <x:c r="BT211" s="10">
        <x:f>IF(AS211="","",AS211)</x:f>
      </x:c>
      <x:c r="BU211" s="10">
        <x:f>IF(AJ211&lt;&gt;"",(0.6*AJ211+0.4*AU211),IF((Weights!$C$11*IF(AU211="",0,1)+Weights!$C$12*IF(BM211="",0,1))=0,"",(Weights!$C$11*IF(AU211="",0,AU211)+Weights!$C$12*IF(BM211="",0,BM211))/(Weights!$C$11*IF(AU211="",0,1)+Weights!$C$12*IF(BM211="",0,1))))</x:f>
      </x:c>
      <x:c r="BV211" s="10">
        <x:f>IF(CG211="",0,CG211)</x:f>
      </x:c>
      <x:c r="BW211" s="10">
        <x:f>IF(AP211="","",AP211)</x:f>
      </x:c>
      <x:c r="BX211" s="10">
        <x:f>IF(AO211="","",AO211)</x:f>
      </x:c>
      <x:c r="BY211" s="10">
        <x:f>IF(AL211="","",AL211)</x:f>
      </x:c>
      <x:c r="BZ211" s="10">
        <x:f>IF(AM211="","",AM211)</x:f>
      </x:c>
      <x:c r="CA211" s="10">
        <x:f>IF(AK211&lt;&gt;"",AK211,AW211)</x:f>
      </x:c>
      <x:c r="CB211" s="10">
        <x:f>IF((Weights!$C$13*IF(BP211="",0,1)+Weights!$C$14*IF(BR211="",0,1)+Weights!$C$15*IF(BQ211="",0,1)+Weights!$C$16*IF(BS211="",0,1)+Weights!$C$17*IF(BU211="",0,1)+Weights!$C$18*IF(BT211="",0,1)+Weights!$C$19*IF(BW211="",0,1)+Weights!$C$20*IF(BZ211="",0,1)+Weights!$C$21*IF(BO211="",0,1)+Weights!$C$22)=0,"",(Weights!$C$13*IF(BP211="",0,BP211)+Weights!$C$14*IF(BR211="",0,BR211)+Weights!$C$15*IF(BQ211="",0,BQ211)+Weights!$C$16*IF(BS211="",0,BS211)+Weights!$C$17*IF(BU211="",0,BU211)+Weights!$C$18*IF(BT211="",0,BT211)+Weights!$C$19*IF(BW211="",0,BW211)+Weights!$C$20*IF(BZ211="",0,BZ211)+Weights!$C$21*IF(BO211="",0,BO211)+Weights!$C$22*BV211)/(Weights!$C$13*IF(BP211="",0,1)+Weights!$C$14*IF(BR211="",0,1)+Weights!$C$15*IF(BQ211="",0,1)+Weights!$C$16*IF(BS211="",0,1)+Weights!$C$17*IF(BU211="",0,1)+Weights!$C$18*IF(BT211="",0,1)+Weights!$C$19*IF(BW211="",0,1)+Weights!$C$20*IF(BZ211="",0,1)+Weights!$C$21*IF(BO211="",0,1)+Weights!$C$22))</x:f>
      </x:c>
      <x:c r="CC211" s="10">
        <x:f>IF((Weights!$C$23*IF(BQ211="",0,1)+Weights!$C$24*IF(BN211="",0,1)+Weights!$C$25*IF(BS211="",0,1)+Weights!$C$26*IF(BY211="",0,1)+Weights!$C$27*IF(BX211="",0,1)+Weights!$C$28*IF(BT211="",0,1)+Weights!$C$29*IF(CA211="",0,1)+Weights!$C$30+Weights!$C$31*IF(BU211="",0,1))=0,"",(Weights!$C$23*IF(BQ211="",0,BQ211)+Weights!$C$24*IF(BN211="",0,BN211)+Weights!$C$25*IF(BS211="",0,BS211)+Weights!$C$26*IF(BY211="",0,BY211)+Weights!$C$27*IF(BX211="",0,BX211)+Weights!$C$28*IF(BT211="",0,BT211)+Weights!$C$29*IF(CA211="",0,CA211)+Weights!$C$30*BV211+Weights!$C$31*IF(BU211="",0,BU211))/(Weights!$C$23*IF(BQ211="",0,1)+Weights!$C$24*IF(BN211="",0,1)+Weights!$C$25*IF(BS211="",0,1)+Weights!$C$26*IF(BY211="",0,1)+Weights!$C$27*IF(BX211="",0,1)+Weights!$C$28*IF(BT211="",0,1)+Weights!$C$29*IF(CA211="",0,1)+Weights!$C$30+Weights!$C$31*IF(BU211="",0,1)))</x:f>
      </x:c>
      <x:c r="CD211" s="10">
        <x:f>IF(AND(CB211="",CC211=""),"",IF(CB211="",CC211,IF(CC211="",CB211,AVERAGE(CB211,CC211))))</x:f>
      </x:c>
      <x:c r="CE211" s="7">
        <x:f>ROUND(100*((IF(BP211&lt;&gt;"",1,0)+IF(BQ211&lt;&gt;"",1,0)+IF(BR211&lt;&gt;"",1,0)+IF(BS211&lt;&gt;"",1,0)+IF(BU211&lt;&gt;"",1,0)+IF(BT211&lt;&gt;"",1,0)+IF(BN211&lt;&gt;"",1,0)+IF(AW211&lt;&gt;"",1,0))/8),0)</x:f>
      </x:c>
      <x:c r="CF211">
        <x:f>IF(V211="","",LOG10(V211+1))</x:f>
      </x:c>
      <x:c r="CG211">
        <x:f>IF(CF211="","",IF(MAX($CF$2:$CF$252)-MIN($CF$2:$CF$252)=0,"",(CF211-MIN($CF$2:$CF$252))/(MAX($CF$2:$CF$252)-MIN($CF$2:$CF$252))*100))</x:f>
      </x:c>
    </x:row>
    <x:row r="212">
      <x:c r="A212" t="inlineStr">
        <x:is>
          <x:t xml:space="preserve">SHN</x:t>
        </x:is>
      </x:c>
      <x:c r="B212" t="inlineStr">
        <x:is>
          <x:t xml:space="preserve">Saint Helena, Ascension and Tristan da Cunha</x:t>
        </x:is>
      </x:c>
      <x:c r="N212" s="8" t="n"/>
      <x:c r="O212" s="9" t="n"/>
      <x:c r="P212" s="8" t="n"/>
      <x:c r="R212" s="8" t="n"/>
      <x:c r="AB212" s="8" t="n"/>
      <x:c r="AR212">
        <x:f>IF(G212="","",LOG10(G212+1))</x:f>
      </x:c>
      <x:c r="AS212" s="10">
        <x:f>IF(AR212="","",IF(MAX($AR$2:$AR$252)-MIN($AR$2:$AR$252)=0,"",(AR212-MIN($AR$2:$AR$252))/(MAX($AR$2:$AR$252)-MIN($AR$2:$AR$252))*100))</x:f>
      </x:c>
      <x:c r="AT212">
        <x:f>IF(R212="","",LOG10(R212+1))</x:f>
      </x:c>
      <x:c r="AU212" s="10">
        <x:f>IF(AT212="","",IF(MAX($AT$2:$AT$252)-MIN($AT$2:$AT$252)=0,"",(AT212-MIN($AT$2:$AT$252))/(MAX($AT$2:$AT$252)-MIN($AT$2:$AT$252))*100))</x:f>
      </x:c>
      <x:c r="AV212">
        <x:f>IF(N212="","",LOG10(N212+1))</x:f>
      </x:c>
      <x:c r="AW212" s="10">
        <x:f>IF(AV212="","",IF(MAX($AV$2:$AV$252)-MIN($AV$2:$AV$252)=0,"",(AV212-MIN($AV$2:$AV$252))/(MAX($AV$2:$AV$252)-MIN($AV$2:$AV$252))*100))</x:f>
      </x:c>
      <x:c r="AX212">
        <x:f>IF(I212="","",LOG10(I212+1))</x:f>
      </x:c>
      <x:c r="AY212" s="10">
        <x:f>IF(AX212="","",IF(MAX($AX$2:$AX$252)-MIN($AX$2:$AX$252)=0,"",(AX212-MIN($AX$2:$AX$252))/(MAX($AX$2:$AX$252)-MIN($AX$2:$AX$252))*100))</x:f>
      </x:c>
      <x:c r="AZ212">
        <x:f>IF(J212="","",LOG10(J212+1))</x:f>
      </x:c>
      <x:c r="BA212" s="10">
        <x:f>IF(AZ212="","",IF(MAX($AZ$2:$AZ$252)-MIN($AZ$2:$AZ$252)=0,"",(AZ212-MIN($AZ$2:$AZ$252))/(MAX($AZ$2:$AZ$252)-MIN($AZ$2:$AZ$252))*100))</x:f>
      </x:c>
      <x:c r="BB212">
        <x:f>IF(K212="","",LOG10(K212+1))</x:f>
      </x:c>
      <x:c r="BC212" s="10">
        <x:f>IF(BB212="","",IF(MAX($BB$2:$BB$252)-MIN($BB$2:$BB$252)=0,"",(BB212-MIN($BB$2:$BB$252))/(MAX($BB$2:$BB$252)-MIN($BB$2:$BB$252))*100))</x:f>
      </x:c>
      <x:c r="BD212">
        <x:f>IF(L212="","",LOG10(L212+1))</x:f>
      </x:c>
      <x:c r="BE212" s="10">
        <x:f>IF(BD212="","",IF(MAX($BD$2:$BD$252)-MIN($BD$2:$BD$252)=0,"",(BD212-MIN($BD$2:$BD$252))/(MAX($BD$2:$BD$252)-MIN($BD$2:$BD$252))*100))</x:f>
      </x:c>
      <x:c r="BF212" s="10">
        <x:f>IF(P212="","",IF(MAX($P$2:$P$252)-MIN($P$2:$P$252)=0,"",(P212-MIN($P$2:$P$252))/(MAX($P$2:$P$252)-MIN($P$2:$P$252))*100))</x:f>
      </x:c>
      <x:c r="BG212">
        <x:f>IF(AF212="","",LOG10(AF212+1))</x:f>
      </x:c>
      <x:c r="BH212" s="10">
        <x:f>IF(BG212="","",IF(MAX($BG$2:$BG$252)-MIN($BG$2:$BG$252)=0,"",(BG212-MIN($BG$2:$BG$252))/(MAX($BG$2:$BG$252)-MIN($BG$2:$BG$252))*100))</x:f>
      </x:c>
      <x:c r="BI212">
        <x:f>IF(AC212="","",LOG10(AC212+1))</x:f>
      </x:c>
      <x:c r="BJ212" s="10">
        <x:f>IF(BI212="","",IF(MAX($BI$2:$BI$252)-MIN($BI$2:$BI$252)=0,"",(BI212-MIN($BI$2:$BI$252))/(MAX($BI$2:$BI$252)-MIN($BI$2:$BI$252))*100))</x:f>
      </x:c>
      <x:c r="BK212">
        <x:f>IF(AD212="","",(AD212*2)+(AE212*1))</x:f>
      </x:c>
      <x:c r="BL212" s="10">
        <x:f>IF(BK212="","",IF(MAX($BK$2:$BK$252)-MIN($BK$2:$BK$252)=0,"",(BK212-MIN($BK$2:$BK$252))/(MAX($BK$2:$BK$252)-MIN($BK$2:$BK$252))*100))</x:f>
      </x:c>
      <x:c r="BM212" s="10">
        <x:f>IF(AB212="","",IF(MAX($AB$2:$AB$252)-MIN($AB$2:$AB$252)=0,"",(AB212-MIN($AB$2:$AB$252))/(MAX($AB$2:$AB$252)-MIN($AB$2:$AB$252))*100))</x:f>
      </x:c>
      <x:c r="BN212" s="10">
        <x:f>IF(X212="","",X212)</x:f>
      </x:c>
      <x:c r="BO212" s="10">
        <x:f>IF(X212="","",100-X212)</x:f>
      </x:c>
      <x:c r="BP212" s="10">
        <x:f>IF((Weights!$C$2*IF(BH212="",0,1)+Weights!$C$3*IF(BJ212="",0,1)+Weights!$C$4*IF(BL212="",0,1))=0,"",(Weights!$C$2*IF(BH212="",0,BH212)+Weights!$C$3*IF(BJ212="",0,BJ212)+Weights!$C$4*IF(BL212="",0,BL212))/(Weights!$C$2*IF(BH212="",0,1)+Weights!$C$3*IF(BJ212="",0,1)+Weights!$C$4*IF(BL212="",0,1)))</x:f>
      </x:c>
      <x:c r="BQ212" s="10">
        <x:f>IF((Weights!$C$5*IF(BA212="",0,1)+Weights!$C$6*IF(AW212="",0,1)+Weights!$C$7*IF(AU212="",0,1))=0,"",(Weights!$C$5*IF(BA212="",0,BA212)+Weights!$C$6*IF(AW212="",0,AW212)+Weights!$C$7*IF(AU212="",0,AU212))/(Weights!$C$5*IF(BA212="",0,1)+Weights!$C$6*IF(AW212="",0,1)+Weights!$C$7*IF(AU212="",0,1)))</x:f>
      </x:c>
      <x:c r="BR212" s="10">
        <x:f>IF((Weights!$C$8*IF(AW212="",0,1)+Weights!$C$9*IF(BC212="",0,1)+Weights!$C$10*IF(BF212="",0,1))=0,"",(Weights!$C$8*IF(AW212="",0,AW212)+Weights!$C$9*IF(BC212="",0,BC212)+Weights!$C$10*IF(BF212="",0,BF212))/(Weights!$C$8*IF(AW212="",0,1)+Weights!$C$9*IF(BC212="",0,1)+Weights!$C$10*IF(BF212="",0,1)))</x:f>
      </x:c>
      <x:c r="BS212" s="10">
        <x:f>IF(Y212="","",Y212)</x:f>
      </x:c>
      <x:c r="BT212" s="10">
        <x:f>IF(AS212="","",AS212)</x:f>
      </x:c>
      <x:c r="BU212" s="10">
        <x:f>IF(AJ212&lt;&gt;"",(0.6*AJ212+0.4*AU212),IF((Weights!$C$11*IF(AU212="",0,1)+Weights!$C$12*IF(BM212="",0,1))=0,"",(Weights!$C$11*IF(AU212="",0,AU212)+Weights!$C$12*IF(BM212="",0,BM212))/(Weights!$C$11*IF(AU212="",0,1)+Weights!$C$12*IF(BM212="",0,1))))</x:f>
      </x:c>
      <x:c r="BV212" s="10">
        <x:f>IF(CG212="",0,CG212)</x:f>
      </x:c>
      <x:c r="BW212" s="10">
        <x:f>IF(AP212="","",AP212)</x:f>
      </x:c>
      <x:c r="BX212" s="10">
        <x:f>IF(AO212="","",AO212)</x:f>
      </x:c>
      <x:c r="BY212" s="10">
        <x:f>IF(AL212="","",AL212)</x:f>
      </x:c>
      <x:c r="BZ212" s="10">
        <x:f>IF(AM212="","",AM212)</x:f>
      </x:c>
      <x:c r="CA212" s="10">
        <x:f>IF(AK212&lt;&gt;"",AK212,AW212)</x:f>
      </x:c>
      <x:c r="CB212" s="10">
        <x:f>IF((Weights!$C$13*IF(BP212="",0,1)+Weights!$C$14*IF(BR212="",0,1)+Weights!$C$15*IF(BQ212="",0,1)+Weights!$C$16*IF(BS212="",0,1)+Weights!$C$17*IF(BU212="",0,1)+Weights!$C$18*IF(BT212="",0,1)+Weights!$C$19*IF(BW212="",0,1)+Weights!$C$20*IF(BZ212="",0,1)+Weights!$C$21*IF(BO212="",0,1)+Weights!$C$22)=0,"",(Weights!$C$13*IF(BP212="",0,BP212)+Weights!$C$14*IF(BR212="",0,BR212)+Weights!$C$15*IF(BQ212="",0,BQ212)+Weights!$C$16*IF(BS212="",0,BS212)+Weights!$C$17*IF(BU212="",0,BU212)+Weights!$C$18*IF(BT212="",0,BT212)+Weights!$C$19*IF(BW212="",0,BW212)+Weights!$C$20*IF(BZ212="",0,BZ212)+Weights!$C$21*IF(BO212="",0,BO212)+Weights!$C$22*BV212)/(Weights!$C$13*IF(BP212="",0,1)+Weights!$C$14*IF(BR212="",0,1)+Weights!$C$15*IF(BQ212="",0,1)+Weights!$C$16*IF(BS212="",0,1)+Weights!$C$17*IF(BU212="",0,1)+Weights!$C$18*IF(BT212="",0,1)+Weights!$C$19*IF(BW212="",0,1)+Weights!$C$20*IF(BZ212="",0,1)+Weights!$C$21*IF(BO212="",0,1)+Weights!$C$22))</x:f>
      </x:c>
      <x:c r="CC212" s="10">
        <x:f>IF((Weights!$C$23*IF(BQ212="",0,1)+Weights!$C$24*IF(BN212="",0,1)+Weights!$C$25*IF(BS212="",0,1)+Weights!$C$26*IF(BY212="",0,1)+Weights!$C$27*IF(BX212="",0,1)+Weights!$C$28*IF(BT212="",0,1)+Weights!$C$29*IF(CA212="",0,1)+Weights!$C$30+Weights!$C$31*IF(BU212="",0,1))=0,"",(Weights!$C$23*IF(BQ212="",0,BQ212)+Weights!$C$24*IF(BN212="",0,BN212)+Weights!$C$25*IF(BS212="",0,BS212)+Weights!$C$26*IF(BY212="",0,BY212)+Weights!$C$27*IF(BX212="",0,BX212)+Weights!$C$28*IF(BT212="",0,BT212)+Weights!$C$29*IF(CA212="",0,CA212)+Weights!$C$30*BV212+Weights!$C$31*IF(BU212="",0,BU212))/(Weights!$C$23*IF(BQ212="",0,1)+Weights!$C$24*IF(BN212="",0,1)+Weights!$C$25*IF(BS212="",0,1)+Weights!$C$26*IF(BY212="",0,1)+Weights!$C$27*IF(BX212="",0,1)+Weights!$C$28*IF(BT212="",0,1)+Weights!$C$29*IF(CA212="",0,1)+Weights!$C$30+Weights!$C$31*IF(BU212="",0,1)))</x:f>
      </x:c>
      <x:c r="CD212" s="10">
        <x:f>IF(AND(CB212="",CC212=""),"",IF(CB212="",CC212,IF(CC212="",CB212,AVERAGE(CB212,CC212))))</x:f>
      </x:c>
      <x:c r="CE212" s="7">
        <x:f>ROUND(100*((IF(BP212&lt;&gt;"",1,0)+IF(BQ212&lt;&gt;"",1,0)+IF(BR212&lt;&gt;"",1,0)+IF(BS212&lt;&gt;"",1,0)+IF(BU212&lt;&gt;"",1,0)+IF(BT212&lt;&gt;"",1,0)+IF(BN212&lt;&gt;"",1,0)+IF(AW212&lt;&gt;"",1,0))/8),0)</x:f>
      </x:c>
      <x:c r="CF212">
        <x:f>IF(V212="","",LOG10(V212+1))</x:f>
      </x:c>
      <x:c r="CG212">
        <x:f>IF(CF212="","",IF(MAX($CF$2:$CF$252)-MIN($CF$2:$CF$252)=0,"",(CF212-MIN($CF$2:$CF$252))/(MAX($CF$2:$CF$252)-MIN($CF$2:$CF$252))*100))</x:f>
      </x:c>
    </x:row>
    <x:row r="213">
      <x:c r="A213" t="inlineStr">
        <x:is>
          <x:t xml:space="preserve">KNA</x:t>
        </x:is>
      </x:c>
      <x:c r="B213" t="inlineStr">
        <x:is>
          <x:t xml:space="preserve">St. Kitts and Nevis</x:t>
        </x:is>
      </x:c>
      <x:c r="C213" t="inlineStr">
        <x:is>
          <x:t xml:space="preserve">Latin America &amp; Caribbean</x:t>
        </x:is>
      </x:c>
      <x:c r="D213" t="inlineStr">
        <x:is>
          <x:t xml:space="preserve">High income</x:t>
        </x:is>
      </x:c>
      <x:c r="F213" t="n">
        <x:v>2024</x:v>
      </x:c>
      <x:c r="G213" t="n">
        <x:v>46843</x:v>
      </x:c>
      <x:c r="N213" s="8" t="n"/>
      <x:c r="O213" s="9" t="n"/>
      <x:c r="P213" s="8" t="n"/>
      <x:c r="Q213" t="n">
        <x:v>2024</x:v>
      </x:c>
      <x:c r="R213" s="8" t="n">
        <x:v>1122388888.88889</x:v>
      </x:c>
      <x:c r="S213" t="n">
        <x:v>0</x:v>
      </x:c>
      <x:c r="T213" t="n">
        <x:v>0</x:v>
      </x:c>
      <x:c r="U213" t="inlineStr">
        <x:is>
          <x:t xml:space="preserve">No</x:t>
        </x:is>
      </x:c>
      <x:c r="W213" t="inlineStr">
        <x:is>
          <x:t xml:space="preserve">No</x:t>
        </x:is>
      </x:c>
      <x:c r="AB213" s="8" t="n"/>
      <x:c r="AR213">
        <x:f>IF(G213="","",LOG10(G213+1))</x:f>
      </x:c>
      <x:c r="AS213" s="10">
        <x:f>IF(AR213="","",IF(MAX($AR$2:$AR$252)-MIN($AR$2:$AR$252)=0,"",(AR213-MIN($AR$2:$AR$252))/(MAX($AR$2:$AR$252)-MIN($AR$2:$AR$252))*100))</x:f>
      </x:c>
      <x:c r="AT213">
        <x:f>IF(R213="","",LOG10(R213+1))</x:f>
      </x:c>
      <x:c r="AU213" s="10">
        <x:f>IF(AT213="","",IF(MAX($AT$2:$AT$252)-MIN($AT$2:$AT$252)=0,"",(AT213-MIN($AT$2:$AT$252))/(MAX($AT$2:$AT$252)-MIN($AT$2:$AT$252))*100))</x:f>
      </x:c>
      <x:c r="AV213">
        <x:f>IF(N213="","",LOG10(N213+1))</x:f>
      </x:c>
      <x:c r="AW213" s="10">
        <x:f>IF(AV213="","",IF(MAX($AV$2:$AV$252)-MIN($AV$2:$AV$252)=0,"",(AV213-MIN($AV$2:$AV$252))/(MAX($AV$2:$AV$252)-MIN($AV$2:$AV$252))*100))</x:f>
      </x:c>
      <x:c r="AX213">
        <x:f>IF(I213="","",LOG10(I213+1))</x:f>
      </x:c>
      <x:c r="AY213" s="10">
        <x:f>IF(AX213="","",IF(MAX($AX$2:$AX$252)-MIN($AX$2:$AX$252)=0,"",(AX213-MIN($AX$2:$AX$252))/(MAX($AX$2:$AX$252)-MIN($AX$2:$AX$252))*100))</x:f>
      </x:c>
      <x:c r="AZ213">
        <x:f>IF(J213="","",LOG10(J213+1))</x:f>
      </x:c>
      <x:c r="BA213" s="10">
        <x:f>IF(AZ213="","",IF(MAX($AZ$2:$AZ$252)-MIN($AZ$2:$AZ$252)=0,"",(AZ213-MIN($AZ$2:$AZ$252))/(MAX($AZ$2:$AZ$252)-MIN($AZ$2:$AZ$252))*100))</x:f>
      </x:c>
      <x:c r="BB213">
        <x:f>IF(K213="","",LOG10(K213+1))</x:f>
      </x:c>
      <x:c r="BC213" s="10">
        <x:f>IF(BB213="","",IF(MAX($BB$2:$BB$252)-MIN($BB$2:$BB$252)=0,"",(BB213-MIN($BB$2:$BB$252))/(MAX($BB$2:$BB$252)-MIN($BB$2:$BB$252))*100))</x:f>
      </x:c>
      <x:c r="BD213">
        <x:f>IF(L213="","",LOG10(L213+1))</x:f>
      </x:c>
      <x:c r="BE213" s="10">
        <x:f>IF(BD213="","",IF(MAX($BD$2:$BD$252)-MIN($BD$2:$BD$252)=0,"",(BD213-MIN($BD$2:$BD$252))/(MAX($BD$2:$BD$252)-MIN($BD$2:$BD$252))*100))</x:f>
      </x:c>
      <x:c r="BF213" s="10">
        <x:f>IF(P213="","",IF(MAX($P$2:$P$252)-MIN($P$2:$P$252)=0,"",(P213-MIN($P$2:$P$252))/(MAX($P$2:$P$252)-MIN($P$2:$P$252))*100))</x:f>
      </x:c>
      <x:c r="BG213">
        <x:f>IF(AF213="","",LOG10(AF213+1))</x:f>
      </x:c>
      <x:c r="BH213" s="10">
        <x:f>IF(BG213="","",IF(MAX($BG$2:$BG$252)-MIN($BG$2:$BG$252)=0,"",(BG213-MIN($BG$2:$BG$252))/(MAX($BG$2:$BG$252)-MIN($BG$2:$BG$252))*100))</x:f>
      </x:c>
      <x:c r="BI213">
        <x:f>IF(AC213="","",LOG10(AC213+1))</x:f>
      </x:c>
      <x:c r="BJ213" s="10">
        <x:f>IF(BI213="","",IF(MAX($BI$2:$BI$252)-MIN($BI$2:$BI$252)=0,"",(BI213-MIN($BI$2:$BI$252))/(MAX($BI$2:$BI$252)-MIN($BI$2:$BI$252))*100))</x:f>
      </x:c>
      <x:c r="BK213">
        <x:f>IF(AD213="","",(AD213*2)+(AE213*1))</x:f>
      </x:c>
      <x:c r="BL213" s="10">
        <x:f>IF(BK213="","",IF(MAX($BK$2:$BK$252)-MIN($BK$2:$BK$252)=0,"",(BK213-MIN($BK$2:$BK$252))/(MAX($BK$2:$BK$252)-MIN($BK$2:$BK$252))*100))</x:f>
      </x:c>
      <x:c r="BM213" s="10">
        <x:f>IF(AB213="","",IF(MAX($AB$2:$AB$252)-MIN($AB$2:$AB$252)=0,"",(AB213-MIN($AB$2:$AB$252))/(MAX($AB$2:$AB$252)-MIN($AB$2:$AB$252))*100))</x:f>
      </x:c>
      <x:c r="BN213" s="10">
        <x:f>IF(X213="","",X213)</x:f>
      </x:c>
      <x:c r="BO213" s="10">
        <x:f>IF(X213="","",100-X213)</x:f>
      </x:c>
      <x:c r="BP213" s="10">
        <x:f>IF((Weights!$C$2*IF(BH213="",0,1)+Weights!$C$3*IF(BJ213="",0,1)+Weights!$C$4*IF(BL213="",0,1))=0,"",(Weights!$C$2*IF(BH213="",0,BH213)+Weights!$C$3*IF(BJ213="",0,BJ213)+Weights!$C$4*IF(BL213="",0,BL213))/(Weights!$C$2*IF(BH213="",0,1)+Weights!$C$3*IF(BJ213="",0,1)+Weights!$C$4*IF(BL213="",0,1)))</x:f>
      </x:c>
      <x:c r="BQ213" s="10">
        <x:f>IF((Weights!$C$5*IF(BA213="",0,1)+Weights!$C$6*IF(AW213="",0,1)+Weights!$C$7*IF(AU213="",0,1))=0,"",(Weights!$C$5*IF(BA213="",0,BA213)+Weights!$C$6*IF(AW213="",0,AW213)+Weights!$C$7*IF(AU213="",0,AU213))/(Weights!$C$5*IF(BA213="",0,1)+Weights!$C$6*IF(AW213="",0,1)+Weights!$C$7*IF(AU213="",0,1)))</x:f>
      </x:c>
      <x:c r="BR213" s="10">
        <x:f>IF((Weights!$C$8*IF(AW213="",0,1)+Weights!$C$9*IF(BC213="",0,1)+Weights!$C$10*IF(BF213="",0,1))=0,"",(Weights!$C$8*IF(AW213="",0,AW213)+Weights!$C$9*IF(BC213="",0,BC213)+Weights!$C$10*IF(BF213="",0,BF213))/(Weights!$C$8*IF(AW213="",0,1)+Weights!$C$9*IF(BC213="",0,1)+Weights!$C$10*IF(BF213="",0,1)))</x:f>
      </x:c>
      <x:c r="BS213" s="10">
        <x:f>IF(Y213="","",Y213)</x:f>
      </x:c>
      <x:c r="BT213" s="10">
        <x:f>IF(AS213="","",AS213)</x:f>
      </x:c>
      <x:c r="BU213" s="10">
        <x:f>IF(AJ213&lt;&gt;"",(0.6*AJ213+0.4*AU213),IF((Weights!$C$11*IF(AU213="",0,1)+Weights!$C$12*IF(BM213="",0,1))=0,"",(Weights!$C$11*IF(AU213="",0,AU213)+Weights!$C$12*IF(BM213="",0,BM213))/(Weights!$C$11*IF(AU213="",0,1)+Weights!$C$12*IF(BM213="",0,1))))</x:f>
      </x:c>
      <x:c r="BV213" s="10">
        <x:f>IF(CG213="",0,CG213)</x:f>
      </x:c>
      <x:c r="BW213" s="10">
        <x:f>IF(AP213="","",AP213)</x:f>
      </x:c>
      <x:c r="BX213" s="10">
        <x:f>IF(AO213="","",AO213)</x:f>
      </x:c>
      <x:c r="BY213" s="10">
        <x:f>IF(AL213="","",AL213)</x:f>
      </x:c>
      <x:c r="BZ213" s="10">
        <x:f>IF(AM213="","",AM213)</x:f>
      </x:c>
      <x:c r="CA213" s="10">
        <x:f>IF(AK213&lt;&gt;"",AK213,AW213)</x:f>
      </x:c>
      <x:c r="CB213" s="10">
        <x:f>IF((Weights!$C$13*IF(BP213="",0,1)+Weights!$C$14*IF(BR213="",0,1)+Weights!$C$15*IF(BQ213="",0,1)+Weights!$C$16*IF(BS213="",0,1)+Weights!$C$17*IF(BU213="",0,1)+Weights!$C$18*IF(BT213="",0,1)+Weights!$C$19*IF(BW213="",0,1)+Weights!$C$20*IF(BZ213="",0,1)+Weights!$C$21*IF(BO213="",0,1)+Weights!$C$22)=0,"",(Weights!$C$13*IF(BP213="",0,BP213)+Weights!$C$14*IF(BR213="",0,BR213)+Weights!$C$15*IF(BQ213="",0,BQ213)+Weights!$C$16*IF(BS213="",0,BS213)+Weights!$C$17*IF(BU213="",0,BU213)+Weights!$C$18*IF(BT213="",0,BT213)+Weights!$C$19*IF(BW213="",0,BW213)+Weights!$C$20*IF(BZ213="",0,BZ213)+Weights!$C$21*IF(BO213="",0,BO213)+Weights!$C$22*BV213)/(Weights!$C$13*IF(BP213="",0,1)+Weights!$C$14*IF(BR213="",0,1)+Weights!$C$15*IF(BQ213="",0,1)+Weights!$C$16*IF(BS213="",0,1)+Weights!$C$17*IF(BU213="",0,1)+Weights!$C$18*IF(BT213="",0,1)+Weights!$C$19*IF(BW213="",0,1)+Weights!$C$20*IF(BZ213="",0,1)+Weights!$C$21*IF(BO213="",0,1)+Weights!$C$22))</x:f>
      </x:c>
      <x:c r="CC213" s="10">
        <x:f>IF((Weights!$C$23*IF(BQ213="",0,1)+Weights!$C$24*IF(BN213="",0,1)+Weights!$C$25*IF(BS213="",0,1)+Weights!$C$26*IF(BY213="",0,1)+Weights!$C$27*IF(BX213="",0,1)+Weights!$C$28*IF(BT213="",0,1)+Weights!$C$29*IF(CA213="",0,1)+Weights!$C$30+Weights!$C$31*IF(BU213="",0,1))=0,"",(Weights!$C$23*IF(BQ213="",0,BQ213)+Weights!$C$24*IF(BN213="",0,BN213)+Weights!$C$25*IF(BS213="",0,BS213)+Weights!$C$26*IF(BY213="",0,BY213)+Weights!$C$27*IF(BX213="",0,BX213)+Weights!$C$28*IF(BT213="",0,BT213)+Weights!$C$29*IF(CA213="",0,CA213)+Weights!$C$30*BV213+Weights!$C$31*IF(BU213="",0,BU213))/(Weights!$C$23*IF(BQ213="",0,1)+Weights!$C$24*IF(BN213="",0,1)+Weights!$C$25*IF(BS213="",0,1)+Weights!$C$26*IF(BY213="",0,1)+Weights!$C$27*IF(BX213="",0,1)+Weights!$C$28*IF(BT213="",0,1)+Weights!$C$29*IF(CA213="",0,1)+Weights!$C$30+Weights!$C$31*IF(BU213="",0,1)))</x:f>
      </x:c>
      <x:c r="CD213" s="10">
        <x:f>IF(AND(CB213="",CC213=""),"",IF(CB213="",CC213,IF(CC213="",CB213,AVERAGE(CB213,CC213))))</x:f>
      </x:c>
      <x:c r="CE213" s="7">
        <x:f>ROUND(100*((IF(BP213&lt;&gt;"",1,0)+IF(BQ213&lt;&gt;"",1,0)+IF(BR213&lt;&gt;"",1,0)+IF(BS213&lt;&gt;"",1,0)+IF(BU213&lt;&gt;"",1,0)+IF(BT213&lt;&gt;"",1,0)+IF(BN213&lt;&gt;"",1,0)+IF(AW213&lt;&gt;"",1,0))/8),0)</x:f>
      </x:c>
      <x:c r="CF213">
        <x:f>IF(V213="","",LOG10(V213+1))</x:f>
      </x:c>
      <x:c r="CG213">
        <x:f>IF(CF213="","",IF(MAX($CF$2:$CF$252)-MIN($CF$2:$CF$252)=0,"",(CF213-MIN($CF$2:$CF$252))/(MAX($CF$2:$CF$252)-MIN($CF$2:$CF$252))*100))</x:f>
      </x:c>
    </x:row>
    <x:row r="214">
      <x:c r="A214" t="inlineStr">
        <x:is>
          <x:t xml:space="preserve">LCA</x:t>
        </x:is>
      </x:c>
      <x:c r="B214" t="inlineStr">
        <x:is>
          <x:t xml:space="preserve">St. Lucia</x:t>
        </x:is>
      </x:c>
      <x:c r="C214" t="inlineStr">
        <x:is>
          <x:t xml:space="preserve">Latin America &amp; Caribbean</x:t>
        </x:is>
      </x:c>
      <x:c r="D214" t="inlineStr">
        <x:is>
          <x:t xml:space="preserve">Upper middle income</x:t>
        </x:is>
      </x:c>
      <x:c r="F214" t="n">
        <x:v>2024</x:v>
      </x:c>
      <x:c r="G214" t="n">
        <x:v>179744</x:v>
      </x:c>
      <x:c r="N214" s="8" t="n"/>
      <x:c r="O214" s="9" t="n"/>
      <x:c r="P214" s="8" t="n"/>
      <x:c r="Q214" t="n">
        <x:v>2024</x:v>
      </x:c>
      <x:c r="R214" s="8" t="n">
        <x:v>2549062962.96296</x:v>
      </x:c>
      <x:c r="S214" t="n">
        <x:v>0</x:v>
      </x:c>
      <x:c r="T214" t="n">
        <x:v>0</x:v>
      </x:c>
      <x:c r="U214" t="inlineStr">
        <x:is>
          <x:t xml:space="preserve">No</x:t>
        </x:is>
      </x:c>
      <x:c r="W214" t="inlineStr">
        <x:is>
          <x:t xml:space="preserve">No</x:t>
        </x:is>
      </x:c>
      <x:c r="AB214" s="8" t="n"/>
      <x:c r="AR214">
        <x:f>IF(G214="","",LOG10(G214+1))</x:f>
      </x:c>
      <x:c r="AS214" s="10">
        <x:f>IF(AR214="","",IF(MAX($AR$2:$AR$252)-MIN($AR$2:$AR$252)=0,"",(AR214-MIN($AR$2:$AR$252))/(MAX($AR$2:$AR$252)-MIN($AR$2:$AR$252))*100))</x:f>
      </x:c>
      <x:c r="AT214">
        <x:f>IF(R214="","",LOG10(R214+1))</x:f>
      </x:c>
      <x:c r="AU214" s="10">
        <x:f>IF(AT214="","",IF(MAX($AT$2:$AT$252)-MIN($AT$2:$AT$252)=0,"",(AT214-MIN($AT$2:$AT$252))/(MAX($AT$2:$AT$252)-MIN($AT$2:$AT$252))*100))</x:f>
      </x:c>
      <x:c r="AV214">
        <x:f>IF(N214="","",LOG10(N214+1))</x:f>
      </x:c>
      <x:c r="AW214" s="10">
        <x:f>IF(AV214="","",IF(MAX($AV$2:$AV$252)-MIN($AV$2:$AV$252)=0,"",(AV214-MIN($AV$2:$AV$252))/(MAX($AV$2:$AV$252)-MIN($AV$2:$AV$252))*100))</x:f>
      </x:c>
      <x:c r="AX214">
        <x:f>IF(I214="","",LOG10(I214+1))</x:f>
      </x:c>
      <x:c r="AY214" s="10">
        <x:f>IF(AX214="","",IF(MAX($AX$2:$AX$252)-MIN($AX$2:$AX$252)=0,"",(AX214-MIN($AX$2:$AX$252))/(MAX($AX$2:$AX$252)-MIN($AX$2:$AX$252))*100))</x:f>
      </x:c>
      <x:c r="AZ214">
        <x:f>IF(J214="","",LOG10(J214+1))</x:f>
      </x:c>
      <x:c r="BA214" s="10">
        <x:f>IF(AZ214="","",IF(MAX($AZ$2:$AZ$252)-MIN($AZ$2:$AZ$252)=0,"",(AZ214-MIN($AZ$2:$AZ$252))/(MAX($AZ$2:$AZ$252)-MIN($AZ$2:$AZ$252))*100))</x:f>
      </x:c>
      <x:c r="BB214">
        <x:f>IF(K214="","",LOG10(K214+1))</x:f>
      </x:c>
      <x:c r="BC214" s="10">
        <x:f>IF(BB214="","",IF(MAX($BB$2:$BB$252)-MIN($BB$2:$BB$252)=0,"",(BB214-MIN($BB$2:$BB$252))/(MAX($BB$2:$BB$252)-MIN($BB$2:$BB$252))*100))</x:f>
      </x:c>
      <x:c r="BD214">
        <x:f>IF(L214="","",LOG10(L214+1))</x:f>
      </x:c>
      <x:c r="BE214" s="10">
        <x:f>IF(BD214="","",IF(MAX($BD$2:$BD$252)-MIN($BD$2:$BD$252)=0,"",(BD214-MIN($BD$2:$BD$252))/(MAX($BD$2:$BD$252)-MIN($BD$2:$BD$252))*100))</x:f>
      </x:c>
      <x:c r="BF214" s="10">
        <x:f>IF(P214="","",IF(MAX($P$2:$P$252)-MIN($P$2:$P$252)=0,"",(P214-MIN($P$2:$P$252))/(MAX($P$2:$P$252)-MIN($P$2:$P$252))*100))</x:f>
      </x:c>
      <x:c r="BG214">
        <x:f>IF(AF214="","",LOG10(AF214+1))</x:f>
      </x:c>
      <x:c r="BH214" s="10">
        <x:f>IF(BG214="","",IF(MAX($BG$2:$BG$252)-MIN($BG$2:$BG$252)=0,"",(BG214-MIN($BG$2:$BG$252))/(MAX($BG$2:$BG$252)-MIN($BG$2:$BG$252))*100))</x:f>
      </x:c>
      <x:c r="BI214">
        <x:f>IF(AC214="","",LOG10(AC214+1))</x:f>
      </x:c>
      <x:c r="BJ214" s="10">
        <x:f>IF(BI214="","",IF(MAX($BI$2:$BI$252)-MIN($BI$2:$BI$252)=0,"",(BI214-MIN($BI$2:$BI$252))/(MAX($BI$2:$BI$252)-MIN($BI$2:$BI$252))*100))</x:f>
      </x:c>
      <x:c r="BK214">
        <x:f>IF(AD214="","",(AD214*2)+(AE214*1))</x:f>
      </x:c>
      <x:c r="BL214" s="10">
        <x:f>IF(BK214="","",IF(MAX($BK$2:$BK$252)-MIN($BK$2:$BK$252)=0,"",(BK214-MIN($BK$2:$BK$252))/(MAX($BK$2:$BK$252)-MIN($BK$2:$BK$252))*100))</x:f>
      </x:c>
      <x:c r="BM214" s="10">
        <x:f>IF(AB214="","",IF(MAX($AB$2:$AB$252)-MIN($AB$2:$AB$252)=0,"",(AB214-MIN($AB$2:$AB$252))/(MAX($AB$2:$AB$252)-MIN($AB$2:$AB$252))*100))</x:f>
      </x:c>
      <x:c r="BN214" s="10">
        <x:f>IF(X214="","",X214)</x:f>
      </x:c>
      <x:c r="BO214" s="10">
        <x:f>IF(X214="","",100-X214)</x:f>
      </x:c>
      <x:c r="BP214" s="10">
        <x:f>IF((Weights!$C$2*IF(BH214="",0,1)+Weights!$C$3*IF(BJ214="",0,1)+Weights!$C$4*IF(BL214="",0,1))=0,"",(Weights!$C$2*IF(BH214="",0,BH214)+Weights!$C$3*IF(BJ214="",0,BJ214)+Weights!$C$4*IF(BL214="",0,BL214))/(Weights!$C$2*IF(BH214="",0,1)+Weights!$C$3*IF(BJ214="",0,1)+Weights!$C$4*IF(BL214="",0,1)))</x:f>
      </x:c>
      <x:c r="BQ214" s="10">
        <x:f>IF((Weights!$C$5*IF(BA214="",0,1)+Weights!$C$6*IF(AW214="",0,1)+Weights!$C$7*IF(AU214="",0,1))=0,"",(Weights!$C$5*IF(BA214="",0,BA214)+Weights!$C$6*IF(AW214="",0,AW214)+Weights!$C$7*IF(AU214="",0,AU214))/(Weights!$C$5*IF(BA214="",0,1)+Weights!$C$6*IF(AW214="",0,1)+Weights!$C$7*IF(AU214="",0,1)))</x:f>
      </x:c>
      <x:c r="BR214" s="10">
        <x:f>IF((Weights!$C$8*IF(AW214="",0,1)+Weights!$C$9*IF(BC214="",0,1)+Weights!$C$10*IF(BF214="",0,1))=0,"",(Weights!$C$8*IF(AW214="",0,AW214)+Weights!$C$9*IF(BC214="",0,BC214)+Weights!$C$10*IF(BF214="",0,BF214))/(Weights!$C$8*IF(AW214="",0,1)+Weights!$C$9*IF(BC214="",0,1)+Weights!$C$10*IF(BF214="",0,1)))</x:f>
      </x:c>
      <x:c r="BS214" s="10">
        <x:f>IF(Y214="","",Y214)</x:f>
      </x:c>
      <x:c r="BT214" s="10">
        <x:f>IF(AS214="","",AS214)</x:f>
      </x:c>
      <x:c r="BU214" s="10">
        <x:f>IF(AJ214&lt;&gt;"",(0.6*AJ214+0.4*AU214),IF((Weights!$C$11*IF(AU214="",0,1)+Weights!$C$12*IF(BM214="",0,1))=0,"",(Weights!$C$11*IF(AU214="",0,AU214)+Weights!$C$12*IF(BM214="",0,BM214))/(Weights!$C$11*IF(AU214="",0,1)+Weights!$C$12*IF(BM214="",0,1))))</x:f>
      </x:c>
      <x:c r="BV214" s="10">
        <x:f>IF(CG214="",0,CG214)</x:f>
      </x:c>
      <x:c r="BW214" s="10">
        <x:f>IF(AP214="","",AP214)</x:f>
      </x:c>
      <x:c r="BX214" s="10">
        <x:f>IF(AO214="","",AO214)</x:f>
      </x:c>
      <x:c r="BY214" s="10">
        <x:f>IF(AL214="","",AL214)</x:f>
      </x:c>
      <x:c r="BZ214" s="10">
        <x:f>IF(AM214="","",AM214)</x:f>
      </x:c>
      <x:c r="CA214" s="10">
        <x:f>IF(AK214&lt;&gt;"",AK214,AW214)</x:f>
      </x:c>
      <x:c r="CB214" s="10">
        <x:f>IF((Weights!$C$13*IF(BP214="",0,1)+Weights!$C$14*IF(BR214="",0,1)+Weights!$C$15*IF(BQ214="",0,1)+Weights!$C$16*IF(BS214="",0,1)+Weights!$C$17*IF(BU214="",0,1)+Weights!$C$18*IF(BT214="",0,1)+Weights!$C$19*IF(BW214="",0,1)+Weights!$C$20*IF(BZ214="",0,1)+Weights!$C$21*IF(BO214="",0,1)+Weights!$C$22)=0,"",(Weights!$C$13*IF(BP214="",0,BP214)+Weights!$C$14*IF(BR214="",0,BR214)+Weights!$C$15*IF(BQ214="",0,BQ214)+Weights!$C$16*IF(BS214="",0,BS214)+Weights!$C$17*IF(BU214="",0,BU214)+Weights!$C$18*IF(BT214="",0,BT214)+Weights!$C$19*IF(BW214="",0,BW214)+Weights!$C$20*IF(BZ214="",0,BZ214)+Weights!$C$21*IF(BO214="",0,BO214)+Weights!$C$22*BV214)/(Weights!$C$13*IF(BP214="",0,1)+Weights!$C$14*IF(BR214="",0,1)+Weights!$C$15*IF(BQ214="",0,1)+Weights!$C$16*IF(BS214="",0,1)+Weights!$C$17*IF(BU214="",0,1)+Weights!$C$18*IF(BT214="",0,1)+Weights!$C$19*IF(BW214="",0,1)+Weights!$C$20*IF(BZ214="",0,1)+Weights!$C$21*IF(BO214="",0,1)+Weights!$C$22))</x:f>
      </x:c>
      <x:c r="CC214" s="10">
        <x:f>IF((Weights!$C$23*IF(BQ214="",0,1)+Weights!$C$24*IF(BN214="",0,1)+Weights!$C$25*IF(BS214="",0,1)+Weights!$C$26*IF(BY214="",0,1)+Weights!$C$27*IF(BX214="",0,1)+Weights!$C$28*IF(BT214="",0,1)+Weights!$C$29*IF(CA214="",0,1)+Weights!$C$30+Weights!$C$31*IF(BU214="",0,1))=0,"",(Weights!$C$23*IF(BQ214="",0,BQ214)+Weights!$C$24*IF(BN214="",0,BN214)+Weights!$C$25*IF(BS214="",0,BS214)+Weights!$C$26*IF(BY214="",0,BY214)+Weights!$C$27*IF(BX214="",0,BX214)+Weights!$C$28*IF(BT214="",0,BT214)+Weights!$C$29*IF(CA214="",0,CA214)+Weights!$C$30*BV214+Weights!$C$31*IF(BU214="",0,BU214))/(Weights!$C$23*IF(BQ214="",0,1)+Weights!$C$24*IF(BN214="",0,1)+Weights!$C$25*IF(BS214="",0,1)+Weights!$C$26*IF(BY214="",0,1)+Weights!$C$27*IF(BX214="",0,1)+Weights!$C$28*IF(BT214="",0,1)+Weights!$C$29*IF(CA214="",0,1)+Weights!$C$30+Weights!$C$31*IF(BU214="",0,1)))</x:f>
      </x:c>
      <x:c r="CD214" s="10">
        <x:f>IF(AND(CB214="",CC214=""),"",IF(CB214="",CC214,IF(CC214="",CB214,AVERAGE(CB214,CC214))))</x:f>
      </x:c>
      <x:c r="CE214" s="7">
        <x:f>ROUND(100*((IF(BP214&lt;&gt;"",1,0)+IF(BQ214&lt;&gt;"",1,0)+IF(BR214&lt;&gt;"",1,0)+IF(BS214&lt;&gt;"",1,0)+IF(BU214&lt;&gt;"",1,0)+IF(BT214&lt;&gt;"",1,0)+IF(BN214&lt;&gt;"",1,0)+IF(AW214&lt;&gt;"",1,0))/8),0)</x:f>
      </x:c>
      <x:c r="CF214">
        <x:f>IF(V214="","",LOG10(V214+1))</x:f>
      </x:c>
      <x:c r="CG214">
        <x:f>IF(CF214="","",IF(MAX($CF$2:$CF$252)-MIN($CF$2:$CF$252)=0,"",(CF214-MIN($CF$2:$CF$252))/(MAX($CF$2:$CF$252)-MIN($CF$2:$CF$252))*100))</x:f>
      </x:c>
    </x:row>
    <x:row r="215">
      <x:c r="A215" t="inlineStr">
        <x:is>
          <x:t xml:space="preserve">MAF</x:t>
        </x:is>
      </x:c>
      <x:c r="B215" t="inlineStr">
        <x:is>
          <x:t xml:space="preserve">St. Martin (French part)</x:t>
        </x:is>
      </x:c>
      <x:c r="C215" t="inlineStr">
        <x:is>
          <x:t xml:space="preserve">Latin America &amp; Caribbean</x:t>
        </x:is>
      </x:c>
      <x:c r="D215" t="inlineStr">
        <x:is>
          <x:t xml:space="preserve">High income</x:t>
        </x:is>
      </x:c>
      <x:c r="F215" t="n">
        <x:v>2024</x:v>
      </x:c>
      <x:c r="G215" t="n">
        <x:v>26129</x:v>
      </x:c>
      <x:c r="N215" s="8" t="n"/>
      <x:c r="O215" s="9" t="n"/>
      <x:c r="P215" s="8" t="n"/>
      <x:c r="Q215" t="n">
        <x:v>2021</x:v>
      </x:c>
      <x:c r="R215" s="8" t="n">
        <x:v>649206262.847519</x:v>
      </x:c>
      <x:c r="S215" t="n">
        <x:v>0</x:v>
      </x:c>
      <x:c r="T215" t="n">
        <x:v>0</x:v>
      </x:c>
      <x:c r="U215" t="inlineStr">
        <x:is>
          <x:t xml:space="preserve">No</x:t>
        </x:is>
      </x:c>
      <x:c r="W215" t="inlineStr">
        <x:is>
          <x:t xml:space="preserve">No</x:t>
        </x:is>
      </x:c>
      <x:c r="AB215" s="8" t="n"/>
      <x:c r="AR215">
        <x:f>IF(G215="","",LOG10(G215+1))</x:f>
      </x:c>
      <x:c r="AS215" s="10">
        <x:f>IF(AR215="","",IF(MAX($AR$2:$AR$252)-MIN($AR$2:$AR$252)=0,"",(AR215-MIN($AR$2:$AR$252))/(MAX($AR$2:$AR$252)-MIN($AR$2:$AR$252))*100))</x:f>
      </x:c>
      <x:c r="AT215">
        <x:f>IF(R215="","",LOG10(R215+1))</x:f>
      </x:c>
      <x:c r="AU215" s="10">
        <x:f>IF(AT215="","",IF(MAX($AT$2:$AT$252)-MIN($AT$2:$AT$252)=0,"",(AT215-MIN($AT$2:$AT$252))/(MAX($AT$2:$AT$252)-MIN($AT$2:$AT$252))*100))</x:f>
      </x:c>
      <x:c r="AV215">
        <x:f>IF(N215="","",LOG10(N215+1))</x:f>
      </x:c>
      <x:c r="AW215" s="10">
        <x:f>IF(AV215="","",IF(MAX($AV$2:$AV$252)-MIN($AV$2:$AV$252)=0,"",(AV215-MIN($AV$2:$AV$252))/(MAX($AV$2:$AV$252)-MIN($AV$2:$AV$252))*100))</x:f>
      </x:c>
      <x:c r="AX215">
        <x:f>IF(I215="","",LOG10(I215+1))</x:f>
      </x:c>
      <x:c r="AY215" s="10">
        <x:f>IF(AX215="","",IF(MAX($AX$2:$AX$252)-MIN($AX$2:$AX$252)=0,"",(AX215-MIN($AX$2:$AX$252))/(MAX($AX$2:$AX$252)-MIN($AX$2:$AX$252))*100))</x:f>
      </x:c>
      <x:c r="AZ215">
        <x:f>IF(J215="","",LOG10(J215+1))</x:f>
      </x:c>
      <x:c r="BA215" s="10">
        <x:f>IF(AZ215="","",IF(MAX($AZ$2:$AZ$252)-MIN($AZ$2:$AZ$252)=0,"",(AZ215-MIN($AZ$2:$AZ$252))/(MAX($AZ$2:$AZ$252)-MIN($AZ$2:$AZ$252))*100))</x:f>
      </x:c>
      <x:c r="BB215">
        <x:f>IF(K215="","",LOG10(K215+1))</x:f>
      </x:c>
      <x:c r="BC215" s="10">
        <x:f>IF(BB215="","",IF(MAX($BB$2:$BB$252)-MIN($BB$2:$BB$252)=0,"",(BB215-MIN($BB$2:$BB$252))/(MAX($BB$2:$BB$252)-MIN($BB$2:$BB$252))*100))</x:f>
      </x:c>
      <x:c r="BD215">
        <x:f>IF(L215="","",LOG10(L215+1))</x:f>
      </x:c>
      <x:c r="BE215" s="10">
        <x:f>IF(BD215="","",IF(MAX($BD$2:$BD$252)-MIN($BD$2:$BD$252)=0,"",(BD215-MIN($BD$2:$BD$252))/(MAX($BD$2:$BD$252)-MIN($BD$2:$BD$252))*100))</x:f>
      </x:c>
      <x:c r="BF215" s="10">
        <x:f>IF(P215="","",IF(MAX($P$2:$P$252)-MIN($P$2:$P$252)=0,"",(P215-MIN($P$2:$P$252))/(MAX($P$2:$P$252)-MIN($P$2:$P$252))*100))</x:f>
      </x:c>
      <x:c r="BG215">
        <x:f>IF(AF215="","",LOG10(AF215+1))</x:f>
      </x:c>
      <x:c r="BH215" s="10">
        <x:f>IF(BG215="","",IF(MAX($BG$2:$BG$252)-MIN($BG$2:$BG$252)=0,"",(BG215-MIN($BG$2:$BG$252))/(MAX($BG$2:$BG$252)-MIN($BG$2:$BG$252))*100))</x:f>
      </x:c>
      <x:c r="BI215">
        <x:f>IF(AC215="","",LOG10(AC215+1))</x:f>
      </x:c>
      <x:c r="BJ215" s="10">
        <x:f>IF(BI215="","",IF(MAX($BI$2:$BI$252)-MIN($BI$2:$BI$252)=0,"",(BI215-MIN($BI$2:$BI$252))/(MAX($BI$2:$BI$252)-MIN($BI$2:$BI$252))*100))</x:f>
      </x:c>
      <x:c r="BK215">
        <x:f>IF(AD215="","",(AD215*2)+(AE215*1))</x:f>
      </x:c>
      <x:c r="BL215" s="10">
        <x:f>IF(BK215="","",IF(MAX($BK$2:$BK$252)-MIN($BK$2:$BK$252)=0,"",(BK215-MIN($BK$2:$BK$252))/(MAX($BK$2:$BK$252)-MIN($BK$2:$BK$252))*100))</x:f>
      </x:c>
      <x:c r="BM215" s="10">
        <x:f>IF(AB215="","",IF(MAX($AB$2:$AB$252)-MIN($AB$2:$AB$252)=0,"",(AB215-MIN($AB$2:$AB$252))/(MAX($AB$2:$AB$252)-MIN($AB$2:$AB$252))*100))</x:f>
      </x:c>
      <x:c r="BN215" s="10">
        <x:f>IF(X215="","",X215)</x:f>
      </x:c>
      <x:c r="BO215" s="10">
        <x:f>IF(X215="","",100-X215)</x:f>
      </x:c>
      <x:c r="BP215" s="10">
        <x:f>IF((Weights!$C$2*IF(BH215="",0,1)+Weights!$C$3*IF(BJ215="",0,1)+Weights!$C$4*IF(BL215="",0,1))=0,"",(Weights!$C$2*IF(BH215="",0,BH215)+Weights!$C$3*IF(BJ215="",0,BJ215)+Weights!$C$4*IF(BL215="",0,BL215))/(Weights!$C$2*IF(BH215="",0,1)+Weights!$C$3*IF(BJ215="",0,1)+Weights!$C$4*IF(BL215="",0,1)))</x:f>
      </x:c>
      <x:c r="BQ215" s="10">
        <x:f>IF((Weights!$C$5*IF(BA215="",0,1)+Weights!$C$6*IF(AW215="",0,1)+Weights!$C$7*IF(AU215="",0,1))=0,"",(Weights!$C$5*IF(BA215="",0,BA215)+Weights!$C$6*IF(AW215="",0,AW215)+Weights!$C$7*IF(AU215="",0,AU215))/(Weights!$C$5*IF(BA215="",0,1)+Weights!$C$6*IF(AW215="",0,1)+Weights!$C$7*IF(AU215="",0,1)))</x:f>
      </x:c>
      <x:c r="BR215" s="10">
        <x:f>IF((Weights!$C$8*IF(AW215="",0,1)+Weights!$C$9*IF(BC215="",0,1)+Weights!$C$10*IF(BF215="",0,1))=0,"",(Weights!$C$8*IF(AW215="",0,AW215)+Weights!$C$9*IF(BC215="",0,BC215)+Weights!$C$10*IF(BF215="",0,BF215))/(Weights!$C$8*IF(AW215="",0,1)+Weights!$C$9*IF(BC215="",0,1)+Weights!$C$10*IF(BF215="",0,1)))</x:f>
      </x:c>
      <x:c r="BS215" s="10">
        <x:f>IF(Y215="","",Y215)</x:f>
      </x:c>
      <x:c r="BT215" s="10">
        <x:f>IF(AS215="","",AS215)</x:f>
      </x:c>
      <x:c r="BU215" s="10">
        <x:f>IF(AJ215&lt;&gt;"",(0.6*AJ215+0.4*AU215),IF((Weights!$C$11*IF(AU215="",0,1)+Weights!$C$12*IF(BM215="",0,1))=0,"",(Weights!$C$11*IF(AU215="",0,AU215)+Weights!$C$12*IF(BM215="",0,BM215))/(Weights!$C$11*IF(AU215="",0,1)+Weights!$C$12*IF(BM215="",0,1))))</x:f>
      </x:c>
      <x:c r="BV215" s="10">
        <x:f>IF(CG215="",0,CG215)</x:f>
      </x:c>
      <x:c r="BW215" s="10">
        <x:f>IF(AP215="","",AP215)</x:f>
      </x:c>
      <x:c r="BX215" s="10">
        <x:f>IF(AO215="","",AO215)</x:f>
      </x:c>
      <x:c r="BY215" s="10">
        <x:f>IF(AL215="","",AL215)</x:f>
      </x:c>
      <x:c r="BZ215" s="10">
        <x:f>IF(AM215="","",AM215)</x:f>
      </x:c>
      <x:c r="CA215" s="10">
        <x:f>IF(AK215&lt;&gt;"",AK215,AW215)</x:f>
      </x:c>
      <x:c r="CB215" s="10">
        <x:f>IF((Weights!$C$13*IF(BP215="",0,1)+Weights!$C$14*IF(BR215="",0,1)+Weights!$C$15*IF(BQ215="",0,1)+Weights!$C$16*IF(BS215="",0,1)+Weights!$C$17*IF(BU215="",0,1)+Weights!$C$18*IF(BT215="",0,1)+Weights!$C$19*IF(BW215="",0,1)+Weights!$C$20*IF(BZ215="",0,1)+Weights!$C$21*IF(BO215="",0,1)+Weights!$C$22)=0,"",(Weights!$C$13*IF(BP215="",0,BP215)+Weights!$C$14*IF(BR215="",0,BR215)+Weights!$C$15*IF(BQ215="",0,BQ215)+Weights!$C$16*IF(BS215="",0,BS215)+Weights!$C$17*IF(BU215="",0,BU215)+Weights!$C$18*IF(BT215="",0,BT215)+Weights!$C$19*IF(BW215="",0,BW215)+Weights!$C$20*IF(BZ215="",0,BZ215)+Weights!$C$21*IF(BO215="",0,BO215)+Weights!$C$22*BV215)/(Weights!$C$13*IF(BP215="",0,1)+Weights!$C$14*IF(BR215="",0,1)+Weights!$C$15*IF(BQ215="",0,1)+Weights!$C$16*IF(BS215="",0,1)+Weights!$C$17*IF(BU215="",0,1)+Weights!$C$18*IF(BT215="",0,1)+Weights!$C$19*IF(BW215="",0,1)+Weights!$C$20*IF(BZ215="",0,1)+Weights!$C$21*IF(BO215="",0,1)+Weights!$C$22))</x:f>
      </x:c>
      <x:c r="CC215" s="10">
        <x:f>IF((Weights!$C$23*IF(BQ215="",0,1)+Weights!$C$24*IF(BN215="",0,1)+Weights!$C$25*IF(BS215="",0,1)+Weights!$C$26*IF(BY215="",0,1)+Weights!$C$27*IF(BX215="",0,1)+Weights!$C$28*IF(BT215="",0,1)+Weights!$C$29*IF(CA215="",0,1)+Weights!$C$30+Weights!$C$31*IF(BU215="",0,1))=0,"",(Weights!$C$23*IF(BQ215="",0,BQ215)+Weights!$C$24*IF(BN215="",0,BN215)+Weights!$C$25*IF(BS215="",0,BS215)+Weights!$C$26*IF(BY215="",0,BY215)+Weights!$C$27*IF(BX215="",0,BX215)+Weights!$C$28*IF(BT215="",0,BT215)+Weights!$C$29*IF(CA215="",0,CA215)+Weights!$C$30*BV215+Weights!$C$31*IF(BU215="",0,BU215))/(Weights!$C$23*IF(BQ215="",0,1)+Weights!$C$24*IF(BN215="",0,1)+Weights!$C$25*IF(BS215="",0,1)+Weights!$C$26*IF(BY215="",0,1)+Weights!$C$27*IF(BX215="",0,1)+Weights!$C$28*IF(BT215="",0,1)+Weights!$C$29*IF(CA215="",0,1)+Weights!$C$30+Weights!$C$31*IF(BU215="",0,1)))</x:f>
      </x:c>
      <x:c r="CD215" s="10">
        <x:f>IF(AND(CB215="",CC215=""),"",IF(CB215="",CC215,IF(CC215="",CB215,AVERAGE(CB215,CC215))))</x:f>
      </x:c>
      <x:c r="CE215" s="7">
        <x:f>ROUND(100*((IF(BP215&lt;&gt;"",1,0)+IF(BQ215&lt;&gt;"",1,0)+IF(BR215&lt;&gt;"",1,0)+IF(BS215&lt;&gt;"",1,0)+IF(BU215&lt;&gt;"",1,0)+IF(BT215&lt;&gt;"",1,0)+IF(BN215&lt;&gt;"",1,0)+IF(AW215&lt;&gt;"",1,0))/8),0)</x:f>
      </x:c>
      <x:c r="CF215">
        <x:f>IF(V215="","",LOG10(V215+1))</x:f>
      </x:c>
      <x:c r="CG215">
        <x:f>IF(CF215="","",IF(MAX($CF$2:$CF$252)-MIN($CF$2:$CF$252)=0,"",(CF215-MIN($CF$2:$CF$252))/(MAX($CF$2:$CF$252)-MIN($CF$2:$CF$252))*100))</x:f>
      </x:c>
    </x:row>
    <x:row r="216">
      <x:c r="A216" t="inlineStr">
        <x:is>
          <x:t xml:space="preserve">SPM</x:t>
        </x:is>
      </x:c>
      <x:c r="B216" t="inlineStr">
        <x:is>
          <x:t xml:space="preserve">Saint Pierre and Miquelon</x:t>
        </x:is>
      </x:c>
      <x:c r="N216" s="8" t="n"/>
      <x:c r="O216" s="9" t="n"/>
      <x:c r="P216" s="8" t="n"/>
      <x:c r="R216" s="8" t="n"/>
      <x:c r="AB216" s="8" t="n"/>
      <x:c r="AR216">
        <x:f>IF(G216="","",LOG10(G216+1))</x:f>
      </x:c>
      <x:c r="AS216" s="10">
        <x:f>IF(AR216="","",IF(MAX($AR$2:$AR$252)-MIN($AR$2:$AR$252)=0,"",(AR216-MIN($AR$2:$AR$252))/(MAX($AR$2:$AR$252)-MIN($AR$2:$AR$252))*100))</x:f>
      </x:c>
      <x:c r="AT216">
        <x:f>IF(R216="","",LOG10(R216+1))</x:f>
      </x:c>
      <x:c r="AU216" s="10">
        <x:f>IF(AT216="","",IF(MAX($AT$2:$AT$252)-MIN($AT$2:$AT$252)=0,"",(AT216-MIN($AT$2:$AT$252))/(MAX($AT$2:$AT$252)-MIN($AT$2:$AT$252))*100))</x:f>
      </x:c>
      <x:c r="AV216">
        <x:f>IF(N216="","",LOG10(N216+1))</x:f>
      </x:c>
      <x:c r="AW216" s="10">
        <x:f>IF(AV216="","",IF(MAX($AV$2:$AV$252)-MIN($AV$2:$AV$252)=0,"",(AV216-MIN($AV$2:$AV$252))/(MAX($AV$2:$AV$252)-MIN($AV$2:$AV$252))*100))</x:f>
      </x:c>
      <x:c r="AX216">
        <x:f>IF(I216="","",LOG10(I216+1))</x:f>
      </x:c>
      <x:c r="AY216" s="10">
        <x:f>IF(AX216="","",IF(MAX($AX$2:$AX$252)-MIN($AX$2:$AX$252)=0,"",(AX216-MIN($AX$2:$AX$252))/(MAX($AX$2:$AX$252)-MIN($AX$2:$AX$252))*100))</x:f>
      </x:c>
      <x:c r="AZ216">
        <x:f>IF(J216="","",LOG10(J216+1))</x:f>
      </x:c>
      <x:c r="BA216" s="10">
        <x:f>IF(AZ216="","",IF(MAX($AZ$2:$AZ$252)-MIN($AZ$2:$AZ$252)=0,"",(AZ216-MIN($AZ$2:$AZ$252))/(MAX($AZ$2:$AZ$252)-MIN($AZ$2:$AZ$252))*100))</x:f>
      </x:c>
      <x:c r="BB216">
        <x:f>IF(K216="","",LOG10(K216+1))</x:f>
      </x:c>
      <x:c r="BC216" s="10">
        <x:f>IF(BB216="","",IF(MAX($BB$2:$BB$252)-MIN($BB$2:$BB$252)=0,"",(BB216-MIN($BB$2:$BB$252))/(MAX($BB$2:$BB$252)-MIN($BB$2:$BB$252))*100))</x:f>
      </x:c>
      <x:c r="BD216">
        <x:f>IF(L216="","",LOG10(L216+1))</x:f>
      </x:c>
      <x:c r="BE216" s="10">
        <x:f>IF(BD216="","",IF(MAX($BD$2:$BD$252)-MIN($BD$2:$BD$252)=0,"",(BD216-MIN($BD$2:$BD$252))/(MAX($BD$2:$BD$252)-MIN($BD$2:$BD$252))*100))</x:f>
      </x:c>
      <x:c r="BF216" s="10">
        <x:f>IF(P216="","",IF(MAX($P$2:$P$252)-MIN($P$2:$P$252)=0,"",(P216-MIN($P$2:$P$252))/(MAX($P$2:$P$252)-MIN($P$2:$P$252))*100))</x:f>
      </x:c>
      <x:c r="BG216">
        <x:f>IF(AF216="","",LOG10(AF216+1))</x:f>
      </x:c>
      <x:c r="BH216" s="10">
        <x:f>IF(BG216="","",IF(MAX($BG$2:$BG$252)-MIN($BG$2:$BG$252)=0,"",(BG216-MIN($BG$2:$BG$252))/(MAX($BG$2:$BG$252)-MIN($BG$2:$BG$252))*100))</x:f>
      </x:c>
      <x:c r="BI216">
        <x:f>IF(AC216="","",LOG10(AC216+1))</x:f>
      </x:c>
      <x:c r="BJ216" s="10">
        <x:f>IF(BI216="","",IF(MAX($BI$2:$BI$252)-MIN($BI$2:$BI$252)=0,"",(BI216-MIN($BI$2:$BI$252))/(MAX($BI$2:$BI$252)-MIN($BI$2:$BI$252))*100))</x:f>
      </x:c>
      <x:c r="BK216">
        <x:f>IF(AD216="","",(AD216*2)+(AE216*1))</x:f>
      </x:c>
      <x:c r="BL216" s="10">
        <x:f>IF(BK216="","",IF(MAX($BK$2:$BK$252)-MIN($BK$2:$BK$252)=0,"",(BK216-MIN($BK$2:$BK$252))/(MAX($BK$2:$BK$252)-MIN($BK$2:$BK$252))*100))</x:f>
      </x:c>
      <x:c r="BM216" s="10">
        <x:f>IF(AB216="","",IF(MAX($AB$2:$AB$252)-MIN($AB$2:$AB$252)=0,"",(AB216-MIN($AB$2:$AB$252))/(MAX($AB$2:$AB$252)-MIN($AB$2:$AB$252))*100))</x:f>
      </x:c>
      <x:c r="BN216" s="10">
        <x:f>IF(X216="","",X216)</x:f>
      </x:c>
      <x:c r="BO216" s="10">
        <x:f>IF(X216="","",100-X216)</x:f>
      </x:c>
      <x:c r="BP216" s="10">
        <x:f>IF((Weights!$C$2*IF(BH216="",0,1)+Weights!$C$3*IF(BJ216="",0,1)+Weights!$C$4*IF(BL216="",0,1))=0,"",(Weights!$C$2*IF(BH216="",0,BH216)+Weights!$C$3*IF(BJ216="",0,BJ216)+Weights!$C$4*IF(BL216="",0,BL216))/(Weights!$C$2*IF(BH216="",0,1)+Weights!$C$3*IF(BJ216="",0,1)+Weights!$C$4*IF(BL216="",0,1)))</x:f>
      </x:c>
      <x:c r="BQ216" s="10">
        <x:f>IF((Weights!$C$5*IF(BA216="",0,1)+Weights!$C$6*IF(AW216="",0,1)+Weights!$C$7*IF(AU216="",0,1))=0,"",(Weights!$C$5*IF(BA216="",0,BA216)+Weights!$C$6*IF(AW216="",0,AW216)+Weights!$C$7*IF(AU216="",0,AU216))/(Weights!$C$5*IF(BA216="",0,1)+Weights!$C$6*IF(AW216="",0,1)+Weights!$C$7*IF(AU216="",0,1)))</x:f>
      </x:c>
      <x:c r="BR216" s="10">
        <x:f>IF((Weights!$C$8*IF(AW216="",0,1)+Weights!$C$9*IF(BC216="",0,1)+Weights!$C$10*IF(BF216="",0,1))=0,"",(Weights!$C$8*IF(AW216="",0,AW216)+Weights!$C$9*IF(BC216="",0,BC216)+Weights!$C$10*IF(BF216="",0,BF216))/(Weights!$C$8*IF(AW216="",0,1)+Weights!$C$9*IF(BC216="",0,1)+Weights!$C$10*IF(BF216="",0,1)))</x:f>
      </x:c>
      <x:c r="BS216" s="10">
        <x:f>IF(Y216="","",Y216)</x:f>
      </x:c>
      <x:c r="BT216" s="10">
        <x:f>IF(AS216="","",AS216)</x:f>
      </x:c>
      <x:c r="BU216" s="10">
        <x:f>IF(AJ216&lt;&gt;"",(0.6*AJ216+0.4*AU216),IF((Weights!$C$11*IF(AU216="",0,1)+Weights!$C$12*IF(BM216="",0,1))=0,"",(Weights!$C$11*IF(AU216="",0,AU216)+Weights!$C$12*IF(BM216="",0,BM216))/(Weights!$C$11*IF(AU216="",0,1)+Weights!$C$12*IF(BM216="",0,1))))</x:f>
      </x:c>
      <x:c r="BV216" s="10">
        <x:f>IF(CG216="",0,CG216)</x:f>
      </x:c>
      <x:c r="BW216" s="10">
        <x:f>IF(AP216="","",AP216)</x:f>
      </x:c>
      <x:c r="BX216" s="10">
        <x:f>IF(AO216="","",AO216)</x:f>
      </x:c>
      <x:c r="BY216" s="10">
        <x:f>IF(AL216="","",AL216)</x:f>
      </x:c>
      <x:c r="BZ216" s="10">
        <x:f>IF(AM216="","",AM216)</x:f>
      </x:c>
      <x:c r="CA216" s="10">
        <x:f>IF(AK216&lt;&gt;"",AK216,AW216)</x:f>
      </x:c>
      <x:c r="CB216" s="10">
        <x:f>IF((Weights!$C$13*IF(BP216="",0,1)+Weights!$C$14*IF(BR216="",0,1)+Weights!$C$15*IF(BQ216="",0,1)+Weights!$C$16*IF(BS216="",0,1)+Weights!$C$17*IF(BU216="",0,1)+Weights!$C$18*IF(BT216="",0,1)+Weights!$C$19*IF(BW216="",0,1)+Weights!$C$20*IF(BZ216="",0,1)+Weights!$C$21*IF(BO216="",0,1)+Weights!$C$22)=0,"",(Weights!$C$13*IF(BP216="",0,BP216)+Weights!$C$14*IF(BR216="",0,BR216)+Weights!$C$15*IF(BQ216="",0,BQ216)+Weights!$C$16*IF(BS216="",0,BS216)+Weights!$C$17*IF(BU216="",0,BU216)+Weights!$C$18*IF(BT216="",0,BT216)+Weights!$C$19*IF(BW216="",0,BW216)+Weights!$C$20*IF(BZ216="",0,BZ216)+Weights!$C$21*IF(BO216="",0,BO216)+Weights!$C$22*BV216)/(Weights!$C$13*IF(BP216="",0,1)+Weights!$C$14*IF(BR216="",0,1)+Weights!$C$15*IF(BQ216="",0,1)+Weights!$C$16*IF(BS216="",0,1)+Weights!$C$17*IF(BU216="",0,1)+Weights!$C$18*IF(BT216="",0,1)+Weights!$C$19*IF(BW216="",0,1)+Weights!$C$20*IF(BZ216="",0,1)+Weights!$C$21*IF(BO216="",0,1)+Weights!$C$22))</x:f>
      </x:c>
      <x:c r="CC216" s="10">
        <x:f>IF((Weights!$C$23*IF(BQ216="",0,1)+Weights!$C$24*IF(BN216="",0,1)+Weights!$C$25*IF(BS216="",0,1)+Weights!$C$26*IF(BY216="",0,1)+Weights!$C$27*IF(BX216="",0,1)+Weights!$C$28*IF(BT216="",0,1)+Weights!$C$29*IF(CA216="",0,1)+Weights!$C$30+Weights!$C$31*IF(BU216="",0,1))=0,"",(Weights!$C$23*IF(BQ216="",0,BQ216)+Weights!$C$24*IF(BN216="",0,BN216)+Weights!$C$25*IF(BS216="",0,BS216)+Weights!$C$26*IF(BY216="",0,BY216)+Weights!$C$27*IF(BX216="",0,BX216)+Weights!$C$28*IF(BT216="",0,BT216)+Weights!$C$29*IF(CA216="",0,CA216)+Weights!$C$30*BV216+Weights!$C$31*IF(BU216="",0,BU216))/(Weights!$C$23*IF(BQ216="",0,1)+Weights!$C$24*IF(BN216="",0,1)+Weights!$C$25*IF(BS216="",0,1)+Weights!$C$26*IF(BY216="",0,1)+Weights!$C$27*IF(BX216="",0,1)+Weights!$C$28*IF(BT216="",0,1)+Weights!$C$29*IF(CA216="",0,1)+Weights!$C$30+Weights!$C$31*IF(BU216="",0,1)))</x:f>
      </x:c>
      <x:c r="CD216" s="10">
        <x:f>IF(AND(CB216="",CC216=""),"",IF(CB216="",CC216,IF(CC216="",CB216,AVERAGE(CB216,CC216))))</x:f>
      </x:c>
      <x:c r="CE216" s="7">
        <x:f>ROUND(100*((IF(BP216&lt;&gt;"",1,0)+IF(BQ216&lt;&gt;"",1,0)+IF(BR216&lt;&gt;"",1,0)+IF(BS216&lt;&gt;"",1,0)+IF(BU216&lt;&gt;"",1,0)+IF(BT216&lt;&gt;"",1,0)+IF(BN216&lt;&gt;"",1,0)+IF(AW216&lt;&gt;"",1,0))/8),0)</x:f>
      </x:c>
      <x:c r="CF216">
        <x:f>IF(V216="","",LOG10(V216+1))</x:f>
      </x:c>
      <x:c r="CG216">
        <x:f>IF(CF216="","",IF(MAX($CF$2:$CF$252)-MIN($CF$2:$CF$252)=0,"",(CF216-MIN($CF$2:$CF$252))/(MAX($CF$2:$CF$252)-MIN($CF$2:$CF$252))*100))</x:f>
      </x:c>
    </x:row>
    <x:row r="217">
      <x:c r="A217" t="inlineStr">
        <x:is>
          <x:t xml:space="preserve">VCT</x:t>
        </x:is>
      </x:c>
      <x:c r="B217" t="inlineStr">
        <x:is>
          <x:t xml:space="preserve">St. Vincent and the Grenadines</x:t>
        </x:is>
      </x:c>
      <x:c r="C217" t="inlineStr">
        <x:is>
          <x:t xml:space="preserve">Latin America &amp; Caribbean</x:t>
        </x:is>
      </x:c>
      <x:c r="D217" t="inlineStr">
        <x:is>
          <x:t xml:space="preserve">Upper middle income</x:t>
        </x:is>
      </x:c>
      <x:c r="F217" t="n">
        <x:v>2024</x:v>
      </x:c>
      <x:c r="G217" t="n">
        <x:v>100616</x:v>
      </x:c>
      <x:c r="N217" s="8" t="n"/>
      <x:c r="O217" s="9" t="n"/>
      <x:c r="P217" s="8" t="n"/>
      <x:c r="Q217" t="n">
        <x:v>2024</x:v>
      </x:c>
      <x:c r="R217" s="8" t="n">
        <x:v>1157207407.40741</x:v>
      </x:c>
      <x:c r="S217" t="n">
        <x:v>0</x:v>
      </x:c>
      <x:c r="T217" t="n">
        <x:v>0</x:v>
      </x:c>
      <x:c r="U217" t="inlineStr">
        <x:is>
          <x:t xml:space="preserve">No</x:t>
        </x:is>
      </x:c>
      <x:c r="W217" t="inlineStr">
        <x:is>
          <x:t xml:space="preserve">No</x:t>
        </x:is>
      </x:c>
      <x:c r="AB217" s="8" t="n"/>
      <x:c r="AR217">
        <x:f>IF(G217="","",LOG10(G217+1))</x:f>
      </x:c>
      <x:c r="AS217" s="10">
        <x:f>IF(AR217="","",IF(MAX($AR$2:$AR$252)-MIN($AR$2:$AR$252)=0,"",(AR217-MIN($AR$2:$AR$252))/(MAX($AR$2:$AR$252)-MIN($AR$2:$AR$252))*100))</x:f>
      </x:c>
      <x:c r="AT217">
        <x:f>IF(R217="","",LOG10(R217+1))</x:f>
      </x:c>
      <x:c r="AU217" s="10">
        <x:f>IF(AT217="","",IF(MAX($AT$2:$AT$252)-MIN($AT$2:$AT$252)=0,"",(AT217-MIN($AT$2:$AT$252))/(MAX($AT$2:$AT$252)-MIN($AT$2:$AT$252))*100))</x:f>
      </x:c>
      <x:c r="AV217">
        <x:f>IF(N217="","",LOG10(N217+1))</x:f>
      </x:c>
      <x:c r="AW217" s="10">
        <x:f>IF(AV217="","",IF(MAX($AV$2:$AV$252)-MIN($AV$2:$AV$252)=0,"",(AV217-MIN($AV$2:$AV$252))/(MAX($AV$2:$AV$252)-MIN($AV$2:$AV$252))*100))</x:f>
      </x:c>
      <x:c r="AX217">
        <x:f>IF(I217="","",LOG10(I217+1))</x:f>
      </x:c>
      <x:c r="AY217" s="10">
        <x:f>IF(AX217="","",IF(MAX($AX$2:$AX$252)-MIN($AX$2:$AX$252)=0,"",(AX217-MIN($AX$2:$AX$252))/(MAX($AX$2:$AX$252)-MIN($AX$2:$AX$252))*100))</x:f>
      </x:c>
      <x:c r="AZ217">
        <x:f>IF(J217="","",LOG10(J217+1))</x:f>
      </x:c>
      <x:c r="BA217" s="10">
        <x:f>IF(AZ217="","",IF(MAX($AZ$2:$AZ$252)-MIN($AZ$2:$AZ$252)=0,"",(AZ217-MIN($AZ$2:$AZ$252))/(MAX($AZ$2:$AZ$252)-MIN($AZ$2:$AZ$252))*100))</x:f>
      </x:c>
      <x:c r="BB217">
        <x:f>IF(K217="","",LOG10(K217+1))</x:f>
      </x:c>
      <x:c r="BC217" s="10">
        <x:f>IF(BB217="","",IF(MAX($BB$2:$BB$252)-MIN($BB$2:$BB$252)=0,"",(BB217-MIN($BB$2:$BB$252))/(MAX($BB$2:$BB$252)-MIN($BB$2:$BB$252))*100))</x:f>
      </x:c>
      <x:c r="BD217">
        <x:f>IF(L217="","",LOG10(L217+1))</x:f>
      </x:c>
      <x:c r="BE217" s="10">
        <x:f>IF(BD217="","",IF(MAX($BD$2:$BD$252)-MIN($BD$2:$BD$252)=0,"",(BD217-MIN($BD$2:$BD$252))/(MAX($BD$2:$BD$252)-MIN($BD$2:$BD$252))*100))</x:f>
      </x:c>
      <x:c r="BF217" s="10">
        <x:f>IF(P217="","",IF(MAX($P$2:$P$252)-MIN($P$2:$P$252)=0,"",(P217-MIN($P$2:$P$252))/(MAX($P$2:$P$252)-MIN($P$2:$P$252))*100))</x:f>
      </x:c>
      <x:c r="BG217">
        <x:f>IF(AF217="","",LOG10(AF217+1))</x:f>
      </x:c>
      <x:c r="BH217" s="10">
        <x:f>IF(BG217="","",IF(MAX($BG$2:$BG$252)-MIN($BG$2:$BG$252)=0,"",(BG217-MIN($BG$2:$BG$252))/(MAX($BG$2:$BG$252)-MIN($BG$2:$BG$252))*100))</x:f>
      </x:c>
      <x:c r="BI217">
        <x:f>IF(AC217="","",LOG10(AC217+1))</x:f>
      </x:c>
      <x:c r="BJ217" s="10">
        <x:f>IF(BI217="","",IF(MAX($BI$2:$BI$252)-MIN($BI$2:$BI$252)=0,"",(BI217-MIN($BI$2:$BI$252))/(MAX($BI$2:$BI$252)-MIN($BI$2:$BI$252))*100))</x:f>
      </x:c>
      <x:c r="BK217">
        <x:f>IF(AD217="","",(AD217*2)+(AE217*1))</x:f>
      </x:c>
      <x:c r="BL217" s="10">
        <x:f>IF(BK217="","",IF(MAX($BK$2:$BK$252)-MIN($BK$2:$BK$252)=0,"",(BK217-MIN($BK$2:$BK$252))/(MAX($BK$2:$BK$252)-MIN($BK$2:$BK$252))*100))</x:f>
      </x:c>
      <x:c r="BM217" s="10">
        <x:f>IF(AB217="","",IF(MAX($AB$2:$AB$252)-MIN($AB$2:$AB$252)=0,"",(AB217-MIN($AB$2:$AB$252))/(MAX($AB$2:$AB$252)-MIN($AB$2:$AB$252))*100))</x:f>
      </x:c>
      <x:c r="BN217" s="10">
        <x:f>IF(X217="","",X217)</x:f>
      </x:c>
      <x:c r="BO217" s="10">
        <x:f>IF(X217="","",100-X217)</x:f>
      </x:c>
      <x:c r="BP217" s="10">
        <x:f>IF((Weights!$C$2*IF(BH217="",0,1)+Weights!$C$3*IF(BJ217="",0,1)+Weights!$C$4*IF(BL217="",0,1))=0,"",(Weights!$C$2*IF(BH217="",0,BH217)+Weights!$C$3*IF(BJ217="",0,BJ217)+Weights!$C$4*IF(BL217="",0,BL217))/(Weights!$C$2*IF(BH217="",0,1)+Weights!$C$3*IF(BJ217="",0,1)+Weights!$C$4*IF(BL217="",0,1)))</x:f>
      </x:c>
      <x:c r="BQ217" s="10">
        <x:f>IF((Weights!$C$5*IF(BA217="",0,1)+Weights!$C$6*IF(AW217="",0,1)+Weights!$C$7*IF(AU217="",0,1))=0,"",(Weights!$C$5*IF(BA217="",0,BA217)+Weights!$C$6*IF(AW217="",0,AW217)+Weights!$C$7*IF(AU217="",0,AU217))/(Weights!$C$5*IF(BA217="",0,1)+Weights!$C$6*IF(AW217="",0,1)+Weights!$C$7*IF(AU217="",0,1)))</x:f>
      </x:c>
      <x:c r="BR217" s="10">
        <x:f>IF((Weights!$C$8*IF(AW217="",0,1)+Weights!$C$9*IF(BC217="",0,1)+Weights!$C$10*IF(BF217="",0,1))=0,"",(Weights!$C$8*IF(AW217="",0,AW217)+Weights!$C$9*IF(BC217="",0,BC217)+Weights!$C$10*IF(BF217="",0,BF217))/(Weights!$C$8*IF(AW217="",0,1)+Weights!$C$9*IF(BC217="",0,1)+Weights!$C$10*IF(BF217="",0,1)))</x:f>
      </x:c>
      <x:c r="BS217" s="10">
        <x:f>IF(Y217="","",Y217)</x:f>
      </x:c>
      <x:c r="BT217" s="10">
        <x:f>IF(AS217="","",AS217)</x:f>
      </x:c>
      <x:c r="BU217" s="10">
        <x:f>IF(AJ217&lt;&gt;"",(0.6*AJ217+0.4*AU217),IF((Weights!$C$11*IF(AU217="",0,1)+Weights!$C$12*IF(BM217="",0,1))=0,"",(Weights!$C$11*IF(AU217="",0,AU217)+Weights!$C$12*IF(BM217="",0,BM217))/(Weights!$C$11*IF(AU217="",0,1)+Weights!$C$12*IF(BM217="",0,1))))</x:f>
      </x:c>
      <x:c r="BV217" s="10">
        <x:f>IF(CG217="",0,CG217)</x:f>
      </x:c>
      <x:c r="BW217" s="10">
        <x:f>IF(AP217="","",AP217)</x:f>
      </x:c>
      <x:c r="BX217" s="10">
        <x:f>IF(AO217="","",AO217)</x:f>
      </x:c>
      <x:c r="BY217" s="10">
        <x:f>IF(AL217="","",AL217)</x:f>
      </x:c>
      <x:c r="BZ217" s="10">
        <x:f>IF(AM217="","",AM217)</x:f>
      </x:c>
      <x:c r="CA217" s="10">
        <x:f>IF(AK217&lt;&gt;"",AK217,AW217)</x:f>
      </x:c>
      <x:c r="CB217" s="10">
        <x:f>IF((Weights!$C$13*IF(BP217="",0,1)+Weights!$C$14*IF(BR217="",0,1)+Weights!$C$15*IF(BQ217="",0,1)+Weights!$C$16*IF(BS217="",0,1)+Weights!$C$17*IF(BU217="",0,1)+Weights!$C$18*IF(BT217="",0,1)+Weights!$C$19*IF(BW217="",0,1)+Weights!$C$20*IF(BZ217="",0,1)+Weights!$C$21*IF(BO217="",0,1)+Weights!$C$22)=0,"",(Weights!$C$13*IF(BP217="",0,BP217)+Weights!$C$14*IF(BR217="",0,BR217)+Weights!$C$15*IF(BQ217="",0,BQ217)+Weights!$C$16*IF(BS217="",0,BS217)+Weights!$C$17*IF(BU217="",0,BU217)+Weights!$C$18*IF(BT217="",0,BT217)+Weights!$C$19*IF(BW217="",0,BW217)+Weights!$C$20*IF(BZ217="",0,BZ217)+Weights!$C$21*IF(BO217="",0,BO217)+Weights!$C$22*BV217)/(Weights!$C$13*IF(BP217="",0,1)+Weights!$C$14*IF(BR217="",0,1)+Weights!$C$15*IF(BQ217="",0,1)+Weights!$C$16*IF(BS217="",0,1)+Weights!$C$17*IF(BU217="",0,1)+Weights!$C$18*IF(BT217="",0,1)+Weights!$C$19*IF(BW217="",0,1)+Weights!$C$20*IF(BZ217="",0,1)+Weights!$C$21*IF(BO217="",0,1)+Weights!$C$22))</x:f>
      </x:c>
      <x:c r="CC217" s="10">
        <x:f>IF((Weights!$C$23*IF(BQ217="",0,1)+Weights!$C$24*IF(BN217="",0,1)+Weights!$C$25*IF(BS217="",0,1)+Weights!$C$26*IF(BY217="",0,1)+Weights!$C$27*IF(BX217="",0,1)+Weights!$C$28*IF(BT217="",0,1)+Weights!$C$29*IF(CA217="",0,1)+Weights!$C$30+Weights!$C$31*IF(BU217="",0,1))=0,"",(Weights!$C$23*IF(BQ217="",0,BQ217)+Weights!$C$24*IF(BN217="",0,BN217)+Weights!$C$25*IF(BS217="",0,BS217)+Weights!$C$26*IF(BY217="",0,BY217)+Weights!$C$27*IF(BX217="",0,BX217)+Weights!$C$28*IF(BT217="",0,BT217)+Weights!$C$29*IF(CA217="",0,CA217)+Weights!$C$30*BV217+Weights!$C$31*IF(BU217="",0,BU217))/(Weights!$C$23*IF(BQ217="",0,1)+Weights!$C$24*IF(BN217="",0,1)+Weights!$C$25*IF(BS217="",0,1)+Weights!$C$26*IF(BY217="",0,1)+Weights!$C$27*IF(BX217="",0,1)+Weights!$C$28*IF(BT217="",0,1)+Weights!$C$29*IF(CA217="",0,1)+Weights!$C$30+Weights!$C$31*IF(BU217="",0,1)))</x:f>
      </x:c>
      <x:c r="CD217" s="10">
        <x:f>IF(AND(CB217="",CC217=""),"",IF(CB217="",CC217,IF(CC217="",CB217,AVERAGE(CB217,CC217))))</x:f>
      </x:c>
      <x:c r="CE217" s="7">
        <x:f>ROUND(100*((IF(BP217&lt;&gt;"",1,0)+IF(BQ217&lt;&gt;"",1,0)+IF(BR217&lt;&gt;"",1,0)+IF(BS217&lt;&gt;"",1,0)+IF(BU217&lt;&gt;"",1,0)+IF(BT217&lt;&gt;"",1,0)+IF(BN217&lt;&gt;"",1,0)+IF(AW217&lt;&gt;"",1,0))/8),0)</x:f>
      </x:c>
      <x:c r="CF217">
        <x:f>IF(V217="","",LOG10(V217+1))</x:f>
      </x:c>
      <x:c r="CG217">
        <x:f>IF(CF217="","",IF(MAX($CF$2:$CF$252)-MIN($CF$2:$CF$252)=0,"",(CF217-MIN($CF$2:$CF$252))/(MAX($CF$2:$CF$252)-MIN($CF$2:$CF$252))*100))</x:f>
      </x:c>
    </x:row>
    <x:row r="218">
      <x:c r="A218" t="inlineStr">
        <x:is>
          <x:t xml:space="preserve">SXM</x:t>
        </x:is>
      </x:c>
      <x:c r="B218" t="inlineStr">
        <x:is>
          <x:t xml:space="preserve">Sint Maarten (Dutch part)</x:t>
        </x:is>
      </x:c>
      <x:c r="C218" t="inlineStr">
        <x:is>
          <x:t xml:space="preserve">Latin America &amp; Caribbean</x:t>
        </x:is>
      </x:c>
      <x:c r="D218" t="inlineStr">
        <x:is>
          <x:t xml:space="preserve">High income</x:t>
        </x:is>
      </x:c>
      <x:c r="F218" t="n">
        <x:v>2024</x:v>
      </x:c>
      <x:c r="G218" t="n">
        <x:v>43350</x:v>
      </x:c>
      <x:c r="N218" s="8" t="n"/>
      <x:c r="O218" s="9" t="n"/>
      <x:c r="P218" s="8" t="n"/>
      <x:c r="Q218" t="n">
        <x:v>2024</x:v>
      </x:c>
      <x:c r="R218" s="8" t="n">
        <x:v>1797836665.95136</x:v>
      </x:c>
      <x:c r="S218" t="n">
        <x:v>0</x:v>
      </x:c>
      <x:c r="T218" t="n">
        <x:v>0</x:v>
      </x:c>
      <x:c r="U218" t="inlineStr">
        <x:is>
          <x:t xml:space="preserve">No</x:t>
        </x:is>
      </x:c>
      <x:c r="W218" t="inlineStr">
        <x:is>
          <x:t xml:space="preserve">No</x:t>
        </x:is>
      </x:c>
      <x:c r="AB218" s="8" t="n"/>
      <x:c r="AR218">
        <x:f>IF(G218="","",LOG10(G218+1))</x:f>
      </x:c>
      <x:c r="AS218" s="10">
        <x:f>IF(AR218="","",IF(MAX($AR$2:$AR$252)-MIN($AR$2:$AR$252)=0,"",(AR218-MIN($AR$2:$AR$252))/(MAX($AR$2:$AR$252)-MIN($AR$2:$AR$252))*100))</x:f>
      </x:c>
      <x:c r="AT218">
        <x:f>IF(R218="","",LOG10(R218+1))</x:f>
      </x:c>
      <x:c r="AU218" s="10">
        <x:f>IF(AT218="","",IF(MAX($AT$2:$AT$252)-MIN($AT$2:$AT$252)=0,"",(AT218-MIN($AT$2:$AT$252))/(MAX($AT$2:$AT$252)-MIN($AT$2:$AT$252))*100))</x:f>
      </x:c>
      <x:c r="AV218">
        <x:f>IF(N218="","",LOG10(N218+1))</x:f>
      </x:c>
      <x:c r="AW218" s="10">
        <x:f>IF(AV218="","",IF(MAX($AV$2:$AV$252)-MIN($AV$2:$AV$252)=0,"",(AV218-MIN($AV$2:$AV$252))/(MAX($AV$2:$AV$252)-MIN($AV$2:$AV$252))*100))</x:f>
      </x:c>
      <x:c r="AX218">
        <x:f>IF(I218="","",LOG10(I218+1))</x:f>
      </x:c>
      <x:c r="AY218" s="10">
        <x:f>IF(AX218="","",IF(MAX($AX$2:$AX$252)-MIN($AX$2:$AX$252)=0,"",(AX218-MIN($AX$2:$AX$252))/(MAX($AX$2:$AX$252)-MIN($AX$2:$AX$252))*100))</x:f>
      </x:c>
      <x:c r="AZ218">
        <x:f>IF(J218="","",LOG10(J218+1))</x:f>
      </x:c>
      <x:c r="BA218" s="10">
        <x:f>IF(AZ218="","",IF(MAX($AZ$2:$AZ$252)-MIN($AZ$2:$AZ$252)=0,"",(AZ218-MIN($AZ$2:$AZ$252))/(MAX($AZ$2:$AZ$252)-MIN($AZ$2:$AZ$252))*100))</x:f>
      </x:c>
      <x:c r="BB218">
        <x:f>IF(K218="","",LOG10(K218+1))</x:f>
      </x:c>
      <x:c r="BC218" s="10">
        <x:f>IF(BB218="","",IF(MAX($BB$2:$BB$252)-MIN($BB$2:$BB$252)=0,"",(BB218-MIN($BB$2:$BB$252))/(MAX($BB$2:$BB$252)-MIN($BB$2:$BB$252))*100))</x:f>
      </x:c>
      <x:c r="BD218">
        <x:f>IF(L218="","",LOG10(L218+1))</x:f>
      </x:c>
      <x:c r="BE218" s="10">
        <x:f>IF(BD218="","",IF(MAX($BD$2:$BD$252)-MIN($BD$2:$BD$252)=0,"",(BD218-MIN($BD$2:$BD$252))/(MAX($BD$2:$BD$252)-MIN($BD$2:$BD$252))*100))</x:f>
      </x:c>
      <x:c r="BF218" s="10">
        <x:f>IF(P218="","",IF(MAX($P$2:$P$252)-MIN($P$2:$P$252)=0,"",(P218-MIN($P$2:$P$252))/(MAX($P$2:$P$252)-MIN($P$2:$P$252))*100))</x:f>
      </x:c>
      <x:c r="BG218">
        <x:f>IF(AF218="","",LOG10(AF218+1))</x:f>
      </x:c>
      <x:c r="BH218" s="10">
        <x:f>IF(BG218="","",IF(MAX($BG$2:$BG$252)-MIN($BG$2:$BG$252)=0,"",(BG218-MIN($BG$2:$BG$252))/(MAX($BG$2:$BG$252)-MIN($BG$2:$BG$252))*100))</x:f>
      </x:c>
      <x:c r="BI218">
        <x:f>IF(AC218="","",LOG10(AC218+1))</x:f>
      </x:c>
      <x:c r="BJ218" s="10">
        <x:f>IF(BI218="","",IF(MAX($BI$2:$BI$252)-MIN($BI$2:$BI$252)=0,"",(BI218-MIN($BI$2:$BI$252))/(MAX($BI$2:$BI$252)-MIN($BI$2:$BI$252))*100))</x:f>
      </x:c>
      <x:c r="BK218">
        <x:f>IF(AD218="","",(AD218*2)+(AE218*1))</x:f>
      </x:c>
      <x:c r="BL218" s="10">
        <x:f>IF(BK218="","",IF(MAX($BK$2:$BK$252)-MIN($BK$2:$BK$252)=0,"",(BK218-MIN($BK$2:$BK$252))/(MAX($BK$2:$BK$252)-MIN($BK$2:$BK$252))*100))</x:f>
      </x:c>
      <x:c r="BM218" s="10">
        <x:f>IF(AB218="","",IF(MAX($AB$2:$AB$252)-MIN($AB$2:$AB$252)=0,"",(AB218-MIN($AB$2:$AB$252))/(MAX($AB$2:$AB$252)-MIN($AB$2:$AB$252))*100))</x:f>
      </x:c>
      <x:c r="BN218" s="10">
        <x:f>IF(X218="","",X218)</x:f>
      </x:c>
      <x:c r="BO218" s="10">
        <x:f>IF(X218="","",100-X218)</x:f>
      </x:c>
      <x:c r="BP218" s="10">
        <x:f>IF((Weights!$C$2*IF(BH218="",0,1)+Weights!$C$3*IF(BJ218="",0,1)+Weights!$C$4*IF(BL218="",0,1))=0,"",(Weights!$C$2*IF(BH218="",0,BH218)+Weights!$C$3*IF(BJ218="",0,BJ218)+Weights!$C$4*IF(BL218="",0,BL218))/(Weights!$C$2*IF(BH218="",0,1)+Weights!$C$3*IF(BJ218="",0,1)+Weights!$C$4*IF(BL218="",0,1)))</x:f>
      </x:c>
      <x:c r="BQ218" s="10">
        <x:f>IF((Weights!$C$5*IF(BA218="",0,1)+Weights!$C$6*IF(AW218="",0,1)+Weights!$C$7*IF(AU218="",0,1))=0,"",(Weights!$C$5*IF(BA218="",0,BA218)+Weights!$C$6*IF(AW218="",0,AW218)+Weights!$C$7*IF(AU218="",0,AU218))/(Weights!$C$5*IF(BA218="",0,1)+Weights!$C$6*IF(AW218="",0,1)+Weights!$C$7*IF(AU218="",0,1)))</x:f>
      </x:c>
      <x:c r="BR218" s="10">
        <x:f>IF((Weights!$C$8*IF(AW218="",0,1)+Weights!$C$9*IF(BC218="",0,1)+Weights!$C$10*IF(BF218="",0,1))=0,"",(Weights!$C$8*IF(AW218="",0,AW218)+Weights!$C$9*IF(BC218="",0,BC218)+Weights!$C$10*IF(BF218="",0,BF218))/(Weights!$C$8*IF(AW218="",0,1)+Weights!$C$9*IF(BC218="",0,1)+Weights!$C$10*IF(BF218="",0,1)))</x:f>
      </x:c>
      <x:c r="BS218" s="10">
        <x:f>IF(Y218="","",Y218)</x:f>
      </x:c>
      <x:c r="BT218" s="10">
        <x:f>IF(AS218="","",AS218)</x:f>
      </x:c>
      <x:c r="BU218" s="10">
        <x:f>IF(AJ218&lt;&gt;"",(0.6*AJ218+0.4*AU218),IF((Weights!$C$11*IF(AU218="",0,1)+Weights!$C$12*IF(BM218="",0,1))=0,"",(Weights!$C$11*IF(AU218="",0,AU218)+Weights!$C$12*IF(BM218="",0,BM218))/(Weights!$C$11*IF(AU218="",0,1)+Weights!$C$12*IF(BM218="",0,1))))</x:f>
      </x:c>
      <x:c r="BV218" s="10">
        <x:f>IF(CG218="",0,CG218)</x:f>
      </x:c>
      <x:c r="BW218" s="10">
        <x:f>IF(AP218="","",AP218)</x:f>
      </x:c>
      <x:c r="BX218" s="10">
        <x:f>IF(AO218="","",AO218)</x:f>
      </x:c>
      <x:c r="BY218" s="10">
        <x:f>IF(AL218="","",AL218)</x:f>
      </x:c>
      <x:c r="BZ218" s="10">
        <x:f>IF(AM218="","",AM218)</x:f>
      </x:c>
      <x:c r="CA218" s="10">
        <x:f>IF(AK218&lt;&gt;"",AK218,AW218)</x:f>
      </x:c>
      <x:c r="CB218" s="10">
        <x:f>IF((Weights!$C$13*IF(BP218="",0,1)+Weights!$C$14*IF(BR218="",0,1)+Weights!$C$15*IF(BQ218="",0,1)+Weights!$C$16*IF(BS218="",0,1)+Weights!$C$17*IF(BU218="",0,1)+Weights!$C$18*IF(BT218="",0,1)+Weights!$C$19*IF(BW218="",0,1)+Weights!$C$20*IF(BZ218="",0,1)+Weights!$C$21*IF(BO218="",0,1)+Weights!$C$22)=0,"",(Weights!$C$13*IF(BP218="",0,BP218)+Weights!$C$14*IF(BR218="",0,BR218)+Weights!$C$15*IF(BQ218="",0,BQ218)+Weights!$C$16*IF(BS218="",0,BS218)+Weights!$C$17*IF(BU218="",0,BU218)+Weights!$C$18*IF(BT218="",0,BT218)+Weights!$C$19*IF(BW218="",0,BW218)+Weights!$C$20*IF(BZ218="",0,BZ218)+Weights!$C$21*IF(BO218="",0,BO218)+Weights!$C$22*BV218)/(Weights!$C$13*IF(BP218="",0,1)+Weights!$C$14*IF(BR218="",0,1)+Weights!$C$15*IF(BQ218="",0,1)+Weights!$C$16*IF(BS218="",0,1)+Weights!$C$17*IF(BU218="",0,1)+Weights!$C$18*IF(BT218="",0,1)+Weights!$C$19*IF(BW218="",0,1)+Weights!$C$20*IF(BZ218="",0,1)+Weights!$C$21*IF(BO218="",0,1)+Weights!$C$22))</x:f>
      </x:c>
      <x:c r="CC218" s="10">
        <x:f>IF((Weights!$C$23*IF(BQ218="",0,1)+Weights!$C$24*IF(BN218="",0,1)+Weights!$C$25*IF(BS218="",0,1)+Weights!$C$26*IF(BY218="",0,1)+Weights!$C$27*IF(BX218="",0,1)+Weights!$C$28*IF(BT218="",0,1)+Weights!$C$29*IF(CA218="",0,1)+Weights!$C$30+Weights!$C$31*IF(BU218="",0,1))=0,"",(Weights!$C$23*IF(BQ218="",0,BQ218)+Weights!$C$24*IF(BN218="",0,BN218)+Weights!$C$25*IF(BS218="",0,BS218)+Weights!$C$26*IF(BY218="",0,BY218)+Weights!$C$27*IF(BX218="",0,BX218)+Weights!$C$28*IF(BT218="",0,BT218)+Weights!$C$29*IF(CA218="",0,CA218)+Weights!$C$30*BV218+Weights!$C$31*IF(BU218="",0,BU218))/(Weights!$C$23*IF(BQ218="",0,1)+Weights!$C$24*IF(BN218="",0,1)+Weights!$C$25*IF(BS218="",0,1)+Weights!$C$26*IF(BY218="",0,1)+Weights!$C$27*IF(BX218="",0,1)+Weights!$C$28*IF(BT218="",0,1)+Weights!$C$29*IF(CA218="",0,1)+Weights!$C$30+Weights!$C$31*IF(BU218="",0,1)))</x:f>
      </x:c>
      <x:c r="CD218" s="10">
        <x:f>IF(AND(CB218="",CC218=""),"",IF(CB218="",CC218,IF(CC218="",CB218,AVERAGE(CB218,CC218))))</x:f>
      </x:c>
      <x:c r="CE218" s="7">
        <x:f>ROUND(100*((IF(BP218&lt;&gt;"",1,0)+IF(BQ218&lt;&gt;"",1,0)+IF(BR218&lt;&gt;"",1,0)+IF(BS218&lt;&gt;"",1,0)+IF(BU218&lt;&gt;"",1,0)+IF(BT218&lt;&gt;"",1,0)+IF(BN218&lt;&gt;"",1,0)+IF(AW218&lt;&gt;"",1,0))/8),0)</x:f>
      </x:c>
      <x:c r="CF218">
        <x:f>IF(V218="","",LOG10(V218+1))</x:f>
      </x:c>
      <x:c r="CG218">
        <x:f>IF(CF218="","",IF(MAX($CF$2:$CF$252)-MIN($CF$2:$CF$252)=0,"",(CF218-MIN($CF$2:$CF$252))/(MAX($CF$2:$CF$252)-MIN($CF$2:$CF$252))*100))</x:f>
      </x:c>
    </x:row>
    <x:row r="219">
      <x:c r="A219" t="inlineStr">
        <x:is>
          <x:t xml:space="preserve">SVK</x:t>
        </x:is>
      </x:c>
      <x:c r="B219" t="inlineStr">
        <x:is>
          <x:t xml:space="preserve">Slovak Republic</x:t>
        </x:is>
      </x:c>
      <x:c r="C219" t="inlineStr">
        <x:is>
          <x:t xml:space="preserve">Europe &amp; Central Asia</x:t>
        </x:is>
      </x:c>
      <x:c r="D219" t="inlineStr">
        <x:is>
          <x:t xml:space="preserve">High income</x:t>
        </x:is>
      </x:c>
      <x:c r="E219" t="inlineStr">
        <x:is>
          <x:t xml:space="preserve">Europe</x:t>
        </x:is>
      </x:c>
      <x:c r="F219" t="n">
        <x:v>2024</x:v>
      </x:c>
      <x:c r="G219" t="n">
        <x:v>5422069</x:v>
      </x:c>
      <x:c r="H219" t="n">
        <x:v>2020</x:v>
      </x:c>
      <x:c r="I219" t="n">
        <x:v>18000</x:v>
      </x:c>
      <x:c r="J219" t="n">
        <x:v>11700</x:v>
      </x:c>
      <x:c r="K219" t="n">
        <x:v>3600</x:v>
      </x:c>
      <x:c r="L219" t="n">
        <x:v>2160</x:v>
      </x:c>
      <x:c r="M219" t="n">
        <x:v>2024</x:v>
      </x:c>
      <x:c r="N219" s="8" t="n">
        <x:v>2849224738.28021</x:v>
      </x:c>
      <x:c r="O219" s="9" t="n">
        <x:v>2.01078152849676</x:v>
      </x:c>
      <x:c r="P219" s="8" t="n">
        <x:v>158290.2632377894</x:v>
      </x:c>
      <x:c r="Q219" t="n">
        <x:v>2024</x:v>
      </x:c>
      <x:c r="R219" s="8" t="n">
        <x:v>140934076532.375</x:v>
      </x:c>
      <x:c r="S219" t="n">
        <x:v>0</x:v>
      </x:c>
      <x:c r="T219" t="n">
        <x:v>0</x:v>
      </x:c>
      <x:c r="U219" t="inlineStr">
        <x:is>
          <x:t xml:space="preserve">No</x:t>
        </x:is>
      </x:c>
      <x:c r="W219" t="inlineStr">
        <x:is>
          <x:t xml:space="preserve">No</x:t>
        </x:is>
      </x:c>
      <x:c r="X219" t="n">
        <x:v>14.95325422937323</x:v>
      </x:c>
      <x:c r="Y219" t="n">
        <x:v>73.90868187440459</x:v>
      </x:c>
      <x:c r="Z219" t="n">
        <x:v>47068.08202961888</x:v>
      </x:c>
      <x:c r="AA219" t="n">
        <x:v>115.7011028529495</x:v>
      </x:c>
      <x:c r="AB219" s="8" t="n">
        <x:v>30996.19910944688</x:v>
      </x:c>
      <x:c r="AR219">
        <x:f>IF(G219="","",LOG10(G219+1))</x:f>
      </x:c>
      <x:c r="AS219" s="10">
        <x:f>IF(AR219="","",IF(MAX($AR$2:$AR$252)-MIN($AR$2:$AR$252)=0,"",(AR219-MIN($AR$2:$AR$252))/(MAX($AR$2:$AR$252)-MIN($AR$2:$AR$252))*100))</x:f>
      </x:c>
      <x:c r="AT219">
        <x:f>IF(R219="","",LOG10(R219+1))</x:f>
      </x:c>
      <x:c r="AU219" s="10">
        <x:f>IF(AT219="","",IF(MAX($AT$2:$AT$252)-MIN($AT$2:$AT$252)=0,"",(AT219-MIN($AT$2:$AT$252))/(MAX($AT$2:$AT$252)-MIN($AT$2:$AT$252))*100))</x:f>
      </x:c>
      <x:c r="AV219">
        <x:f>IF(N219="","",LOG10(N219+1))</x:f>
      </x:c>
      <x:c r="AW219" s="10">
        <x:f>IF(AV219="","",IF(MAX($AV$2:$AV$252)-MIN($AV$2:$AV$252)=0,"",(AV219-MIN($AV$2:$AV$252))/(MAX($AV$2:$AV$252)-MIN($AV$2:$AV$252))*100))</x:f>
      </x:c>
      <x:c r="AX219">
        <x:f>IF(I219="","",LOG10(I219+1))</x:f>
      </x:c>
      <x:c r="AY219" s="10">
        <x:f>IF(AX219="","",IF(MAX($AX$2:$AX$252)-MIN($AX$2:$AX$252)=0,"",(AX219-MIN($AX$2:$AX$252))/(MAX($AX$2:$AX$252)-MIN($AX$2:$AX$252))*100))</x:f>
      </x:c>
      <x:c r="AZ219">
        <x:f>IF(J219="","",LOG10(J219+1))</x:f>
      </x:c>
      <x:c r="BA219" s="10">
        <x:f>IF(AZ219="","",IF(MAX($AZ$2:$AZ$252)-MIN($AZ$2:$AZ$252)=0,"",(AZ219-MIN($AZ$2:$AZ$252))/(MAX($AZ$2:$AZ$252)-MIN($AZ$2:$AZ$252))*100))</x:f>
      </x:c>
      <x:c r="BB219">
        <x:f>IF(K219="","",LOG10(K219+1))</x:f>
      </x:c>
      <x:c r="BC219" s="10">
        <x:f>IF(BB219="","",IF(MAX($BB$2:$BB$252)-MIN($BB$2:$BB$252)=0,"",(BB219-MIN($BB$2:$BB$252))/(MAX($BB$2:$BB$252)-MIN($BB$2:$BB$252))*100))</x:f>
      </x:c>
      <x:c r="BD219">
        <x:f>IF(L219="","",LOG10(L219+1))</x:f>
      </x:c>
      <x:c r="BE219" s="10">
        <x:f>IF(BD219="","",IF(MAX($BD$2:$BD$252)-MIN($BD$2:$BD$252)=0,"",(BD219-MIN($BD$2:$BD$252))/(MAX($BD$2:$BD$252)-MIN($BD$2:$BD$252))*100))</x:f>
      </x:c>
      <x:c r="BF219" s="10">
        <x:f>IF(P219="","",IF(MAX($P$2:$P$252)-MIN($P$2:$P$252)=0,"",(P219-MIN($P$2:$P$252))/(MAX($P$2:$P$252)-MIN($P$2:$P$252))*100))</x:f>
      </x:c>
      <x:c r="BG219">
        <x:f>IF(AF219="","",LOG10(AF219+1))</x:f>
      </x:c>
      <x:c r="BH219" s="10">
        <x:f>IF(BG219="","",IF(MAX($BG$2:$BG$252)-MIN($BG$2:$BG$252)=0,"",(BG219-MIN($BG$2:$BG$252))/(MAX($BG$2:$BG$252)-MIN($BG$2:$BG$252))*100))</x:f>
      </x:c>
      <x:c r="BI219">
        <x:f>IF(AC219="","",LOG10(AC219+1))</x:f>
      </x:c>
      <x:c r="BJ219" s="10">
        <x:f>IF(BI219="","",IF(MAX($BI$2:$BI$252)-MIN($BI$2:$BI$252)=0,"",(BI219-MIN($BI$2:$BI$252))/(MAX($BI$2:$BI$252)-MIN($BI$2:$BI$252))*100))</x:f>
      </x:c>
      <x:c r="BK219">
        <x:f>IF(AD219="","",(AD219*2)+(AE219*1))</x:f>
      </x:c>
      <x:c r="BL219" s="10">
        <x:f>IF(BK219="","",IF(MAX($BK$2:$BK$252)-MIN($BK$2:$BK$252)=0,"",(BK219-MIN($BK$2:$BK$252))/(MAX($BK$2:$BK$252)-MIN($BK$2:$BK$252))*100))</x:f>
      </x:c>
      <x:c r="BM219" s="10">
        <x:f>IF(AB219="","",IF(MAX($AB$2:$AB$252)-MIN($AB$2:$AB$252)=0,"",(AB219-MIN($AB$2:$AB$252))/(MAX($AB$2:$AB$252)-MIN($AB$2:$AB$252))*100))</x:f>
      </x:c>
      <x:c r="BN219" s="10">
        <x:f>IF(X219="","",X219)</x:f>
      </x:c>
      <x:c r="BO219" s="10">
        <x:f>IF(X219="","",100-X219)</x:f>
      </x:c>
      <x:c r="BP219" s="10">
        <x:f>IF((Weights!$C$2*IF(BH219="",0,1)+Weights!$C$3*IF(BJ219="",0,1)+Weights!$C$4*IF(BL219="",0,1))=0,"",(Weights!$C$2*IF(BH219="",0,BH219)+Weights!$C$3*IF(BJ219="",0,BJ219)+Weights!$C$4*IF(BL219="",0,BL219))/(Weights!$C$2*IF(BH219="",0,1)+Weights!$C$3*IF(BJ219="",0,1)+Weights!$C$4*IF(BL219="",0,1)))</x:f>
      </x:c>
      <x:c r="BQ219" s="10">
        <x:f>IF((Weights!$C$5*IF(BA219="",0,1)+Weights!$C$6*IF(AW219="",0,1)+Weights!$C$7*IF(AU219="",0,1))=0,"",(Weights!$C$5*IF(BA219="",0,BA219)+Weights!$C$6*IF(AW219="",0,AW219)+Weights!$C$7*IF(AU219="",0,AU219))/(Weights!$C$5*IF(BA219="",0,1)+Weights!$C$6*IF(AW219="",0,1)+Weights!$C$7*IF(AU219="",0,1)))</x:f>
      </x:c>
      <x:c r="BR219" s="10">
        <x:f>IF((Weights!$C$8*IF(AW219="",0,1)+Weights!$C$9*IF(BC219="",0,1)+Weights!$C$10*IF(BF219="",0,1))=0,"",(Weights!$C$8*IF(AW219="",0,AW219)+Weights!$C$9*IF(BC219="",0,BC219)+Weights!$C$10*IF(BF219="",0,BF219))/(Weights!$C$8*IF(AW219="",0,1)+Weights!$C$9*IF(BC219="",0,1)+Weights!$C$10*IF(BF219="",0,1)))</x:f>
      </x:c>
      <x:c r="BS219" s="10">
        <x:f>IF(Y219="","",Y219)</x:f>
      </x:c>
      <x:c r="BT219" s="10">
        <x:f>IF(AS219="","",AS219)</x:f>
      </x:c>
      <x:c r="BU219" s="10">
        <x:f>IF(AJ219&lt;&gt;"",(0.6*AJ219+0.4*AU219),IF((Weights!$C$11*IF(AU219="",0,1)+Weights!$C$12*IF(BM219="",0,1))=0,"",(Weights!$C$11*IF(AU219="",0,AU219)+Weights!$C$12*IF(BM219="",0,BM219))/(Weights!$C$11*IF(AU219="",0,1)+Weights!$C$12*IF(BM219="",0,1))))</x:f>
      </x:c>
      <x:c r="BV219" s="10">
        <x:f>IF(CG219="",0,CG219)</x:f>
      </x:c>
      <x:c r="BW219" s="10">
        <x:f>IF(AP219="","",AP219)</x:f>
      </x:c>
      <x:c r="BX219" s="10">
        <x:f>IF(AO219="","",AO219)</x:f>
      </x:c>
      <x:c r="BY219" s="10">
        <x:f>IF(AL219="","",AL219)</x:f>
      </x:c>
      <x:c r="BZ219" s="10">
        <x:f>IF(AM219="","",AM219)</x:f>
      </x:c>
      <x:c r="CA219" s="10">
        <x:f>IF(AK219&lt;&gt;"",AK219,AW219)</x:f>
      </x:c>
      <x:c r="CB219" s="10">
        <x:f>IF((Weights!$C$13*IF(BP219="",0,1)+Weights!$C$14*IF(BR219="",0,1)+Weights!$C$15*IF(BQ219="",0,1)+Weights!$C$16*IF(BS219="",0,1)+Weights!$C$17*IF(BU219="",0,1)+Weights!$C$18*IF(BT219="",0,1)+Weights!$C$19*IF(BW219="",0,1)+Weights!$C$20*IF(BZ219="",0,1)+Weights!$C$21*IF(BO219="",0,1)+Weights!$C$22)=0,"",(Weights!$C$13*IF(BP219="",0,BP219)+Weights!$C$14*IF(BR219="",0,BR219)+Weights!$C$15*IF(BQ219="",0,BQ219)+Weights!$C$16*IF(BS219="",0,BS219)+Weights!$C$17*IF(BU219="",0,BU219)+Weights!$C$18*IF(BT219="",0,BT219)+Weights!$C$19*IF(BW219="",0,BW219)+Weights!$C$20*IF(BZ219="",0,BZ219)+Weights!$C$21*IF(BO219="",0,BO219)+Weights!$C$22*BV219)/(Weights!$C$13*IF(BP219="",0,1)+Weights!$C$14*IF(BR219="",0,1)+Weights!$C$15*IF(BQ219="",0,1)+Weights!$C$16*IF(BS219="",0,1)+Weights!$C$17*IF(BU219="",0,1)+Weights!$C$18*IF(BT219="",0,1)+Weights!$C$19*IF(BW219="",0,1)+Weights!$C$20*IF(BZ219="",0,1)+Weights!$C$21*IF(BO219="",0,1)+Weights!$C$22))</x:f>
      </x:c>
      <x:c r="CC219" s="10">
        <x:f>IF((Weights!$C$23*IF(BQ219="",0,1)+Weights!$C$24*IF(BN219="",0,1)+Weights!$C$25*IF(BS219="",0,1)+Weights!$C$26*IF(BY219="",0,1)+Weights!$C$27*IF(BX219="",0,1)+Weights!$C$28*IF(BT219="",0,1)+Weights!$C$29*IF(CA219="",0,1)+Weights!$C$30+Weights!$C$31*IF(BU219="",0,1))=0,"",(Weights!$C$23*IF(BQ219="",0,BQ219)+Weights!$C$24*IF(BN219="",0,BN219)+Weights!$C$25*IF(BS219="",0,BS219)+Weights!$C$26*IF(BY219="",0,BY219)+Weights!$C$27*IF(BX219="",0,BX219)+Weights!$C$28*IF(BT219="",0,BT219)+Weights!$C$29*IF(CA219="",0,CA219)+Weights!$C$30*BV219+Weights!$C$31*IF(BU219="",0,BU219))/(Weights!$C$23*IF(BQ219="",0,1)+Weights!$C$24*IF(BN219="",0,1)+Weights!$C$25*IF(BS219="",0,1)+Weights!$C$26*IF(BY219="",0,1)+Weights!$C$27*IF(BX219="",0,1)+Weights!$C$28*IF(BT219="",0,1)+Weights!$C$29*IF(CA219="",0,1)+Weights!$C$30+Weights!$C$31*IF(BU219="",0,1)))</x:f>
      </x:c>
      <x:c r="CD219" s="10">
        <x:f>IF(AND(CB219="",CC219=""),"",IF(CB219="",CC219,IF(CC219="",CB219,AVERAGE(CB219,CC219))))</x:f>
      </x:c>
      <x:c r="CE219" s="7">
        <x:f>ROUND(100*((IF(BP219&lt;&gt;"",1,0)+IF(BQ219&lt;&gt;"",1,0)+IF(BR219&lt;&gt;"",1,0)+IF(BS219&lt;&gt;"",1,0)+IF(BU219&lt;&gt;"",1,0)+IF(BT219&lt;&gt;"",1,0)+IF(BN219&lt;&gt;"",1,0)+IF(AW219&lt;&gt;"",1,0))/8),0)</x:f>
      </x:c>
      <x:c r="CF219">
        <x:f>IF(V219="","",LOG10(V219+1))</x:f>
      </x:c>
      <x:c r="CG219">
        <x:f>IF(CF219="","",IF(MAX($CF$2:$CF$252)-MIN($CF$2:$CF$252)=0,"",(CF219-MIN($CF$2:$CF$252))/(MAX($CF$2:$CF$252)-MIN($CF$2:$CF$252))*100))</x:f>
      </x:c>
    </x:row>
    <x:row r="220">
      <x:c r="A220" t="inlineStr">
        <x:is>
          <x:t xml:space="preserve">SLB</x:t>
        </x:is>
      </x:c>
      <x:c r="B220" t="inlineStr">
        <x:is>
          <x:t xml:space="preserve">Solomon Islands</x:t>
        </x:is>
      </x:c>
      <x:c r="C220" t="inlineStr">
        <x:is>
          <x:t xml:space="preserve">East Asia &amp; Pacific</x:t>
        </x:is>
      </x:c>
      <x:c r="D220" t="inlineStr">
        <x:is>
          <x:t xml:space="preserve">Lower middle income</x:t>
        </x:is>
      </x:c>
      <x:c r="E220" t="inlineStr">
        <x:is>
          <x:t xml:space="preserve">Oceania</x:t>
        </x:is>
      </x:c>
      <x:c r="F220" t="n">
        <x:v>2024</x:v>
      </x:c>
      <x:c r="G220" t="n">
        <x:v>819198</x:v>
      </x:c>
      <x:c r="N220" s="8" t="n"/>
      <x:c r="O220" s="9" t="n"/>
      <x:c r="P220" s="8" t="n"/>
      <x:c r="Q220" t="n">
        <x:v>2024</x:v>
      </x:c>
      <x:c r="R220" s="8" t="n">
        <x:v>1583964703.75061</x:v>
      </x:c>
      <x:c r="S220" t="n">
        <x:v>0</x:v>
      </x:c>
      <x:c r="T220" t="n">
        <x:v>0</x:v>
      </x:c>
      <x:c r="U220" t="inlineStr">
        <x:is>
          <x:t xml:space="preserve">No</x:t>
        </x:is>
      </x:c>
      <x:c r="W220" t="inlineStr">
        <x:is>
          <x:t xml:space="preserve">No</x:t>
        </x:is>
      </x:c>
      <x:c r="X220" t="n">
        <x:v>68.40153188236339</x:v>
      </x:c>
      <x:c r="Y220" t="n">
        <x:v>23.48968701599951</x:v>
      </x:c>
      <x:c r="Z220" t="n">
        <x:v>24728.11423713599</x:v>
      </x:c>
      <x:c r="AA220" t="n">
        <x:v>26.18804627760418</x:v>
      </x:c>
      <x:c r="AB220" s="8" t="n">
        <x:v>1849.961626422023</x:v>
      </x:c>
      <x:c r="AR220">
        <x:f>IF(G220="","",LOG10(G220+1))</x:f>
      </x:c>
      <x:c r="AS220" s="10">
        <x:f>IF(AR220="","",IF(MAX($AR$2:$AR$252)-MIN($AR$2:$AR$252)=0,"",(AR220-MIN($AR$2:$AR$252))/(MAX($AR$2:$AR$252)-MIN($AR$2:$AR$252))*100))</x:f>
      </x:c>
      <x:c r="AT220">
        <x:f>IF(R220="","",LOG10(R220+1))</x:f>
      </x:c>
      <x:c r="AU220" s="10">
        <x:f>IF(AT220="","",IF(MAX($AT$2:$AT$252)-MIN($AT$2:$AT$252)=0,"",(AT220-MIN($AT$2:$AT$252))/(MAX($AT$2:$AT$252)-MIN($AT$2:$AT$252))*100))</x:f>
      </x:c>
      <x:c r="AV220">
        <x:f>IF(N220="","",LOG10(N220+1))</x:f>
      </x:c>
      <x:c r="AW220" s="10">
        <x:f>IF(AV220="","",IF(MAX($AV$2:$AV$252)-MIN($AV$2:$AV$252)=0,"",(AV220-MIN($AV$2:$AV$252))/(MAX($AV$2:$AV$252)-MIN($AV$2:$AV$252))*100))</x:f>
      </x:c>
      <x:c r="AX220">
        <x:f>IF(I220="","",LOG10(I220+1))</x:f>
      </x:c>
      <x:c r="AY220" s="10">
        <x:f>IF(AX220="","",IF(MAX($AX$2:$AX$252)-MIN($AX$2:$AX$252)=0,"",(AX220-MIN($AX$2:$AX$252))/(MAX($AX$2:$AX$252)-MIN($AX$2:$AX$252))*100))</x:f>
      </x:c>
      <x:c r="AZ220">
        <x:f>IF(J220="","",LOG10(J220+1))</x:f>
      </x:c>
      <x:c r="BA220" s="10">
        <x:f>IF(AZ220="","",IF(MAX($AZ$2:$AZ$252)-MIN($AZ$2:$AZ$252)=0,"",(AZ220-MIN($AZ$2:$AZ$252))/(MAX($AZ$2:$AZ$252)-MIN($AZ$2:$AZ$252))*100))</x:f>
      </x:c>
      <x:c r="BB220">
        <x:f>IF(K220="","",LOG10(K220+1))</x:f>
      </x:c>
      <x:c r="BC220" s="10">
        <x:f>IF(BB220="","",IF(MAX($BB$2:$BB$252)-MIN($BB$2:$BB$252)=0,"",(BB220-MIN($BB$2:$BB$252))/(MAX($BB$2:$BB$252)-MIN($BB$2:$BB$252))*100))</x:f>
      </x:c>
      <x:c r="BD220">
        <x:f>IF(L220="","",LOG10(L220+1))</x:f>
      </x:c>
      <x:c r="BE220" s="10">
        <x:f>IF(BD220="","",IF(MAX($BD$2:$BD$252)-MIN($BD$2:$BD$252)=0,"",(BD220-MIN($BD$2:$BD$252))/(MAX($BD$2:$BD$252)-MIN($BD$2:$BD$252))*100))</x:f>
      </x:c>
      <x:c r="BF220" s="10">
        <x:f>IF(P220="","",IF(MAX($P$2:$P$252)-MIN($P$2:$P$252)=0,"",(P220-MIN($P$2:$P$252))/(MAX($P$2:$P$252)-MIN($P$2:$P$252))*100))</x:f>
      </x:c>
      <x:c r="BG220">
        <x:f>IF(AF220="","",LOG10(AF220+1))</x:f>
      </x:c>
      <x:c r="BH220" s="10">
        <x:f>IF(BG220="","",IF(MAX($BG$2:$BG$252)-MIN($BG$2:$BG$252)=0,"",(BG220-MIN($BG$2:$BG$252))/(MAX($BG$2:$BG$252)-MIN($BG$2:$BG$252))*100))</x:f>
      </x:c>
      <x:c r="BI220">
        <x:f>IF(AC220="","",LOG10(AC220+1))</x:f>
      </x:c>
      <x:c r="BJ220" s="10">
        <x:f>IF(BI220="","",IF(MAX($BI$2:$BI$252)-MIN($BI$2:$BI$252)=0,"",(BI220-MIN($BI$2:$BI$252))/(MAX($BI$2:$BI$252)-MIN($BI$2:$BI$252))*100))</x:f>
      </x:c>
      <x:c r="BK220">
        <x:f>IF(AD220="","",(AD220*2)+(AE220*1))</x:f>
      </x:c>
      <x:c r="BL220" s="10">
        <x:f>IF(BK220="","",IF(MAX($BK$2:$BK$252)-MIN($BK$2:$BK$252)=0,"",(BK220-MIN($BK$2:$BK$252))/(MAX($BK$2:$BK$252)-MIN($BK$2:$BK$252))*100))</x:f>
      </x:c>
      <x:c r="BM220" s="10">
        <x:f>IF(AB220="","",IF(MAX($AB$2:$AB$252)-MIN($AB$2:$AB$252)=0,"",(AB220-MIN($AB$2:$AB$252))/(MAX($AB$2:$AB$252)-MIN($AB$2:$AB$252))*100))</x:f>
      </x:c>
      <x:c r="BN220" s="10">
        <x:f>IF(X220="","",X220)</x:f>
      </x:c>
      <x:c r="BO220" s="10">
        <x:f>IF(X220="","",100-X220)</x:f>
      </x:c>
      <x:c r="BP220" s="10">
        <x:f>IF((Weights!$C$2*IF(BH220="",0,1)+Weights!$C$3*IF(BJ220="",0,1)+Weights!$C$4*IF(BL220="",0,1))=0,"",(Weights!$C$2*IF(BH220="",0,BH220)+Weights!$C$3*IF(BJ220="",0,BJ220)+Weights!$C$4*IF(BL220="",0,BL220))/(Weights!$C$2*IF(BH220="",0,1)+Weights!$C$3*IF(BJ220="",0,1)+Weights!$C$4*IF(BL220="",0,1)))</x:f>
      </x:c>
      <x:c r="BQ220" s="10">
        <x:f>IF((Weights!$C$5*IF(BA220="",0,1)+Weights!$C$6*IF(AW220="",0,1)+Weights!$C$7*IF(AU220="",0,1))=0,"",(Weights!$C$5*IF(BA220="",0,BA220)+Weights!$C$6*IF(AW220="",0,AW220)+Weights!$C$7*IF(AU220="",0,AU220))/(Weights!$C$5*IF(BA220="",0,1)+Weights!$C$6*IF(AW220="",0,1)+Weights!$C$7*IF(AU220="",0,1)))</x:f>
      </x:c>
      <x:c r="BR220" s="10">
        <x:f>IF((Weights!$C$8*IF(AW220="",0,1)+Weights!$C$9*IF(BC220="",0,1)+Weights!$C$10*IF(BF220="",0,1))=0,"",(Weights!$C$8*IF(AW220="",0,AW220)+Weights!$C$9*IF(BC220="",0,BC220)+Weights!$C$10*IF(BF220="",0,BF220))/(Weights!$C$8*IF(AW220="",0,1)+Weights!$C$9*IF(BC220="",0,1)+Weights!$C$10*IF(BF220="",0,1)))</x:f>
      </x:c>
      <x:c r="BS220" s="10">
        <x:f>IF(Y220="","",Y220)</x:f>
      </x:c>
      <x:c r="BT220" s="10">
        <x:f>IF(AS220="","",AS220)</x:f>
      </x:c>
      <x:c r="BU220" s="10">
        <x:f>IF(AJ220&lt;&gt;"",(0.6*AJ220+0.4*AU220),IF((Weights!$C$11*IF(AU220="",0,1)+Weights!$C$12*IF(BM220="",0,1))=0,"",(Weights!$C$11*IF(AU220="",0,AU220)+Weights!$C$12*IF(BM220="",0,BM220))/(Weights!$C$11*IF(AU220="",0,1)+Weights!$C$12*IF(BM220="",0,1))))</x:f>
      </x:c>
      <x:c r="BV220" s="10">
        <x:f>IF(CG220="",0,CG220)</x:f>
      </x:c>
      <x:c r="BW220" s="10">
        <x:f>IF(AP220="","",AP220)</x:f>
      </x:c>
      <x:c r="BX220" s="10">
        <x:f>IF(AO220="","",AO220)</x:f>
      </x:c>
      <x:c r="BY220" s="10">
        <x:f>IF(AL220="","",AL220)</x:f>
      </x:c>
      <x:c r="BZ220" s="10">
        <x:f>IF(AM220="","",AM220)</x:f>
      </x:c>
      <x:c r="CA220" s="10">
        <x:f>IF(AK220&lt;&gt;"",AK220,AW220)</x:f>
      </x:c>
      <x:c r="CB220" s="10">
        <x:f>IF((Weights!$C$13*IF(BP220="",0,1)+Weights!$C$14*IF(BR220="",0,1)+Weights!$C$15*IF(BQ220="",0,1)+Weights!$C$16*IF(BS220="",0,1)+Weights!$C$17*IF(BU220="",0,1)+Weights!$C$18*IF(BT220="",0,1)+Weights!$C$19*IF(BW220="",0,1)+Weights!$C$20*IF(BZ220="",0,1)+Weights!$C$21*IF(BO220="",0,1)+Weights!$C$22)=0,"",(Weights!$C$13*IF(BP220="",0,BP220)+Weights!$C$14*IF(BR220="",0,BR220)+Weights!$C$15*IF(BQ220="",0,BQ220)+Weights!$C$16*IF(BS220="",0,BS220)+Weights!$C$17*IF(BU220="",0,BU220)+Weights!$C$18*IF(BT220="",0,BT220)+Weights!$C$19*IF(BW220="",0,BW220)+Weights!$C$20*IF(BZ220="",0,BZ220)+Weights!$C$21*IF(BO220="",0,BO220)+Weights!$C$22*BV220)/(Weights!$C$13*IF(BP220="",0,1)+Weights!$C$14*IF(BR220="",0,1)+Weights!$C$15*IF(BQ220="",0,1)+Weights!$C$16*IF(BS220="",0,1)+Weights!$C$17*IF(BU220="",0,1)+Weights!$C$18*IF(BT220="",0,1)+Weights!$C$19*IF(BW220="",0,1)+Weights!$C$20*IF(BZ220="",0,1)+Weights!$C$21*IF(BO220="",0,1)+Weights!$C$22))</x:f>
      </x:c>
      <x:c r="CC220" s="10">
        <x:f>IF((Weights!$C$23*IF(BQ220="",0,1)+Weights!$C$24*IF(BN220="",0,1)+Weights!$C$25*IF(BS220="",0,1)+Weights!$C$26*IF(BY220="",0,1)+Weights!$C$27*IF(BX220="",0,1)+Weights!$C$28*IF(BT220="",0,1)+Weights!$C$29*IF(CA220="",0,1)+Weights!$C$30+Weights!$C$31*IF(BU220="",0,1))=0,"",(Weights!$C$23*IF(BQ220="",0,BQ220)+Weights!$C$24*IF(BN220="",0,BN220)+Weights!$C$25*IF(BS220="",0,BS220)+Weights!$C$26*IF(BY220="",0,BY220)+Weights!$C$27*IF(BX220="",0,BX220)+Weights!$C$28*IF(BT220="",0,BT220)+Weights!$C$29*IF(CA220="",0,CA220)+Weights!$C$30*BV220+Weights!$C$31*IF(BU220="",0,BU220))/(Weights!$C$23*IF(BQ220="",0,1)+Weights!$C$24*IF(BN220="",0,1)+Weights!$C$25*IF(BS220="",0,1)+Weights!$C$26*IF(BY220="",0,1)+Weights!$C$27*IF(BX220="",0,1)+Weights!$C$28*IF(BT220="",0,1)+Weights!$C$29*IF(CA220="",0,1)+Weights!$C$30+Weights!$C$31*IF(BU220="",0,1)))</x:f>
      </x:c>
      <x:c r="CD220" s="10">
        <x:f>IF(AND(CB220="",CC220=""),"",IF(CB220="",CC220,IF(CC220="",CB220,AVERAGE(CB220,CC220))))</x:f>
      </x:c>
      <x:c r="CE220" s="7">
        <x:f>ROUND(100*((IF(BP220&lt;&gt;"",1,0)+IF(BQ220&lt;&gt;"",1,0)+IF(BR220&lt;&gt;"",1,0)+IF(BS220&lt;&gt;"",1,0)+IF(BU220&lt;&gt;"",1,0)+IF(BT220&lt;&gt;"",1,0)+IF(BN220&lt;&gt;"",1,0)+IF(AW220&lt;&gt;"",1,0))/8),0)</x:f>
      </x:c>
      <x:c r="CF220">
        <x:f>IF(V220="","",LOG10(V220+1))</x:f>
      </x:c>
      <x:c r="CG220">
        <x:f>IF(CF220="","",IF(MAX($CF$2:$CF$252)-MIN($CF$2:$CF$252)=0,"",(CF220-MIN($CF$2:$CF$252))/(MAX($CF$2:$CF$252)-MIN($CF$2:$CF$252))*100))</x:f>
      </x:c>
    </x:row>
    <x:row r="221">
      <x:c r="A221" t="inlineStr">
        <x:is>
          <x:t xml:space="preserve">SGS</x:t>
        </x:is>
      </x:c>
      <x:c r="B221" t="inlineStr">
        <x:is>
          <x:t xml:space="preserve">South Georgia and the South Sandwich Islands</x:t>
        </x:is>
      </x:c>
      <x:c r="N221" s="8" t="n"/>
      <x:c r="O221" s="9" t="n"/>
      <x:c r="P221" s="8" t="n"/>
      <x:c r="R221" s="8" t="n"/>
      <x:c r="AB221" s="8" t="n"/>
      <x:c r="AR221">
        <x:f>IF(G221="","",LOG10(G221+1))</x:f>
      </x:c>
      <x:c r="AS221" s="10">
        <x:f>IF(AR221="","",IF(MAX($AR$2:$AR$252)-MIN($AR$2:$AR$252)=0,"",(AR221-MIN($AR$2:$AR$252))/(MAX($AR$2:$AR$252)-MIN($AR$2:$AR$252))*100))</x:f>
      </x:c>
      <x:c r="AT221">
        <x:f>IF(R221="","",LOG10(R221+1))</x:f>
      </x:c>
      <x:c r="AU221" s="10">
        <x:f>IF(AT221="","",IF(MAX($AT$2:$AT$252)-MIN($AT$2:$AT$252)=0,"",(AT221-MIN($AT$2:$AT$252))/(MAX($AT$2:$AT$252)-MIN($AT$2:$AT$252))*100))</x:f>
      </x:c>
      <x:c r="AV221">
        <x:f>IF(N221="","",LOG10(N221+1))</x:f>
      </x:c>
      <x:c r="AW221" s="10">
        <x:f>IF(AV221="","",IF(MAX($AV$2:$AV$252)-MIN($AV$2:$AV$252)=0,"",(AV221-MIN($AV$2:$AV$252))/(MAX($AV$2:$AV$252)-MIN($AV$2:$AV$252))*100))</x:f>
      </x:c>
      <x:c r="AX221">
        <x:f>IF(I221="","",LOG10(I221+1))</x:f>
      </x:c>
      <x:c r="AY221" s="10">
        <x:f>IF(AX221="","",IF(MAX($AX$2:$AX$252)-MIN($AX$2:$AX$252)=0,"",(AX221-MIN($AX$2:$AX$252))/(MAX($AX$2:$AX$252)-MIN($AX$2:$AX$252))*100))</x:f>
      </x:c>
      <x:c r="AZ221">
        <x:f>IF(J221="","",LOG10(J221+1))</x:f>
      </x:c>
      <x:c r="BA221" s="10">
        <x:f>IF(AZ221="","",IF(MAX($AZ$2:$AZ$252)-MIN($AZ$2:$AZ$252)=0,"",(AZ221-MIN($AZ$2:$AZ$252))/(MAX($AZ$2:$AZ$252)-MIN($AZ$2:$AZ$252))*100))</x:f>
      </x:c>
      <x:c r="BB221">
        <x:f>IF(K221="","",LOG10(K221+1))</x:f>
      </x:c>
      <x:c r="BC221" s="10">
        <x:f>IF(BB221="","",IF(MAX($BB$2:$BB$252)-MIN($BB$2:$BB$252)=0,"",(BB221-MIN($BB$2:$BB$252))/(MAX($BB$2:$BB$252)-MIN($BB$2:$BB$252))*100))</x:f>
      </x:c>
      <x:c r="BD221">
        <x:f>IF(L221="","",LOG10(L221+1))</x:f>
      </x:c>
      <x:c r="BE221" s="10">
        <x:f>IF(BD221="","",IF(MAX($BD$2:$BD$252)-MIN($BD$2:$BD$252)=0,"",(BD221-MIN($BD$2:$BD$252))/(MAX($BD$2:$BD$252)-MIN($BD$2:$BD$252))*100))</x:f>
      </x:c>
      <x:c r="BF221" s="10">
        <x:f>IF(P221="","",IF(MAX($P$2:$P$252)-MIN($P$2:$P$252)=0,"",(P221-MIN($P$2:$P$252))/(MAX($P$2:$P$252)-MIN($P$2:$P$252))*100))</x:f>
      </x:c>
      <x:c r="BG221">
        <x:f>IF(AF221="","",LOG10(AF221+1))</x:f>
      </x:c>
      <x:c r="BH221" s="10">
        <x:f>IF(BG221="","",IF(MAX($BG$2:$BG$252)-MIN($BG$2:$BG$252)=0,"",(BG221-MIN($BG$2:$BG$252))/(MAX($BG$2:$BG$252)-MIN($BG$2:$BG$252))*100))</x:f>
      </x:c>
      <x:c r="BI221">
        <x:f>IF(AC221="","",LOG10(AC221+1))</x:f>
      </x:c>
      <x:c r="BJ221" s="10">
        <x:f>IF(BI221="","",IF(MAX($BI$2:$BI$252)-MIN($BI$2:$BI$252)=0,"",(BI221-MIN($BI$2:$BI$252))/(MAX($BI$2:$BI$252)-MIN($BI$2:$BI$252))*100))</x:f>
      </x:c>
      <x:c r="BK221">
        <x:f>IF(AD221="","",(AD221*2)+(AE221*1))</x:f>
      </x:c>
      <x:c r="BL221" s="10">
        <x:f>IF(BK221="","",IF(MAX($BK$2:$BK$252)-MIN($BK$2:$BK$252)=0,"",(BK221-MIN($BK$2:$BK$252))/(MAX($BK$2:$BK$252)-MIN($BK$2:$BK$252))*100))</x:f>
      </x:c>
      <x:c r="BM221" s="10">
        <x:f>IF(AB221="","",IF(MAX($AB$2:$AB$252)-MIN($AB$2:$AB$252)=0,"",(AB221-MIN($AB$2:$AB$252))/(MAX($AB$2:$AB$252)-MIN($AB$2:$AB$252))*100))</x:f>
      </x:c>
      <x:c r="BN221" s="10">
        <x:f>IF(X221="","",X221)</x:f>
      </x:c>
      <x:c r="BO221" s="10">
        <x:f>IF(X221="","",100-X221)</x:f>
      </x:c>
      <x:c r="BP221" s="10">
        <x:f>IF((Weights!$C$2*IF(BH221="",0,1)+Weights!$C$3*IF(BJ221="",0,1)+Weights!$C$4*IF(BL221="",0,1))=0,"",(Weights!$C$2*IF(BH221="",0,BH221)+Weights!$C$3*IF(BJ221="",0,BJ221)+Weights!$C$4*IF(BL221="",0,BL221))/(Weights!$C$2*IF(BH221="",0,1)+Weights!$C$3*IF(BJ221="",0,1)+Weights!$C$4*IF(BL221="",0,1)))</x:f>
      </x:c>
      <x:c r="BQ221" s="10">
        <x:f>IF((Weights!$C$5*IF(BA221="",0,1)+Weights!$C$6*IF(AW221="",0,1)+Weights!$C$7*IF(AU221="",0,1))=0,"",(Weights!$C$5*IF(BA221="",0,BA221)+Weights!$C$6*IF(AW221="",0,AW221)+Weights!$C$7*IF(AU221="",0,AU221))/(Weights!$C$5*IF(BA221="",0,1)+Weights!$C$6*IF(AW221="",0,1)+Weights!$C$7*IF(AU221="",0,1)))</x:f>
      </x:c>
      <x:c r="BR221" s="10">
        <x:f>IF((Weights!$C$8*IF(AW221="",0,1)+Weights!$C$9*IF(BC221="",0,1)+Weights!$C$10*IF(BF221="",0,1))=0,"",(Weights!$C$8*IF(AW221="",0,AW221)+Weights!$C$9*IF(BC221="",0,BC221)+Weights!$C$10*IF(BF221="",0,BF221))/(Weights!$C$8*IF(AW221="",0,1)+Weights!$C$9*IF(BC221="",0,1)+Weights!$C$10*IF(BF221="",0,1)))</x:f>
      </x:c>
      <x:c r="BS221" s="10">
        <x:f>IF(Y221="","",Y221)</x:f>
      </x:c>
      <x:c r="BT221" s="10">
        <x:f>IF(AS221="","",AS221)</x:f>
      </x:c>
      <x:c r="BU221" s="10">
        <x:f>IF(AJ221&lt;&gt;"",(0.6*AJ221+0.4*AU221),IF((Weights!$C$11*IF(AU221="",0,1)+Weights!$C$12*IF(BM221="",0,1))=0,"",(Weights!$C$11*IF(AU221="",0,AU221)+Weights!$C$12*IF(BM221="",0,BM221))/(Weights!$C$11*IF(AU221="",0,1)+Weights!$C$12*IF(BM221="",0,1))))</x:f>
      </x:c>
      <x:c r="BV221" s="10">
        <x:f>IF(CG221="",0,CG221)</x:f>
      </x:c>
      <x:c r="BW221" s="10">
        <x:f>IF(AP221="","",AP221)</x:f>
      </x:c>
      <x:c r="BX221" s="10">
        <x:f>IF(AO221="","",AO221)</x:f>
      </x:c>
      <x:c r="BY221" s="10">
        <x:f>IF(AL221="","",AL221)</x:f>
      </x:c>
      <x:c r="BZ221" s="10">
        <x:f>IF(AM221="","",AM221)</x:f>
      </x:c>
      <x:c r="CA221" s="10">
        <x:f>IF(AK221&lt;&gt;"",AK221,AW221)</x:f>
      </x:c>
      <x:c r="CB221" s="10">
        <x:f>IF((Weights!$C$13*IF(BP221="",0,1)+Weights!$C$14*IF(BR221="",0,1)+Weights!$C$15*IF(BQ221="",0,1)+Weights!$C$16*IF(BS221="",0,1)+Weights!$C$17*IF(BU221="",0,1)+Weights!$C$18*IF(BT221="",0,1)+Weights!$C$19*IF(BW221="",0,1)+Weights!$C$20*IF(BZ221="",0,1)+Weights!$C$21*IF(BO221="",0,1)+Weights!$C$22)=0,"",(Weights!$C$13*IF(BP221="",0,BP221)+Weights!$C$14*IF(BR221="",0,BR221)+Weights!$C$15*IF(BQ221="",0,BQ221)+Weights!$C$16*IF(BS221="",0,BS221)+Weights!$C$17*IF(BU221="",0,BU221)+Weights!$C$18*IF(BT221="",0,BT221)+Weights!$C$19*IF(BW221="",0,BW221)+Weights!$C$20*IF(BZ221="",0,BZ221)+Weights!$C$21*IF(BO221="",0,BO221)+Weights!$C$22*BV221)/(Weights!$C$13*IF(BP221="",0,1)+Weights!$C$14*IF(BR221="",0,1)+Weights!$C$15*IF(BQ221="",0,1)+Weights!$C$16*IF(BS221="",0,1)+Weights!$C$17*IF(BU221="",0,1)+Weights!$C$18*IF(BT221="",0,1)+Weights!$C$19*IF(BW221="",0,1)+Weights!$C$20*IF(BZ221="",0,1)+Weights!$C$21*IF(BO221="",0,1)+Weights!$C$22))</x:f>
      </x:c>
      <x:c r="CC221" s="10">
        <x:f>IF((Weights!$C$23*IF(BQ221="",0,1)+Weights!$C$24*IF(BN221="",0,1)+Weights!$C$25*IF(BS221="",0,1)+Weights!$C$26*IF(BY221="",0,1)+Weights!$C$27*IF(BX221="",0,1)+Weights!$C$28*IF(BT221="",0,1)+Weights!$C$29*IF(CA221="",0,1)+Weights!$C$30+Weights!$C$31*IF(BU221="",0,1))=0,"",(Weights!$C$23*IF(BQ221="",0,BQ221)+Weights!$C$24*IF(BN221="",0,BN221)+Weights!$C$25*IF(BS221="",0,BS221)+Weights!$C$26*IF(BY221="",0,BY221)+Weights!$C$27*IF(BX221="",0,BX221)+Weights!$C$28*IF(BT221="",0,BT221)+Weights!$C$29*IF(CA221="",0,CA221)+Weights!$C$30*BV221+Weights!$C$31*IF(BU221="",0,BU221))/(Weights!$C$23*IF(BQ221="",0,1)+Weights!$C$24*IF(BN221="",0,1)+Weights!$C$25*IF(BS221="",0,1)+Weights!$C$26*IF(BY221="",0,1)+Weights!$C$27*IF(BX221="",0,1)+Weights!$C$28*IF(BT221="",0,1)+Weights!$C$29*IF(CA221="",0,1)+Weights!$C$30+Weights!$C$31*IF(BU221="",0,1)))</x:f>
      </x:c>
      <x:c r="CD221" s="10">
        <x:f>IF(AND(CB221="",CC221=""),"",IF(CB221="",CC221,IF(CC221="",CB221,AVERAGE(CB221,CC221))))</x:f>
      </x:c>
      <x:c r="CE221" s="7">
        <x:f>ROUND(100*((IF(BP221&lt;&gt;"",1,0)+IF(BQ221&lt;&gt;"",1,0)+IF(BR221&lt;&gt;"",1,0)+IF(BS221&lt;&gt;"",1,0)+IF(BU221&lt;&gt;"",1,0)+IF(BT221&lt;&gt;"",1,0)+IF(BN221&lt;&gt;"",1,0)+IF(AW221&lt;&gt;"",1,0))/8),0)</x:f>
      </x:c>
      <x:c r="CF221">
        <x:f>IF(V221="","",LOG10(V221+1))</x:f>
      </x:c>
      <x:c r="CG221">
        <x:f>IF(CF221="","",IF(MAX($CF$2:$CF$252)-MIN($CF$2:$CF$252)=0,"",(CF221-MIN($CF$2:$CF$252))/(MAX($CF$2:$CF$252)-MIN($CF$2:$CF$252))*100))</x:f>
      </x:c>
    </x:row>
    <x:row r="222">
      <x:c r="A222" t="inlineStr">
        <x:is>
          <x:t xml:space="preserve">ISR</x:t>
        </x:is>
      </x:c>
      <x:c r="B222" t="inlineStr">
        <x:is>
          <x:t xml:space="preserve">Israel</x:t>
        </x:is>
      </x:c>
      <x:c r="C222" t="inlineStr">
        <x:is>
          <x:t xml:space="preserve">Middle East &amp; North Africa</x:t>
        </x:is>
      </x:c>
      <x:c r="D222" t="inlineStr">
        <x:is>
          <x:t xml:space="preserve">High income</x:t>
        </x:is>
      </x:c>
      <x:c r="E222" t="inlineStr">
        <x:is>
          <x:t xml:space="preserve">Asia</x:t>
        </x:is>
      </x:c>
      <x:c r="F222" t="n">
        <x:v>2024</x:v>
      </x:c>
      <x:c r="G222" t="n">
        <x:v>9974400</x:v>
      </x:c>
      <x:c r="H222" t="n">
        <x:v>2020</x:v>
      </x:c>
      <x:c r="I222" t="n">
        <x:v>178000</x:v>
      </x:c>
      <x:c r="J222" t="n">
        <x:v>115700</x:v>
      </x:c>
      <x:c r="K222" t="n">
        <x:v>35600</x:v>
      </x:c>
      <x:c r="L222" t="n">
        <x:v>21360</x:v>
      </x:c>
      <x:c r="M222" t="n">
        <x:v>2024</x:v>
      </x:c>
      <x:c r="N222" s="8" t="n">
        <x:v>46505298369.3376</x:v>
      </x:c>
      <x:c r="O222" s="9" t="n">
        <x:v>8.776716689775309</x:v>
      </x:c>
      <x:c r="P222" s="8" t="n">
        <x:v>261265.721176054</x:v>
      </x:c>
      <x:c r="Q222" t="n">
        <x:v>2024</x:v>
      </x:c>
      <x:c r="R222" s="8" t="n">
        <x:v>540379921261.681</x:v>
      </x:c>
      <x:c r="S222" t="n">
        <x:v>30</x:v>
      </x:c>
      <x:c r="T222" t="n">
        <x:v>12</x:v>
      </x:c>
      <x:c r="U222" t="inlineStr">
        <x:is>
          <x:t xml:space="preserve">Yes (undeclared)</x:t>
        </x:is>
      </x:c>
      <x:c r="V222" t="n">
        <x:v>90</x:v>
      </x:c>
      <x:c r="W222" t="inlineStr">
        <x:is>
          <x:t xml:space="preserve">Unknown</x:t>
        </x:is>
      </x:c>
      <x:c r="X222" t="n">
        <x:v>32.40228732090904</x:v>
      </x:c>
      <x:c r="Y222" t="n">
        <x:v>83.11657302705328</x:v>
      </x:c>
      <x:c r="Z222" t="n">
        <x:v>22991.16580778912</x:v>
      </x:c>
      <x:c r="AA222" t="n">
        <x:v>360.9954392651182</x:v>
      </x:c>
      <x:c r="AB222" s="8" t="n">
        <x:v>35784.40007393033</x:v>
      </x:c>
      <x:c r="AC222" t="n">
        <x:v>67</x:v>
      </x:c>
      <x:c r="AD222" t="n">
        <x:v>0</x:v>
      </x:c>
      <x:c r="AE222" t="n">
        <x:v>0</x:v>
      </x:c>
      <x:c r="AF222" t="n">
        <x:v>32.9</x:v>
      </x:c>
      <x:c r="AG222" t="n">
        <x:v>59</x:v>
      </x:c>
      <x:c r="AH222" t="n">
        <x:v>31</x:v>
      </x:c>
      <x:c r="AR222">
        <x:f>IF(G222="","",LOG10(G222+1))</x:f>
      </x:c>
      <x:c r="AS222" s="10">
        <x:f>IF(AR222="","",IF(MAX($AR$2:$AR$252)-MIN($AR$2:$AR$252)=0,"",(AR222-MIN($AR$2:$AR$252))/(MAX($AR$2:$AR$252)-MIN($AR$2:$AR$252))*100))</x:f>
      </x:c>
      <x:c r="AT222">
        <x:f>IF(R222="","",LOG10(R222+1))</x:f>
      </x:c>
      <x:c r="AU222" s="10">
        <x:f>IF(AT222="","",IF(MAX($AT$2:$AT$252)-MIN($AT$2:$AT$252)=0,"",(AT222-MIN($AT$2:$AT$252))/(MAX($AT$2:$AT$252)-MIN($AT$2:$AT$252))*100))</x:f>
      </x:c>
      <x:c r="AV222">
        <x:f>IF(N222="","",LOG10(N222+1))</x:f>
      </x:c>
      <x:c r="AW222" s="10">
        <x:f>IF(AV222="","",IF(MAX($AV$2:$AV$252)-MIN($AV$2:$AV$252)=0,"",(AV222-MIN($AV$2:$AV$252))/(MAX($AV$2:$AV$252)-MIN($AV$2:$AV$252))*100))</x:f>
      </x:c>
      <x:c r="AX222">
        <x:f>IF(I222="","",LOG10(I222+1))</x:f>
      </x:c>
      <x:c r="AY222" s="10">
        <x:f>IF(AX222="","",IF(MAX($AX$2:$AX$252)-MIN($AX$2:$AX$252)=0,"",(AX222-MIN($AX$2:$AX$252))/(MAX($AX$2:$AX$252)-MIN($AX$2:$AX$252))*100))</x:f>
      </x:c>
      <x:c r="AZ222">
        <x:f>IF(J222="","",LOG10(J222+1))</x:f>
      </x:c>
      <x:c r="BA222" s="10">
        <x:f>IF(AZ222="","",IF(MAX($AZ$2:$AZ$252)-MIN($AZ$2:$AZ$252)=0,"",(AZ222-MIN($AZ$2:$AZ$252))/(MAX($AZ$2:$AZ$252)-MIN($AZ$2:$AZ$252))*100))</x:f>
      </x:c>
      <x:c r="BB222">
        <x:f>IF(K222="","",LOG10(K222+1))</x:f>
      </x:c>
      <x:c r="BC222" s="10">
        <x:f>IF(BB222="","",IF(MAX($BB$2:$BB$252)-MIN($BB$2:$BB$252)=0,"",(BB222-MIN($BB$2:$BB$252))/(MAX($BB$2:$BB$252)-MIN($BB$2:$BB$252))*100))</x:f>
      </x:c>
      <x:c r="BD222">
        <x:f>IF(L222="","",LOG10(L222+1))</x:f>
      </x:c>
      <x:c r="BE222" s="10">
        <x:f>IF(BD222="","",IF(MAX($BD$2:$BD$252)-MIN($BD$2:$BD$252)=0,"",(BD222-MIN($BD$2:$BD$252))/(MAX($BD$2:$BD$252)-MIN($BD$2:$BD$252))*100))</x:f>
      </x:c>
      <x:c r="BF222" s="10">
        <x:f>IF(P222="","",IF(MAX($P$2:$P$252)-MIN($P$2:$P$252)=0,"",(P222-MIN($P$2:$P$252))/(MAX($P$2:$P$252)-MIN($P$2:$P$252))*100))</x:f>
      </x:c>
      <x:c r="BG222">
        <x:f>IF(AF222="","",LOG10(AF222+1))</x:f>
      </x:c>
      <x:c r="BH222" s="10">
        <x:f>IF(BG222="","",IF(MAX($BG$2:$BG$252)-MIN($BG$2:$BG$252)=0,"",(BG222-MIN($BG$2:$BG$252))/(MAX($BG$2:$BG$252)-MIN($BG$2:$BG$252))*100))</x:f>
      </x:c>
      <x:c r="BI222">
        <x:f>IF(AC222="","",LOG10(AC222+1))</x:f>
      </x:c>
      <x:c r="BJ222" s="10">
        <x:f>IF(BI222="","",IF(MAX($BI$2:$BI$252)-MIN($BI$2:$BI$252)=0,"",(BI222-MIN($BI$2:$BI$252))/(MAX($BI$2:$BI$252)-MIN($BI$2:$BI$252))*100))</x:f>
      </x:c>
      <x:c r="BK222">
        <x:f>IF(AD222="","",(AD222*2)+(AE222*1))</x:f>
      </x:c>
      <x:c r="BL222" s="10">
        <x:f>IF(BK222="","",IF(MAX($BK$2:$BK$252)-MIN($BK$2:$BK$252)=0,"",(BK222-MIN($BK$2:$BK$252))/(MAX($BK$2:$BK$252)-MIN($BK$2:$BK$252))*100))</x:f>
      </x:c>
      <x:c r="BM222" s="10">
        <x:f>IF(AB222="","",IF(MAX($AB$2:$AB$252)-MIN($AB$2:$AB$252)=0,"",(AB222-MIN($AB$2:$AB$252))/(MAX($AB$2:$AB$252)-MIN($AB$2:$AB$252))*100))</x:f>
      </x:c>
      <x:c r="BN222" s="10">
        <x:f>IF(X222="","",X222)</x:f>
      </x:c>
      <x:c r="BO222" s="10">
        <x:f>IF(X222="","",100-X222)</x:f>
      </x:c>
      <x:c r="BP222" s="10">
        <x:f>IF((Weights!$C$2*IF(BH222="",0,1)+Weights!$C$3*IF(BJ222="",0,1)+Weights!$C$4*IF(BL222="",0,1))=0,"",(Weights!$C$2*IF(BH222="",0,BH222)+Weights!$C$3*IF(BJ222="",0,BJ222)+Weights!$C$4*IF(BL222="",0,BL222))/(Weights!$C$2*IF(BH222="",0,1)+Weights!$C$3*IF(BJ222="",0,1)+Weights!$C$4*IF(BL222="",0,1)))</x:f>
      </x:c>
      <x:c r="BQ222" s="10">
        <x:f>IF((Weights!$C$5*IF(BA222="",0,1)+Weights!$C$6*IF(AW222="",0,1)+Weights!$C$7*IF(AU222="",0,1))=0,"",(Weights!$C$5*IF(BA222="",0,BA222)+Weights!$C$6*IF(AW222="",0,AW222)+Weights!$C$7*IF(AU222="",0,AU222))/(Weights!$C$5*IF(BA222="",0,1)+Weights!$C$6*IF(AW222="",0,1)+Weights!$C$7*IF(AU222="",0,1)))</x:f>
      </x:c>
      <x:c r="BR222" s="10">
        <x:f>IF((Weights!$C$8*IF(AW222="",0,1)+Weights!$C$9*IF(BC222="",0,1)+Weights!$C$10*IF(BF222="",0,1))=0,"",(Weights!$C$8*IF(AW222="",0,AW222)+Weights!$C$9*IF(BC222="",0,BC222)+Weights!$C$10*IF(BF222="",0,BF222))/(Weights!$C$8*IF(AW222="",0,1)+Weights!$C$9*IF(BC222="",0,1)+Weights!$C$10*IF(BF222="",0,1)))</x:f>
      </x:c>
      <x:c r="BS222" s="10">
        <x:f>IF(Y222="","",Y222)</x:f>
      </x:c>
      <x:c r="BT222" s="10">
        <x:f>IF(AS222="","",AS222)</x:f>
      </x:c>
      <x:c r="BU222" s="10">
        <x:f>IF(AJ222&lt;&gt;"",(0.6*AJ222+0.4*AU222),IF((Weights!$C$11*IF(AU222="",0,1)+Weights!$C$12*IF(BM222="",0,1))=0,"",(Weights!$C$11*IF(AU222="",0,AU222)+Weights!$C$12*IF(BM222="",0,BM222))/(Weights!$C$11*IF(AU222="",0,1)+Weights!$C$12*IF(BM222="",0,1))))</x:f>
      </x:c>
      <x:c r="BV222" s="10">
        <x:f>IF(CG222="",0,CG222)</x:f>
      </x:c>
      <x:c r="BW222" s="10">
        <x:f>IF(AP222="","",AP222)</x:f>
      </x:c>
      <x:c r="BX222" s="10">
        <x:f>IF(AO222="","",AO222)</x:f>
      </x:c>
      <x:c r="BY222" s="10">
        <x:f>IF(AL222="","",AL222)</x:f>
      </x:c>
      <x:c r="BZ222" s="10">
        <x:f>IF(AM222="","",AM222)</x:f>
      </x:c>
      <x:c r="CA222" s="10">
        <x:f>IF(AK222&lt;&gt;"",AK222,AW222)</x:f>
      </x:c>
      <x:c r="CB222" s="10">
        <x:f>IF((Weights!$C$13*IF(BP222="",0,1)+Weights!$C$14*IF(BR222="",0,1)+Weights!$C$15*IF(BQ222="",0,1)+Weights!$C$16*IF(BS222="",0,1)+Weights!$C$17*IF(BU222="",0,1)+Weights!$C$18*IF(BT222="",0,1)+Weights!$C$19*IF(BW222="",0,1)+Weights!$C$20*IF(BZ222="",0,1)+Weights!$C$21*IF(BO222="",0,1)+Weights!$C$22)=0,"",(Weights!$C$13*IF(BP222="",0,BP222)+Weights!$C$14*IF(BR222="",0,BR222)+Weights!$C$15*IF(BQ222="",0,BQ222)+Weights!$C$16*IF(BS222="",0,BS222)+Weights!$C$17*IF(BU222="",0,BU222)+Weights!$C$18*IF(BT222="",0,BT222)+Weights!$C$19*IF(BW222="",0,BW222)+Weights!$C$20*IF(BZ222="",0,BZ222)+Weights!$C$21*IF(BO222="",0,BO222)+Weights!$C$22*BV222)/(Weights!$C$13*IF(BP222="",0,1)+Weights!$C$14*IF(BR222="",0,1)+Weights!$C$15*IF(BQ222="",0,1)+Weights!$C$16*IF(BS222="",0,1)+Weights!$C$17*IF(BU222="",0,1)+Weights!$C$18*IF(BT222="",0,1)+Weights!$C$19*IF(BW222="",0,1)+Weights!$C$20*IF(BZ222="",0,1)+Weights!$C$21*IF(BO222="",0,1)+Weights!$C$22))</x:f>
      </x:c>
      <x:c r="CC222" s="10">
        <x:f>IF((Weights!$C$23*IF(BQ222="",0,1)+Weights!$C$24*IF(BN222="",0,1)+Weights!$C$25*IF(BS222="",0,1)+Weights!$C$26*IF(BY222="",0,1)+Weights!$C$27*IF(BX222="",0,1)+Weights!$C$28*IF(BT222="",0,1)+Weights!$C$29*IF(CA222="",0,1)+Weights!$C$30+Weights!$C$31*IF(BU222="",0,1))=0,"",(Weights!$C$23*IF(BQ222="",0,BQ222)+Weights!$C$24*IF(BN222="",0,BN222)+Weights!$C$25*IF(BS222="",0,BS222)+Weights!$C$26*IF(BY222="",0,BY222)+Weights!$C$27*IF(BX222="",0,BX222)+Weights!$C$28*IF(BT222="",0,BT222)+Weights!$C$29*IF(CA222="",0,CA222)+Weights!$C$30*BV222+Weights!$C$31*IF(BU222="",0,BU222))/(Weights!$C$23*IF(BQ222="",0,1)+Weights!$C$24*IF(BN222="",0,1)+Weights!$C$25*IF(BS222="",0,1)+Weights!$C$26*IF(BY222="",0,1)+Weights!$C$27*IF(BX222="",0,1)+Weights!$C$28*IF(BT222="",0,1)+Weights!$C$29*IF(CA222="",0,1)+Weights!$C$30+Weights!$C$31*IF(BU222="",0,1)))</x:f>
      </x:c>
      <x:c r="CD222" s="10">
        <x:f>IF(AND(CB222="",CC222=""),"",IF(CB222="",CC222,IF(CC222="",CB222,AVERAGE(CB222,CC222))))</x:f>
      </x:c>
      <x:c r="CE222" s="7">
        <x:f>ROUND(100*((IF(BP222&lt;&gt;"",1,0)+IF(BQ222&lt;&gt;"",1,0)+IF(BR222&lt;&gt;"",1,0)+IF(BS222&lt;&gt;"",1,0)+IF(BU222&lt;&gt;"",1,0)+IF(BT222&lt;&gt;"",1,0)+IF(BN222&lt;&gt;"",1,0)+IF(AW222&lt;&gt;"",1,0))/8),0)</x:f>
      </x:c>
      <x:c r="CF222">
        <x:f>IF(V222="","",LOG10(V222+1))</x:f>
      </x:c>
      <x:c r="CG222">
        <x:f>IF(CF222="","",IF(MAX($CF$2:$CF$252)-MIN($CF$2:$CF$252)=0,"",(CF222-MIN($CF$2:$CF$252))/(MAX($CF$2:$CF$252)-MIN($CF$2:$CF$252))*100))</x:f>
      </x:c>
    </x:row>
    <x:row r="223">
      <x:c r="A223" t="inlineStr">
        <x:is>
          <x:t xml:space="preserve">KWT</x:t>
        </x:is>
      </x:c>
      <x:c r="B223" t="inlineStr">
        <x:is>
          <x:t xml:space="preserve">Kuwait</x:t>
        </x:is>
      </x:c>
      <x:c r="C223" t="inlineStr">
        <x:is>
          <x:t xml:space="preserve">Middle East &amp; North Africa</x:t>
        </x:is>
      </x:c>
      <x:c r="D223" t="inlineStr">
        <x:is>
          <x:t xml:space="preserve">High income</x:t>
        </x:is>
      </x:c>
      <x:c r="E223" t="inlineStr">
        <x:is>
          <x:t xml:space="preserve">Asia</x:t>
        </x:is>
      </x:c>
      <x:c r="F223" t="n">
        <x:v>2024</x:v>
      </x:c>
      <x:c r="G223" t="n">
        <x:v>4897263</x:v>
      </x:c>
      <x:c r="H223" t="n">
        <x:v>2020</x:v>
      </x:c>
      <x:c r="I223" t="n">
        <x:v>25000</x:v>
      </x:c>
      <x:c r="J223" t="n">
        <x:v>16250</x:v>
      </x:c>
      <x:c r="K223" t="n">
        <x:v>5000</x:v>
      </x:c>
      <x:c r="L223" t="n">
        <x:v>3000</x:v>
      </x:c>
      <x:c r="M223" t="n">
        <x:v>2024</x:v>
      </x:c>
      <x:c r="N223" s="8" t="n">
        <x:v>7792925565.71038</x:v>
      </x:c>
      <x:c r="O223" s="9" t="n">
        <x:v>4.84093247384389</x:v>
      </x:c>
      <x:c r="P223" s="8" t="n">
        <x:v>311717.0226284152</x:v>
      </x:c>
      <x:c r="Q223" t="n">
        <x:v>2024</x:v>
      </x:c>
      <x:c r="R223" s="8" t="n">
        <x:v>160227273053.334</x:v>
      </x:c>
      <x:c r="S223" t="n">
        <x:v>2</x:v>
      </x:c>
      <x:c r="T223" t="n">
        <x:v>0</x:v>
      </x:c>
      <x:c r="U223" t="inlineStr">
        <x:is>
          <x:t xml:space="preserve">No</x:t>
        </x:is>
      </x:c>
      <x:c r="W223" t="inlineStr">
        <x:is>
          <x:t xml:space="preserve">No</x:t>
        </x:is>
      </x:c>
      <x:c r="X223" t="n">
        <x:v>8.795391855183794</x:v>
      </x:c>
      <x:c r="Y223" t="n">
        <x:v>94.23068779926338</x:v>
      </x:c>
      <x:c r="Z223" t="n">
        <x:v>16652.11969121981</x:v>
      </x:c>
      <x:c r="AA223" t="n">
        <x:v>172.6760348423467</x:v>
      </x:c>
      <x:c r="AB223" s="8" t="n">
        <x:v>104715.0644322816</x:v>
      </x:c>
      <x:c r="AC223" t="n">
        <x:v>123</x:v>
      </x:c>
      <x:c r="AD223" t="n">
        <x:v>0</x:v>
      </x:c>
      <x:c r="AE223" t="n">
        <x:v>0</x:v>
      </x:c>
      <x:c r="AR223">
        <x:f>IF(G223="","",LOG10(G223+1))</x:f>
      </x:c>
      <x:c r="AS223" s="10">
        <x:f>IF(AR223="","",IF(MAX($AR$2:$AR$252)-MIN($AR$2:$AR$252)=0,"",(AR223-MIN($AR$2:$AR$252))/(MAX($AR$2:$AR$252)-MIN($AR$2:$AR$252))*100))</x:f>
      </x:c>
      <x:c r="AT223">
        <x:f>IF(R223="","",LOG10(R223+1))</x:f>
      </x:c>
      <x:c r="AU223" s="10">
        <x:f>IF(AT223="","",IF(MAX($AT$2:$AT$252)-MIN($AT$2:$AT$252)=0,"",(AT223-MIN($AT$2:$AT$252))/(MAX($AT$2:$AT$252)-MIN($AT$2:$AT$252))*100))</x:f>
      </x:c>
      <x:c r="AV223">
        <x:f>IF(N223="","",LOG10(N223+1))</x:f>
      </x:c>
      <x:c r="AW223" s="10">
        <x:f>IF(AV223="","",IF(MAX($AV$2:$AV$252)-MIN($AV$2:$AV$252)=0,"",(AV223-MIN($AV$2:$AV$252))/(MAX($AV$2:$AV$252)-MIN($AV$2:$AV$252))*100))</x:f>
      </x:c>
      <x:c r="AX223">
        <x:f>IF(I223="","",LOG10(I223+1))</x:f>
      </x:c>
      <x:c r="AY223" s="10">
        <x:f>IF(AX223="","",IF(MAX($AX$2:$AX$252)-MIN($AX$2:$AX$252)=0,"",(AX223-MIN($AX$2:$AX$252))/(MAX($AX$2:$AX$252)-MIN($AX$2:$AX$252))*100))</x:f>
      </x:c>
      <x:c r="AZ223">
        <x:f>IF(J223="","",LOG10(J223+1))</x:f>
      </x:c>
      <x:c r="BA223" s="10">
        <x:f>IF(AZ223="","",IF(MAX($AZ$2:$AZ$252)-MIN($AZ$2:$AZ$252)=0,"",(AZ223-MIN($AZ$2:$AZ$252))/(MAX($AZ$2:$AZ$252)-MIN($AZ$2:$AZ$252))*100))</x:f>
      </x:c>
      <x:c r="BB223">
        <x:f>IF(K223="","",LOG10(K223+1))</x:f>
      </x:c>
      <x:c r="BC223" s="10">
        <x:f>IF(BB223="","",IF(MAX($BB$2:$BB$252)-MIN($BB$2:$BB$252)=0,"",(BB223-MIN($BB$2:$BB$252))/(MAX($BB$2:$BB$252)-MIN($BB$2:$BB$252))*100))</x:f>
      </x:c>
      <x:c r="BD223">
        <x:f>IF(L223="","",LOG10(L223+1))</x:f>
      </x:c>
      <x:c r="BE223" s="10">
        <x:f>IF(BD223="","",IF(MAX($BD$2:$BD$252)-MIN($BD$2:$BD$252)=0,"",(BD223-MIN($BD$2:$BD$252))/(MAX($BD$2:$BD$252)-MIN($BD$2:$BD$252))*100))</x:f>
      </x:c>
      <x:c r="BF223" s="10">
        <x:f>IF(P223="","",IF(MAX($P$2:$P$252)-MIN($P$2:$P$252)=0,"",(P223-MIN($P$2:$P$252))/(MAX($P$2:$P$252)-MIN($P$2:$P$252))*100))</x:f>
      </x:c>
      <x:c r="BG223">
        <x:f>IF(AF223="","",LOG10(AF223+1))</x:f>
      </x:c>
      <x:c r="BH223" s="10">
        <x:f>IF(BG223="","",IF(MAX($BG$2:$BG$252)-MIN($BG$2:$BG$252)=0,"",(BG223-MIN($BG$2:$BG$252))/(MAX($BG$2:$BG$252)-MIN($BG$2:$BG$252))*100))</x:f>
      </x:c>
      <x:c r="BI223">
        <x:f>IF(AC223="","",LOG10(AC223+1))</x:f>
      </x:c>
      <x:c r="BJ223" s="10">
        <x:f>IF(BI223="","",IF(MAX($BI$2:$BI$252)-MIN($BI$2:$BI$252)=0,"",(BI223-MIN($BI$2:$BI$252))/(MAX($BI$2:$BI$252)-MIN($BI$2:$BI$252))*100))</x:f>
      </x:c>
      <x:c r="BK223">
        <x:f>IF(AD223="","",(AD223*2)+(AE223*1))</x:f>
      </x:c>
      <x:c r="BL223" s="10">
        <x:f>IF(BK223="","",IF(MAX($BK$2:$BK$252)-MIN($BK$2:$BK$252)=0,"",(BK223-MIN($BK$2:$BK$252))/(MAX($BK$2:$BK$252)-MIN($BK$2:$BK$252))*100))</x:f>
      </x:c>
      <x:c r="BM223" s="10">
        <x:f>IF(AB223="","",IF(MAX($AB$2:$AB$252)-MIN($AB$2:$AB$252)=0,"",(AB223-MIN($AB$2:$AB$252))/(MAX($AB$2:$AB$252)-MIN($AB$2:$AB$252))*100))</x:f>
      </x:c>
      <x:c r="BN223" s="10">
        <x:f>IF(X223="","",X223)</x:f>
      </x:c>
      <x:c r="BO223" s="10">
        <x:f>IF(X223="","",100-X223)</x:f>
      </x:c>
      <x:c r="BP223" s="10">
        <x:f>IF((Weights!$C$2*IF(BH223="",0,1)+Weights!$C$3*IF(BJ223="",0,1)+Weights!$C$4*IF(BL223="",0,1))=0,"",(Weights!$C$2*IF(BH223="",0,BH223)+Weights!$C$3*IF(BJ223="",0,BJ223)+Weights!$C$4*IF(BL223="",0,BL223))/(Weights!$C$2*IF(BH223="",0,1)+Weights!$C$3*IF(BJ223="",0,1)+Weights!$C$4*IF(BL223="",0,1)))</x:f>
      </x:c>
      <x:c r="BQ223" s="10">
        <x:f>IF((Weights!$C$5*IF(BA223="",0,1)+Weights!$C$6*IF(AW223="",0,1)+Weights!$C$7*IF(AU223="",0,1))=0,"",(Weights!$C$5*IF(BA223="",0,BA223)+Weights!$C$6*IF(AW223="",0,AW223)+Weights!$C$7*IF(AU223="",0,AU223))/(Weights!$C$5*IF(BA223="",0,1)+Weights!$C$6*IF(AW223="",0,1)+Weights!$C$7*IF(AU223="",0,1)))</x:f>
      </x:c>
      <x:c r="BR223" s="10">
        <x:f>IF((Weights!$C$8*IF(AW223="",0,1)+Weights!$C$9*IF(BC223="",0,1)+Weights!$C$10*IF(BF223="",0,1))=0,"",(Weights!$C$8*IF(AW223="",0,AW223)+Weights!$C$9*IF(BC223="",0,BC223)+Weights!$C$10*IF(BF223="",0,BF223))/(Weights!$C$8*IF(AW223="",0,1)+Weights!$C$9*IF(BC223="",0,1)+Weights!$C$10*IF(BF223="",0,1)))</x:f>
      </x:c>
      <x:c r="BS223" s="10">
        <x:f>IF(Y223="","",Y223)</x:f>
      </x:c>
      <x:c r="BT223" s="10">
        <x:f>IF(AS223="","",AS223)</x:f>
      </x:c>
      <x:c r="BU223" s="10">
        <x:f>IF(AJ223&lt;&gt;"",(0.6*AJ223+0.4*AU223),IF((Weights!$C$11*IF(AU223="",0,1)+Weights!$C$12*IF(BM223="",0,1))=0,"",(Weights!$C$11*IF(AU223="",0,AU223)+Weights!$C$12*IF(BM223="",0,BM223))/(Weights!$C$11*IF(AU223="",0,1)+Weights!$C$12*IF(BM223="",0,1))))</x:f>
      </x:c>
      <x:c r="BV223" s="10">
        <x:f>IF(CG223="",0,CG223)</x:f>
      </x:c>
      <x:c r="BW223" s="10">
        <x:f>IF(AP223="","",AP223)</x:f>
      </x:c>
      <x:c r="BX223" s="10">
        <x:f>IF(AO223="","",AO223)</x:f>
      </x:c>
      <x:c r="BY223" s="10">
        <x:f>IF(AL223="","",AL223)</x:f>
      </x:c>
      <x:c r="BZ223" s="10">
        <x:f>IF(AM223="","",AM223)</x:f>
      </x:c>
      <x:c r="CA223" s="10">
        <x:f>IF(AK223&lt;&gt;"",AK223,AW223)</x:f>
      </x:c>
      <x:c r="CB223" s="10">
        <x:f>IF((Weights!$C$13*IF(BP223="",0,1)+Weights!$C$14*IF(BR223="",0,1)+Weights!$C$15*IF(BQ223="",0,1)+Weights!$C$16*IF(BS223="",0,1)+Weights!$C$17*IF(BU223="",0,1)+Weights!$C$18*IF(BT223="",0,1)+Weights!$C$19*IF(BW223="",0,1)+Weights!$C$20*IF(BZ223="",0,1)+Weights!$C$21*IF(BO223="",0,1)+Weights!$C$22)=0,"",(Weights!$C$13*IF(BP223="",0,BP223)+Weights!$C$14*IF(BR223="",0,BR223)+Weights!$C$15*IF(BQ223="",0,BQ223)+Weights!$C$16*IF(BS223="",0,BS223)+Weights!$C$17*IF(BU223="",0,BU223)+Weights!$C$18*IF(BT223="",0,BT223)+Weights!$C$19*IF(BW223="",0,BW223)+Weights!$C$20*IF(BZ223="",0,BZ223)+Weights!$C$21*IF(BO223="",0,BO223)+Weights!$C$22*BV223)/(Weights!$C$13*IF(BP223="",0,1)+Weights!$C$14*IF(BR223="",0,1)+Weights!$C$15*IF(BQ223="",0,1)+Weights!$C$16*IF(BS223="",0,1)+Weights!$C$17*IF(BU223="",0,1)+Weights!$C$18*IF(BT223="",0,1)+Weights!$C$19*IF(BW223="",0,1)+Weights!$C$20*IF(BZ223="",0,1)+Weights!$C$21*IF(BO223="",0,1)+Weights!$C$22))</x:f>
      </x:c>
      <x:c r="CC223" s="10">
        <x:f>IF((Weights!$C$23*IF(BQ223="",0,1)+Weights!$C$24*IF(BN223="",0,1)+Weights!$C$25*IF(BS223="",0,1)+Weights!$C$26*IF(BY223="",0,1)+Weights!$C$27*IF(BX223="",0,1)+Weights!$C$28*IF(BT223="",0,1)+Weights!$C$29*IF(CA223="",0,1)+Weights!$C$30+Weights!$C$31*IF(BU223="",0,1))=0,"",(Weights!$C$23*IF(BQ223="",0,BQ223)+Weights!$C$24*IF(BN223="",0,BN223)+Weights!$C$25*IF(BS223="",0,BS223)+Weights!$C$26*IF(BY223="",0,BY223)+Weights!$C$27*IF(BX223="",0,BX223)+Weights!$C$28*IF(BT223="",0,BT223)+Weights!$C$29*IF(CA223="",0,CA223)+Weights!$C$30*BV223+Weights!$C$31*IF(BU223="",0,BU223))/(Weights!$C$23*IF(BQ223="",0,1)+Weights!$C$24*IF(BN223="",0,1)+Weights!$C$25*IF(BS223="",0,1)+Weights!$C$26*IF(BY223="",0,1)+Weights!$C$27*IF(BX223="",0,1)+Weights!$C$28*IF(BT223="",0,1)+Weights!$C$29*IF(CA223="",0,1)+Weights!$C$30+Weights!$C$31*IF(BU223="",0,1)))</x:f>
      </x:c>
      <x:c r="CD223" s="10">
        <x:f>IF(AND(CB223="",CC223=""),"",IF(CB223="",CC223,IF(CC223="",CB223,AVERAGE(CB223,CC223))))</x:f>
      </x:c>
      <x:c r="CE223" s="7">
        <x:f>ROUND(100*((IF(BP223&lt;&gt;"",1,0)+IF(BQ223&lt;&gt;"",1,0)+IF(BR223&lt;&gt;"",1,0)+IF(BS223&lt;&gt;"",1,0)+IF(BU223&lt;&gt;"",1,0)+IF(BT223&lt;&gt;"",1,0)+IF(BN223&lt;&gt;"",1,0)+IF(AW223&lt;&gt;"",1,0))/8),0)</x:f>
      </x:c>
      <x:c r="CF223">
        <x:f>IF(V223="","",LOG10(V223+1))</x:f>
      </x:c>
      <x:c r="CG223">
        <x:f>IF(CF223="","",IF(MAX($CF$2:$CF$252)-MIN($CF$2:$CF$252)=0,"",(CF223-MIN($CF$2:$CF$252))/(MAX($CF$2:$CF$252)-MIN($CF$2:$CF$252))*100))</x:f>
      </x:c>
    </x:row>
    <x:row r="224">
      <x:c r="A224" t="inlineStr">
        <x:is>
          <x:t xml:space="preserve">QAT</x:t>
        </x:is>
      </x:c>
      <x:c r="B224" t="inlineStr">
        <x:is>
          <x:t xml:space="preserve">Qatar</x:t>
        </x:is>
      </x:c>
      <x:c r="C224" t="inlineStr">
        <x:is>
          <x:t xml:space="preserve">Middle East &amp; North Africa</x:t>
        </x:is>
      </x:c>
      <x:c r="D224" t="inlineStr">
        <x:is>
          <x:t xml:space="preserve">High income</x:t>
        </x:is>
      </x:c>
      <x:c r="E224" t="inlineStr">
        <x:is>
          <x:t xml:space="preserve">Asia</x:t>
        </x:is>
      </x:c>
      <x:c r="F224" t="n">
        <x:v>2024</x:v>
      </x:c>
      <x:c r="G224" t="n">
        <x:v>2857822</x:v>
      </x:c>
      <x:c r="H224" t="n">
        <x:v>2020</x:v>
      </x:c>
      <x:c r="I224" t="n">
        <x:v>22000</x:v>
      </x:c>
      <x:c r="J224" t="n">
        <x:v>14300</x:v>
      </x:c>
      <x:c r="K224" t="n">
        <x:v>4400</x:v>
      </x:c>
      <x:c r="L224" t="n">
        <x:v>2640</x:v>
      </x:c>
      <x:c r="M224" t="n">
        <x:v>2022</x:v>
      </x:c>
      <x:c r="N224" s="8" t="n">
        <x:v>15412087912.0879</x:v>
      </x:c>
      <x:c r="O224" s="9" t="n">
        <x:v>6.50020565272303</x:v>
      </x:c>
      <x:c r="P224" s="8" t="n">
        <x:v>700549.45054945</x:v>
      </x:c>
      <x:c r="Q224" t="n">
        <x:v>2024</x:v>
      </x:c>
      <x:c r="R224" s="8" t="n">
        <x:v>219162637362.637</x:v>
      </x:c>
      <x:c r="S224" t="n">
        <x:v>0</x:v>
      </x:c>
      <x:c r="T224" t="n">
        <x:v>0</x:v>
      </x:c>
      <x:c r="U224" t="inlineStr">
        <x:is>
          <x:t xml:space="preserve">No</x:t>
        </x:is>
      </x:c>
      <x:c r="W224" t="inlineStr">
        <x:is>
          <x:t xml:space="preserve">No</x:t>
        </x:is>
      </x:c>
      <x:c r="X224" t="n">
        <x:v>2.714033334635531</x:v>
      </x:c>
      <x:c r="Y224" t="n">
        <x:v>100</x:v>
      </x:c>
      <x:c r="Z224" t="n">
        <x:v>11327.85466480705</x:v>
      </x:c>
      <x:c r="AA224" t="n">
        <x:v>204.3023210025816</x:v>
      </x:c>
      <x:c r="AB224" s="8" t="n">
        <x:v>144535.7076654048</x:v>
      </x:c>
      <x:c r="AC224" t="n">
        <x:v>123</x:v>
      </x:c>
      <x:c r="AD224" t="n">
        <x:v>0</x:v>
      </x:c>
      <x:c r="AE224" t="n">
        <x:v>0</x:v>
      </x:c>
      <x:c r="AR224">
        <x:f>IF(G224="","",LOG10(G224+1))</x:f>
      </x:c>
      <x:c r="AS224" s="10">
        <x:f>IF(AR224="","",IF(MAX($AR$2:$AR$252)-MIN($AR$2:$AR$252)=0,"",(AR224-MIN($AR$2:$AR$252))/(MAX($AR$2:$AR$252)-MIN($AR$2:$AR$252))*100))</x:f>
      </x:c>
      <x:c r="AT224">
        <x:f>IF(R224="","",LOG10(R224+1))</x:f>
      </x:c>
      <x:c r="AU224" s="10">
        <x:f>IF(AT224="","",IF(MAX($AT$2:$AT$252)-MIN($AT$2:$AT$252)=0,"",(AT224-MIN($AT$2:$AT$252))/(MAX($AT$2:$AT$252)-MIN($AT$2:$AT$252))*100))</x:f>
      </x:c>
      <x:c r="AV224">
        <x:f>IF(N224="","",LOG10(N224+1))</x:f>
      </x:c>
      <x:c r="AW224" s="10">
        <x:f>IF(AV224="","",IF(MAX($AV$2:$AV$252)-MIN($AV$2:$AV$252)=0,"",(AV224-MIN($AV$2:$AV$252))/(MAX($AV$2:$AV$252)-MIN($AV$2:$AV$252))*100))</x:f>
      </x:c>
      <x:c r="AX224">
        <x:f>IF(I224="","",LOG10(I224+1))</x:f>
      </x:c>
      <x:c r="AY224" s="10">
        <x:f>IF(AX224="","",IF(MAX($AX$2:$AX$252)-MIN($AX$2:$AX$252)=0,"",(AX224-MIN($AX$2:$AX$252))/(MAX($AX$2:$AX$252)-MIN($AX$2:$AX$252))*100))</x:f>
      </x:c>
      <x:c r="AZ224">
        <x:f>IF(J224="","",LOG10(J224+1))</x:f>
      </x:c>
      <x:c r="BA224" s="10">
        <x:f>IF(AZ224="","",IF(MAX($AZ$2:$AZ$252)-MIN($AZ$2:$AZ$252)=0,"",(AZ224-MIN($AZ$2:$AZ$252))/(MAX($AZ$2:$AZ$252)-MIN($AZ$2:$AZ$252))*100))</x:f>
      </x:c>
      <x:c r="BB224">
        <x:f>IF(K224="","",LOG10(K224+1))</x:f>
      </x:c>
      <x:c r="BC224" s="10">
        <x:f>IF(BB224="","",IF(MAX($BB$2:$BB$252)-MIN($BB$2:$BB$252)=0,"",(BB224-MIN($BB$2:$BB$252))/(MAX($BB$2:$BB$252)-MIN($BB$2:$BB$252))*100))</x:f>
      </x:c>
      <x:c r="BD224">
        <x:f>IF(L224="","",LOG10(L224+1))</x:f>
      </x:c>
      <x:c r="BE224" s="10">
        <x:f>IF(BD224="","",IF(MAX($BD$2:$BD$252)-MIN($BD$2:$BD$252)=0,"",(BD224-MIN($BD$2:$BD$252))/(MAX($BD$2:$BD$252)-MIN($BD$2:$BD$252))*100))</x:f>
      </x:c>
      <x:c r="BF224" s="10">
        <x:f>IF(P224="","",IF(MAX($P$2:$P$252)-MIN($P$2:$P$252)=0,"",(P224-MIN($P$2:$P$252))/(MAX($P$2:$P$252)-MIN($P$2:$P$252))*100))</x:f>
      </x:c>
      <x:c r="BG224">
        <x:f>IF(AF224="","",LOG10(AF224+1))</x:f>
      </x:c>
      <x:c r="BH224" s="10">
        <x:f>IF(BG224="","",IF(MAX($BG$2:$BG$252)-MIN($BG$2:$BG$252)=0,"",(BG224-MIN($BG$2:$BG$252))/(MAX($BG$2:$BG$252)-MIN($BG$2:$BG$252))*100))</x:f>
      </x:c>
      <x:c r="BI224">
        <x:f>IF(AC224="","",LOG10(AC224+1))</x:f>
      </x:c>
      <x:c r="BJ224" s="10">
        <x:f>IF(BI224="","",IF(MAX($BI$2:$BI$252)-MIN($BI$2:$BI$252)=0,"",(BI224-MIN($BI$2:$BI$252))/(MAX($BI$2:$BI$252)-MIN($BI$2:$BI$252))*100))</x:f>
      </x:c>
      <x:c r="BK224">
        <x:f>IF(AD224="","",(AD224*2)+(AE224*1))</x:f>
      </x:c>
      <x:c r="BL224" s="10">
        <x:f>IF(BK224="","",IF(MAX($BK$2:$BK$252)-MIN($BK$2:$BK$252)=0,"",(BK224-MIN($BK$2:$BK$252))/(MAX($BK$2:$BK$252)-MIN($BK$2:$BK$252))*100))</x:f>
      </x:c>
      <x:c r="BM224" s="10">
        <x:f>IF(AB224="","",IF(MAX($AB$2:$AB$252)-MIN($AB$2:$AB$252)=0,"",(AB224-MIN($AB$2:$AB$252))/(MAX($AB$2:$AB$252)-MIN($AB$2:$AB$252))*100))</x:f>
      </x:c>
      <x:c r="BN224" s="10">
        <x:f>IF(X224="","",X224)</x:f>
      </x:c>
      <x:c r="BO224" s="10">
        <x:f>IF(X224="","",100-X224)</x:f>
      </x:c>
      <x:c r="BP224" s="10">
        <x:f>IF((Weights!$C$2*IF(BH224="",0,1)+Weights!$C$3*IF(BJ224="",0,1)+Weights!$C$4*IF(BL224="",0,1))=0,"",(Weights!$C$2*IF(BH224="",0,BH224)+Weights!$C$3*IF(BJ224="",0,BJ224)+Weights!$C$4*IF(BL224="",0,BL224))/(Weights!$C$2*IF(BH224="",0,1)+Weights!$C$3*IF(BJ224="",0,1)+Weights!$C$4*IF(BL224="",0,1)))</x:f>
      </x:c>
      <x:c r="BQ224" s="10">
        <x:f>IF((Weights!$C$5*IF(BA224="",0,1)+Weights!$C$6*IF(AW224="",0,1)+Weights!$C$7*IF(AU224="",0,1))=0,"",(Weights!$C$5*IF(BA224="",0,BA224)+Weights!$C$6*IF(AW224="",0,AW224)+Weights!$C$7*IF(AU224="",0,AU224))/(Weights!$C$5*IF(BA224="",0,1)+Weights!$C$6*IF(AW224="",0,1)+Weights!$C$7*IF(AU224="",0,1)))</x:f>
      </x:c>
      <x:c r="BR224" s="10">
        <x:f>IF((Weights!$C$8*IF(AW224="",0,1)+Weights!$C$9*IF(BC224="",0,1)+Weights!$C$10*IF(BF224="",0,1))=0,"",(Weights!$C$8*IF(AW224="",0,AW224)+Weights!$C$9*IF(BC224="",0,BC224)+Weights!$C$10*IF(BF224="",0,BF224))/(Weights!$C$8*IF(AW224="",0,1)+Weights!$C$9*IF(BC224="",0,1)+Weights!$C$10*IF(BF224="",0,1)))</x:f>
      </x:c>
      <x:c r="BS224" s="10">
        <x:f>IF(Y224="","",Y224)</x:f>
      </x:c>
      <x:c r="BT224" s="10">
        <x:f>IF(AS224="","",AS224)</x:f>
      </x:c>
      <x:c r="BU224" s="10">
        <x:f>IF(AJ224&lt;&gt;"",(0.6*AJ224+0.4*AU224),IF((Weights!$C$11*IF(AU224="",0,1)+Weights!$C$12*IF(BM224="",0,1))=0,"",(Weights!$C$11*IF(AU224="",0,AU224)+Weights!$C$12*IF(BM224="",0,BM224))/(Weights!$C$11*IF(AU224="",0,1)+Weights!$C$12*IF(BM224="",0,1))))</x:f>
      </x:c>
      <x:c r="BV224" s="10">
        <x:f>IF(CG224="",0,CG224)</x:f>
      </x:c>
      <x:c r="BW224" s="10">
        <x:f>IF(AP224="","",AP224)</x:f>
      </x:c>
      <x:c r="BX224" s="10">
        <x:f>IF(AO224="","",AO224)</x:f>
      </x:c>
      <x:c r="BY224" s="10">
        <x:f>IF(AL224="","",AL224)</x:f>
      </x:c>
      <x:c r="BZ224" s="10">
        <x:f>IF(AM224="","",AM224)</x:f>
      </x:c>
      <x:c r="CA224" s="10">
        <x:f>IF(AK224&lt;&gt;"",AK224,AW224)</x:f>
      </x:c>
      <x:c r="CB224" s="10">
        <x:f>IF((Weights!$C$13*IF(BP224="",0,1)+Weights!$C$14*IF(BR224="",0,1)+Weights!$C$15*IF(BQ224="",0,1)+Weights!$C$16*IF(BS224="",0,1)+Weights!$C$17*IF(BU224="",0,1)+Weights!$C$18*IF(BT224="",0,1)+Weights!$C$19*IF(BW224="",0,1)+Weights!$C$20*IF(BZ224="",0,1)+Weights!$C$21*IF(BO224="",0,1)+Weights!$C$22)=0,"",(Weights!$C$13*IF(BP224="",0,BP224)+Weights!$C$14*IF(BR224="",0,BR224)+Weights!$C$15*IF(BQ224="",0,BQ224)+Weights!$C$16*IF(BS224="",0,BS224)+Weights!$C$17*IF(BU224="",0,BU224)+Weights!$C$18*IF(BT224="",0,BT224)+Weights!$C$19*IF(BW224="",0,BW224)+Weights!$C$20*IF(BZ224="",0,BZ224)+Weights!$C$21*IF(BO224="",0,BO224)+Weights!$C$22*BV224)/(Weights!$C$13*IF(BP224="",0,1)+Weights!$C$14*IF(BR224="",0,1)+Weights!$C$15*IF(BQ224="",0,1)+Weights!$C$16*IF(BS224="",0,1)+Weights!$C$17*IF(BU224="",0,1)+Weights!$C$18*IF(BT224="",0,1)+Weights!$C$19*IF(BW224="",0,1)+Weights!$C$20*IF(BZ224="",0,1)+Weights!$C$21*IF(BO224="",0,1)+Weights!$C$22))</x:f>
      </x:c>
      <x:c r="CC224" s="10">
        <x:f>IF((Weights!$C$23*IF(BQ224="",0,1)+Weights!$C$24*IF(BN224="",0,1)+Weights!$C$25*IF(BS224="",0,1)+Weights!$C$26*IF(BY224="",0,1)+Weights!$C$27*IF(BX224="",0,1)+Weights!$C$28*IF(BT224="",0,1)+Weights!$C$29*IF(CA224="",0,1)+Weights!$C$30+Weights!$C$31*IF(BU224="",0,1))=0,"",(Weights!$C$23*IF(BQ224="",0,BQ224)+Weights!$C$24*IF(BN224="",0,BN224)+Weights!$C$25*IF(BS224="",0,BS224)+Weights!$C$26*IF(BY224="",0,BY224)+Weights!$C$27*IF(BX224="",0,BX224)+Weights!$C$28*IF(BT224="",0,BT224)+Weights!$C$29*IF(CA224="",0,CA224)+Weights!$C$30*BV224+Weights!$C$31*IF(BU224="",0,BU224))/(Weights!$C$23*IF(BQ224="",0,1)+Weights!$C$24*IF(BN224="",0,1)+Weights!$C$25*IF(BS224="",0,1)+Weights!$C$26*IF(BY224="",0,1)+Weights!$C$27*IF(BX224="",0,1)+Weights!$C$28*IF(BT224="",0,1)+Weights!$C$29*IF(CA224="",0,1)+Weights!$C$30+Weights!$C$31*IF(BU224="",0,1)))</x:f>
      </x:c>
      <x:c r="CD224" s="10">
        <x:f>IF(AND(CB224="",CC224=""),"",IF(CB224="",CC224,IF(CC224="",CB224,AVERAGE(CB224,CC224))))</x:f>
      </x:c>
      <x:c r="CE224" s="7">
        <x:f>ROUND(100*((IF(BP224&lt;&gt;"",1,0)+IF(BQ224&lt;&gt;"",1,0)+IF(BR224&lt;&gt;"",1,0)+IF(BS224&lt;&gt;"",1,0)+IF(BU224&lt;&gt;"",1,0)+IF(BT224&lt;&gt;"",1,0)+IF(BN224&lt;&gt;"",1,0)+IF(AW224&lt;&gt;"",1,0))/8),0)</x:f>
      </x:c>
      <x:c r="CF224">
        <x:f>IF(V224="","",LOG10(V224+1))</x:f>
      </x:c>
      <x:c r="CG224">
        <x:f>IF(CF224="","",IF(MAX($CF$2:$CF$252)-MIN($CF$2:$CF$252)=0,"",(CF224-MIN($CF$2:$CF$252))/(MAX($CF$2:$CF$252)-MIN($CF$2:$CF$252))*100))</x:f>
      </x:c>
    </x:row>
    <x:row r="225">
      <x:c r="A225" t="inlineStr">
        <x:is>
          <x:t xml:space="preserve">OMN</x:t>
        </x:is>
      </x:c>
      <x:c r="B225" t="inlineStr">
        <x:is>
          <x:t xml:space="preserve">Oman</x:t>
        </x:is>
      </x:c>
      <x:c r="C225" t="inlineStr">
        <x:is>
          <x:t xml:space="preserve">Middle East &amp; North Africa</x:t>
        </x:is>
      </x:c>
      <x:c r="D225" t="inlineStr">
        <x:is>
          <x:t xml:space="preserve">High income</x:t>
        </x:is>
      </x:c>
      <x:c r="E225" t="inlineStr">
        <x:is>
          <x:t xml:space="preserve">Asia</x:t>
        </x:is>
      </x:c>
      <x:c r="F225" t="n">
        <x:v>2024</x:v>
      </x:c>
      <x:c r="G225" t="n">
        <x:v>5281538</x:v>
      </x:c>
      <x:c r="H225" t="n">
        <x:v>2020</x:v>
      </x:c>
      <x:c r="I225" t="n">
        <x:v>47000</x:v>
      </x:c>
      <x:c r="J225" t="n">
        <x:v>30550</x:v>
      </x:c>
      <x:c r="K225" t="n">
        <x:v>9400</x:v>
      </x:c>
      <x:c r="L225" t="n">
        <x:v>5640</x:v>
      </x:c>
      <x:c r="M225" t="n">
        <x:v>2024</x:v>
      </x:c>
      <x:c r="N225" s="8" t="n">
        <x:v>5988296488.94668</x:v>
      </x:c>
      <x:c r="O225" s="9" t="n">
        <x:v>5.59419531945284</x:v>
      </x:c>
      <x:c r="P225" s="8" t="n">
        <x:v>127410.5635946102</x:v>
      </x:c>
      <x:c r="Q225" t="n">
        <x:v>2024</x:v>
      </x:c>
      <x:c r="R225" s="8" t="n">
        <x:v>107137198769.386</x:v>
      </x:c>
      <x:c r="S225" t="n">
        <x:v>0</x:v>
      </x:c>
      <x:c r="T225" t="n">
        <x:v>0</x:v>
      </x:c>
      <x:c r="U225" t="inlineStr">
        <x:is>
          <x:t xml:space="preserve">No</x:t>
        </x:is>
      </x:c>
      <x:c r="W225" t="inlineStr">
        <x:is>
          <x:t xml:space="preserve">No</x:t>
        </x:is>
      </x:c>
      <x:c r="X225" t="n">
        <x:v>24.25036907009512</x:v>
      </x:c>
      <x:c r="Y225" t="n">
        <x:v>66.83209313354129</x:v>
      </x:c>
      <x:c r="Z225" t="n">
        <x:v>309302.0335952306</x:v>
      </x:c>
      <x:c r="AA225" t="n">
        <x:v>11.07133360940438</x:v>
      </x:c>
      <x:c r="AB225" s="8" t="n">
        <x:v>50549.20794559959</x:v>
      </x:c>
      <x:c r="AC225" t="n">
        <x:v>22</x:v>
      </x:c>
      <x:c r="AD225" t="n">
        <x:v>0</x:v>
      </x:c>
      <x:c r="AE225" t="n">
        <x:v>0</x:v>
      </x:c>
      <x:c r="AR225">
        <x:f>IF(G225="","",LOG10(G225+1))</x:f>
      </x:c>
      <x:c r="AS225" s="10">
        <x:f>IF(AR225="","",IF(MAX($AR$2:$AR$252)-MIN($AR$2:$AR$252)=0,"",(AR225-MIN($AR$2:$AR$252))/(MAX($AR$2:$AR$252)-MIN($AR$2:$AR$252))*100))</x:f>
      </x:c>
      <x:c r="AT225">
        <x:f>IF(R225="","",LOG10(R225+1))</x:f>
      </x:c>
      <x:c r="AU225" s="10">
        <x:f>IF(AT225="","",IF(MAX($AT$2:$AT$252)-MIN($AT$2:$AT$252)=0,"",(AT225-MIN($AT$2:$AT$252))/(MAX($AT$2:$AT$252)-MIN($AT$2:$AT$252))*100))</x:f>
      </x:c>
      <x:c r="AV225">
        <x:f>IF(N225="","",LOG10(N225+1))</x:f>
      </x:c>
      <x:c r="AW225" s="10">
        <x:f>IF(AV225="","",IF(MAX($AV$2:$AV$252)-MIN($AV$2:$AV$252)=0,"",(AV225-MIN($AV$2:$AV$252))/(MAX($AV$2:$AV$252)-MIN($AV$2:$AV$252))*100))</x:f>
      </x:c>
      <x:c r="AX225">
        <x:f>IF(I225="","",LOG10(I225+1))</x:f>
      </x:c>
      <x:c r="AY225" s="10">
        <x:f>IF(AX225="","",IF(MAX($AX$2:$AX$252)-MIN($AX$2:$AX$252)=0,"",(AX225-MIN($AX$2:$AX$252))/(MAX($AX$2:$AX$252)-MIN($AX$2:$AX$252))*100))</x:f>
      </x:c>
      <x:c r="AZ225">
        <x:f>IF(J225="","",LOG10(J225+1))</x:f>
      </x:c>
      <x:c r="BA225" s="10">
        <x:f>IF(AZ225="","",IF(MAX($AZ$2:$AZ$252)-MIN($AZ$2:$AZ$252)=0,"",(AZ225-MIN($AZ$2:$AZ$252))/(MAX($AZ$2:$AZ$252)-MIN($AZ$2:$AZ$252))*100))</x:f>
      </x:c>
      <x:c r="BB225">
        <x:f>IF(K225="","",LOG10(K225+1))</x:f>
      </x:c>
      <x:c r="BC225" s="10">
        <x:f>IF(BB225="","",IF(MAX($BB$2:$BB$252)-MIN($BB$2:$BB$252)=0,"",(BB225-MIN($BB$2:$BB$252))/(MAX($BB$2:$BB$252)-MIN($BB$2:$BB$252))*100))</x:f>
      </x:c>
      <x:c r="BD225">
        <x:f>IF(L225="","",LOG10(L225+1))</x:f>
      </x:c>
      <x:c r="BE225" s="10">
        <x:f>IF(BD225="","",IF(MAX($BD$2:$BD$252)-MIN($BD$2:$BD$252)=0,"",(BD225-MIN($BD$2:$BD$252))/(MAX($BD$2:$BD$252)-MIN($BD$2:$BD$252))*100))</x:f>
      </x:c>
      <x:c r="BF225" s="10">
        <x:f>IF(P225="","",IF(MAX($P$2:$P$252)-MIN($P$2:$P$252)=0,"",(P225-MIN($P$2:$P$252))/(MAX($P$2:$P$252)-MIN($P$2:$P$252))*100))</x:f>
      </x:c>
      <x:c r="BG225">
        <x:f>IF(AF225="","",LOG10(AF225+1))</x:f>
      </x:c>
      <x:c r="BH225" s="10">
        <x:f>IF(BG225="","",IF(MAX($BG$2:$BG$252)-MIN($BG$2:$BG$252)=0,"",(BG225-MIN($BG$2:$BG$252))/(MAX($BG$2:$BG$252)-MIN($BG$2:$BG$252))*100))</x:f>
      </x:c>
      <x:c r="BI225">
        <x:f>IF(AC225="","",LOG10(AC225+1))</x:f>
      </x:c>
      <x:c r="BJ225" s="10">
        <x:f>IF(BI225="","",IF(MAX($BI$2:$BI$252)-MIN($BI$2:$BI$252)=0,"",(BI225-MIN($BI$2:$BI$252))/(MAX($BI$2:$BI$252)-MIN($BI$2:$BI$252))*100))</x:f>
      </x:c>
      <x:c r="BK225">
        <x:f>IF(AD225="","",(AD225*2)+(AE225*1))</x:f>
      </x:c>
      <x:c r="BL225" s="10">
        <x:f>IF(BK225="","",IF(MAX($BK$2:$BK$252)-MIN($BK$2:$BK$252)=0,"",(BK225-MIN($BK$2:$BK$252))/(MAX($BK$2:$BK$252)-MIN($BK$2:$BK$252))*100))</x:f>
      </x:c>
      <x:c r="BM225" s="10">
        <x:f>IF(AB225="","",IF(MAX($AB$2:$AB$252)-MIN($AB$2:$AB$252)=0,"",(AB225-MIN($AB$2:$AB$252))/(MAX($AB$2:$AB$252)-MIN($AB$2:$AB$252))*100))</x:f>
      </x:c>
      <x:c r="BN225" s="10">
        <x:f>IF(X225="","",X225)</x:f>
      </x:c>
      <x:c r="BO225" s="10">
        <x:f>IF(X225="","",100-X225)</x:f>
      </x:c>
      <x:c r="BP225" s="10">
        <x:f>IF((Weights!$C$2*IF(BH225="",0,1)+Weights!$C$3*IF(BJ225="",0,1)+Weights!$C$4*IF(BL225="",0,1))=0,"",(Weights!$C$2*IF(BH225="",0,BH225)+Weights!$C$3*IF(BJ225="",0,BJ225)+Weights!$C$4*IF(BL225="",0,BL225))/(Weights!$C$2*IF(BH225="",0,1)+Weights!$C$3*IF(BJ225="",0,1)+Weights!$C$4*IF(BL225="",0,1)))</x:f>
      </x:c>
      <x:c r="BQ225" s="10">
        <x:f>IF((Weights!$C$5*IF(BA225="",0,1)+Weights!$C$6*IF(AW225="",0,1)+Weights!$C$7*IF(AU225="",0,1))=0,"",(Weights!$C$5*IF(BA225="",0,BA225)+Weights!$C$6*IF(AW225="",0,AW225)+Weights!$C$7*IF(AU225="",0,AU225))/(Weights!$C$5*IF(BA225="",0,1)+Weights!$C$6*IF(AW225="",0,1)+Weights!$C$7*IF(AU225="",0,1)))</x:f>
      </x:c>
      <x:c r="BR225" s="10">
        <x:f>IF((Weights!$C$8*IF(AW225="",0,1)+Weights!$C$9*IF(BC225="",0,1)+Weights!$C$10*IF(BF225="",0,1))=0,"",(Weights!$C$8*IF(AW225="",0,AW225)+Weights!$C$9*IF(BC225="",0,BC225)+Weights!$C$10*IF(BF225="",0,BF225))/(Weights!$C$8*IF(AW225="",0,1)+Weights!$C$9*IF(BC225="",0,1)+Weights!$C$10*IF(BF225="",0,1)))</x:f>
      </x:c>
      <x:c r="BS225" s="10">
        <x:f>IF(Y225="","",Y225)</x:f>
      </x:c>
      <x:c r="BT225" s="10">
        <x:f>IF(AS225="","",AS225)</x:f>
      </x:c>
      <x:c r="BU225" s="10">
        <x:f>IF(AJ225&lt;&gt;"",(0.6*AJ225+0.4*AU225),IF((Weights!$C$11*IF(AU225="",0,1)+Weights!$C$12*IF(BM225="",0,1))=0,"",(Weights!$C$11*IF(AU225="",0,AU225)+Weights!$C$12*IF(BM225="",0,BM225))/(Weights!$C$11*IF(AU225="",0,1)+Weights!$C$12*IF(BM225="",0,1))))</x:f>
      </x:c>
      <x:c r="BV225" s="10">
        <x:f>IF(CG225="",0,CG225)</x:f>
      </x:c>
      <x:c r="BW225" s="10">
        <x:f>IF(AP225="","",AP225)</x:f>
      </x:c>
      <x:c r="BX225" s="10">
        <x:f>IF(AO225="","",AO225)</x:f>
      </x:c>
      <x:c r="BY225" s="10">
        <x:f>IF(AL225="","",AL225)</x:f>
      </x:c>
      <x:c r="BZ225" s="10">
        <x:f>IF(AM225="","",AM225)</x:f>
      </x:c>
      <x:c r="CA225" s="10">
        <x:f>IF(AK225&lt;&gt;"",AK225,AW225)</x:f>
      </x:c>
      <x:c r="CB225" s="10">
        <x:f>IF((Weights!$C$13*IF(BP225="",0,1)+Weights!$C$14*IF(BR225="",0,1)+Weights!$C$15*IF(BQ225="",0,1)+Weights!$C$16*IF(BS225="",0,1)+Weights!$C$17*IF(BU225="",0,1)+Weights!$C$18*IF(BT225="",0,1)+Weights!$C$19*IF(BW225="",0,1)+Weights!$C$20*IF(BZ225="",0,1)+Weights!$C$21*IF(BO225="",0,1)+Weights!$C$22)=0,"",(Weights!$C$13*IF(BP225="",0,BP225)+Weights!$C$14*IF(BR225="",0,BR225)+Weights!$C$15*IF(BQ225="",0,BQ225)+Weights!$C$16*IF(BS225="",0,BS225)+Weights!$C$17*IF(BU225="",0,BU225)+Weights!$C$18*IF(BT225="",0,BT225)+Weights!$C$19*IF(BW225="",0,BW225)+Weights!$C$20*IF(BZ225="",0,BZ225)+Weights!$C$21*IF(BO225="",0,BO225)+Weights!$C$22*BV225)/(Weights!$C$13*IF(BP225="",0,1)+Weights!$C$14*IF(BR225="",0,1)+Weights!$C$15*IF(BQ225="",0,1)+Weights!$C$16*IF(BS225="",0,1)+Weights!$C$17*IF(BU225="",0,1)+Weights!$C$18*IF(BT225="",0,1)+Weights!$C$19*IF(BW225="",0,1)+Weights!$C$20*IF(BZ225="",0,1)+Weights!$C$21*IF(BO225="",0,1)+Weights!$C$22))</x:f>
      </x:c>
      <x:c r="CC225" s="10">
        <x:f>IF((Weights!$C$23*IF(BQ225="",0,1)+Weights!$C$24*IF(BN225="",0,1)+Weights!$C$25*IF(BS225="",0,1)+Weights!$C$26*IF(BY225="",0,1)+Weights!$C$27*IF(BX225="",0,1)+Weights!$C$28*IF(BT225="",0,1)+Weights!$C$29*IF(CA225="",0,1)+Weights!$C$30+Weights!$C$31*IF(BU225="",0,1))=0,"",(Weights!$C$23*IF(BQ225="",0,BQ225)+Weights!$C$24*IF(BN225="",0,BN225)+Weights!$C$25*IF(BS225="",0,BS225)+Weights!$C$26*IF(BY225="",0,BY225)+Weights!$C$27*IF(BX225="",0,BX225)+Weights!$C$28*IF(BT225="",0,BT225)+Weights!$C$29*IF(CA225="",0,CA225)+Weights!$C$30*BV225+Weights!$C$31*IF(BU225="",0,BU225))/(Weights!$C$23*IF(BQ225="",0,1)+Weights!$C$24*IF(BN225="",0,1)+Weights!$C$25*IF(BS225="",0,1)+Weights!$C$26*IF(BY225="",0,1)+Weights!$C$27*IF(BX225="",0,1)+Weights!$C$28*IF(BT225="",0,1)+Weights!$C$29*IF(CA225="",0,1)+Weights!$C$30+Weights!$C$31*IF(BU225="",0,1)))</x:f>
      </x:c>
      <x:c r="CD225" s="10">
        <x:f>IF(AND(CB225="",CC225=""),"",IF(CB225="",CC225,IF(CC225="",CB225,AVERAGE(CB225,CC225))))</x:f>
      </x:c>
      <x:c r="CE225" s="7">
        <x:f>ROUND(100*((IF(BP225&lt;&gt;"",1,0)+IF(BQ225&lt;&gt;"",1,0)+IF(BR225&lt;&gt;"",1,0)+IF(BS225&lt;&gt;"",1,0)+IF(BU225&lt;&gt;"",1,0)+IF(BT225&lt;&gt;"",1,0)+IF(BN225&lt;&gt;"",1,0)+IF(AW225&lt;&gt;"",1,0))/8),0)</x:f>
      </x:c>
      <x:c r="CF225">
        <x:f>IF(V225="","",LOG10(V225+1))</x:f>
      </x:c>
      <x:c r="CG225">
        <x:f>IF(CF225="","",IF(MAX($CF$2:$CF$252)-MIN($CF$2:$CF$252)=0,"",(CF225-MIN($CF$2:$CF$252))/(MAX($CF$2:$CF$252)-MIN($CF$2:$CF$252))*100))</x:f>
      </x:c>
    </x:row>
    <x:row r="226">
      <x:c r="A226" t="inlineStr">
        <x:is>
          <x:t xml:space="preserve">SJM</x:t>
        </x:is>
      </x:c>
      <x:c r="B226" t="inlineStr">
        <x:is>
          <x:t xml:space="preserve">Svalbard and Jan Mayen</x:t>
        </x:is>
      </x:c>
      <x:c r="N226" s="8" t="n"/>
      <x:c r="O226" s="9" t="n"/>
      <x:c r="P226" s="8" t="n"/>
      <x:c r="R226" s="8" t="n"/>
      <x:c r="AB226" s="8" t="n"/>
      <x:c r="AR226">
        <x:f>IF(G226="","",LOG10(G226+1))</x:f>
      </x:c>
      <x:c r="AS226" s="10">
        <x:f>IF(AR226="","",IF(MAX($AR$2:$AR$252)-MIN($AR$2:$AR$252)=0,"",(AR226-MIN($AR$2:$AR$252))/(MAX($AR$2:$AR$252)-MIN($AR$2:$AR$252))*100))</x:f>
      </x:c>
      <x:c r="AT226">
        <x:f>IF(R226="","",LOG10(R226+1))</x:f>
      </x:c>
      <x:c r="AU226" s="10">
        <x:f>IF(AT226="","",IF(MAX($AT$2:$AT$252)-MIN($AT$2:$AT$252)=0,"",(AT226-MIN($AT$2:$AT$252))/(MAX($AT$2:$AT$252)-MIN($AT$2:$AT$252))*100))</x:f>
      </x:c>
      <x:c r="AV226">
        <x:f>IF(N226="","",LOG10(N226+1))</x:f>
      </x:c>
      <x:c r="AW226" s="10">
        <x:f>IF(AV226="","",IF(MAX($AV$2:$AV$252)-MIN($AV$2:$AV$252)=0,"",(AV226-MIN($AV$2:$AV$252))/(MAX($AV$2:$AV$252)-MIN($AV$2:$AV$252))*100))</x:f>
      </x:c>
      <x:c r="AX226">
        <x:f>IF(I226="","",LOG10(I226+1))</x:f>
      </x:c>
      <x:c r="AY226" s="10">
        <x:f>IF(AX226="","",IF(MAX($AX$2:$AX$252)-MIN($AX$2:$AX$252)=0,"",(AX226-MIN($AX$2:$AX$252))/(MAX($AX$2:$AX$252)-MIN($AX$2:$AX$252))*100))</x:f>
      </x:c>
      <x:c r="AZ226">
        <x:f>IF(J226="","",LOG10(J226+1))</x:f>
      </x:c>
      <x:c r="BA226" s="10">
        <x:f>IF(AZ226="","",IF(MAX($AZ$2:$AZ$252)-MIN($AZ$2:$AZ$252)=0,"",(AZ226-MIN($AZ$2:$AZ$252))/(MAX($AZ$2:$AZ$252)-MIN($AZ$2:$AZ$252))*100))</x:f>
      </x:c>
      <x:c r="BB226">
        <x:f>IF(K226="","",LOG10(K226+1))</x:f>
      </x:c>
      <x:c r="BC226" s="10">
        <x:f>IF(BB226="","",IF(MAX($BB$2:$BB$252)-MIN($BB$2:$BB$252)=0,"",(BB226-MIN($BB$2:$BB$252))/(MAX($BB$2:$BB$252)-MIN($BB$2:$BB$252))*100))</x:f>
      </x:c>
      <x:c r="BD226">
        <x:f>IF(L226="","",LOG10(L226+1))</x:f>
      </x:c>
      <x:c r="BE226" s="10">
        <x:f>IF(BD226="","",IF(MAX($BD$2:$BD$252)-MIN($BD$2:$BD$252)=0,"",(BD226-MIN($BD$2:$BD$252))/(MAX($BD$2:$BD$252)-MIN($BD$2:$BD$252))*100))</x:f>
      </x:c>
      <x:c r="BF226" s="10">
        <x:f>IF(P226="","",IF(MAX($P$2:$P$252)-MIN($P$2:$P$252)=0,"",(P226-MIN($P$2:$P$252))/(MAX($P$2:$P$252)-MIN($P$2:$P$252))*100))</x:f>
      </x:c>
      <x:c r="BG226">
        <x:f>IF(AF226="","",LOG10(AF226+1))</x:f>
      </x:c>
      <x:c r="BH226" s="10">
        <x:f>IF(BG226="","",IF(MAX($BG$2:$BG$252)-MIN($BG$2:$BG$252)=0,"",(BG226-MIN($BG$2:$BG$252))/(MAX($BG$2:$BG$252)-MIN($BG$2:$BG$252))*100))</x:f>
      </x:c>
      <x:c r="BI226">
        <x:f>IF(AC226="","",LOG10(AC226+1))</x:f>
      </x:c>
      <x:c r="BJ226" s="10">
        <x:f>IF(BI226="","",IF(MAX($BI$2:$BI$252)-MIN($BI$2:$BI$252)=0,"",(BI226-MIN($BI$2:$BI$252))/(MAX($BI$2:$BI$252)-MIN($BI$2:$BI$252))*100))</x:f>
      </x:c>
      <x:c r="BK226">
        <x:f>IF(AD226="","",(AD226*2)+(AE226*1))</x:f>
      </x:c>
      <x:c r="BL226" s="10">
        <x:f>IF(BK226="","",IF(MAX($BK$2:$BK$252)-MIN($BK$2:$BK$252)=0,"",(BK226-MIN($BK$2:$BK$252))/(MAX($BK$2:$BK$252)-MIN($BK$2:$BK$252))*100))</x:f>
      </x:c>
      <x:c r="BM226" s="10">
        <x:f>IF(AB226="","",IF(MAX($AB$2:$AB$252)-MIN($AB$2:$AB$252)=0,"",(AB226-MIN($AB$2:$AB$252))/(MAX($AB$2:$AB$252)-MIN($AB$2:$AB$252))*100))</x:f>
      </x:c>
      <x:c r="BN226" s="10">
        <x:f>IF(X226="","",X226)</x:f>
      </x:c>
      <x:c r="BO226" s="10">
        <x:f>IF(X226="","",100-X226)</x:f>
      </x:c>
      <x:c r="BP226" s="10">
        <x:f>IF((Weights!$C$2*IF(BH226="",0,1)+Weights!$C$3*IF(BJ226="",0,1)+Weights!$C$4*IF(BL226="",0,1))=0,"",(Weights!$C$2*IF(BH226="",0,BH226)+Weights!$C$3*IF(BJ226="",0,BJ226)+Weights!$C$4*IF(BL226="",0,BL226))/(Weights!$C$2*IF(BH226="",0,1)+Weights!$C$3*IF(BJ226="",0,1)+Weights!$C$4*IF(BL226="",0,1)))</x:f>
      </x:c>
      <x:c r="BQ226" s="10">
        <x:f>IF((Weights!$C$5*IF(BA226="",0,1)+Weights!$C$6*IF(AW226="",0,1)+Weights!$C$7*IF(AU226="",0,1))=0,"",(Weights!$C$5*IF(BA226="",0,BA226)+Weights!$C$6*IF(AW226="",0,AW226)+Weights!$C$7*IF(AU226="",0,AU226))/(Weights!$C$5*IF(BA226="",0,1)+Weights!$C$6*IF(AW226="",0,1)+Weights!$C$7*IF(AU226="",0,1)))</x:f>
      </x:c>
      <x:c r="BR226" s="10">
        <x:f>IF((Weights!$C$8*IF(AW226="",0,1)+Weights!$C$9*IF(BC226="",0,1)+Weights!$C$10*IF(BF226="",0,1))=0,"",(Weights!$C$8*IF(AW226="",0,AW226)+Weights!$C$9*IF(BC226="",0,BC226)+Weights!$C$10*IF(BF226="",0,BF226))/(Weights!$C$8*IF(AW226="",0,1)+Weights!$C$9*IF(BC226="",0,1)+Weights!$C$10*IF(BF226="",0,1)))</x:f>
      </x:c>
      <x:c r="BS226" s="10">
        <x:f>IF(Y226="","",Y226)</x:f>
      </x:c>
      <x:c r="BT226" s="10">
        <x:f>IF(AS226="","",AS226)</x:f>
      </x:c>
      <x:c r="BU226" s="10">
        <x:f>IF(AJ226&lt;&gt;"",(0.6*AJ226+0.4*AU226),IF((Weights!$C$11*IF(AU226="",0,1)+Weights!$C$12*IF(BM226="",0,1))=0,"",(Weights!$C$11*IF(AU226="",0,AU226)+Weights!$C$12*IF(BM226="",0,BM226))/(Weights!$C$11*IF(AU226="",0,1)+Weights!$C$12*IF(BM226="",0,1))))</x:f>
      </x:c>
      <x:c r="BV226" s="10">
        <x:f>IF(CG226="",0,CG226)</x:f>
      </x:c>
      <x:c r="BW226" s="10">
        <x:f>IF(AP226="","",AP226)</x:f>
      </x:c>
      <x:c r="BX226" s="10">
        <x:f>IF(AO226="","",AO226)</x:f>
      </x:c>
      <x:c r="BY226" s="10">
        <x:f>IF(AL226="","",AL226)</x:f>
      </x:c>
      <x:c r="BZ226" s="10">
        <x:f>IF(AM226="","",AM226)</x:f>
      </x:c>
      <x:c r="CA226" s="10">
        <x:f>IF(AK226&lt;&gt;"",AK226,AW226)</x:f>
      </x:c>
      <x:c r="CB226" s="10">
        <x:f>IF((Weights!$C$13*IF(BP226="",0,1)+Weights!$C$14*IF(BR226="",0,1)+Weights!$C$15*IF(BQ226="",0,1)+Weights!$C$16*IF(BS226="",0,1)+Weights!$C$17*IF(BU226="",0,1)+Weights!$C$18*IF(BT226="",0,1)+Weights!$C$19*IF(BW226="",0,1)+Weights!$C$20*IF(BZ226="",0,1)+Weights!$C$21*IF(BO226="",0,1)+Weights!$C$22)=0,"",(Weights!$C$13*IF(BP226="",0,BP226)+Weights!$C$14*IF(BR226="",0,BR226)+Weights!$C$15*IF(BQ226="",0,BQ226)+Weights!$C$16*IF(BS226="",0,BS226)+Weights!$C$17*IF(BU226="",0,BU226)+Weights!$C$18*IF(BT226="",0,BT226)+Weights!$C$19*IF(BW226="",0,BW226)+Weights!$C$20*IF(BZ226="",0,BZ226)+Weights!$C$21*IF(BO226="",0,BO226)+Weights!$C$22*BV226)/(Weights!$C$13*IF(BP226="",0,1)+Weights!$C$14*IF(BR226="",0,1)+Weights!$C$15*IF(BQ226="",0,1)+Weights!$C$16*IF(BS226="",0,1)+Weights!$C$17*IF(BU226="",0,1)+Weights!$C$18*IF(BT226="",0,1)+Weights!$C$19*IF(BW226="",0,1)+Weights!$C$20*IF(BZ226="",0,1)+Weights!$C$21*IF(BO226="",0,1)+Weights!$C$22))</x:f>
      </x:c>
      <x:c r="CC226" s="10">
        <x:f>IF((Weights!$C$23*IF(BQ226="",0,1)+Weights!$C$24*IF(BN226="",0,1)+Weights!$C$25*IF(BS226="",0,1)+Weights!$C$26*IF(BY226="",0,1)+Weights!$C$27*IF(BX226="",0,1)+Weights!$C$28*IF(BT226="",0,1)+Weights!$C$29*IF(CA226="",0,1)+Weights!$C$30+Weights!$C$31*IF(BU226="",0,1))=0,"",(Weights!$C$23*IF(BQ226="",0,BQ226)+Weights!$C$24*IF(BN226="",0,BN226)+Weights!$C$25*IF(BS226="",0,BS226)+Weights!$C$26*IF(BY226="",0,BY226)+Weights!$C$27*IF(BX226="",0,BX226)+Weights!$C$28*IF(BT226="",0,BT226)+Weights!$C$29*IF(CA226="",0,CA226)+Weights!$C$30*BV226+Weights!$C$31*IF(BU226="",0,BU226))/(Weights!$C$23*IF(BQ226="",0,1)+Weights!$C$24*IF(BN226="",0,1)+Weights!$C$25*IF(BS226="",0,1)+Weights!$C$26*IF(BY226="",0,1)+Weights!$C$27*IF(BX226="",0,1)+Weights!$C$28*IF(BT226="",0,1)+Weights!$C$29*IF(CA226="",0,1)+Weights!$C$30+Weights!$C$31*IF(BU226="",0,1)))</x:f>
      </x:c>
      <x:c r="CD226" s="10">
        <x:f>IF(AND(CB226="",CC226=""),"",IF(CB226="",CC226,IF(CC226="",CB226,AVERAGE(CB226,CC226))))</x:f>
      </x:c>
      <x:c r="CE226" s="7">
        <x:f>ROUND(100*((IF(BP226&lt;&gt;"",1,0)+IF(BQ226&lt;&gt;"",1,0)+IF(BR226&lt;&gt;"",1,0)+IF(BS226&lt;&gt;"",1,0)+IF(BU226&lt;&gt;"",1,0)+IF(BT226&lt;&gt;"",1,0)+IF(BN226&lt;&gt;"",1,0)+IF(AW226&lt;&gt;"",1,0))/8),0)</x:f>
      </x:c>
      <x:c r="CF226">
        <x:f>IF(V226="","",LOG10(V226+1))</x:f>
      </x:c>
      <x:c r="CG226">
        <x:f>IF(CF226="","",IF(MAX($CF$2:$CF$252)-MIN($CF$2:$CF$252)=0,"",(CF226-MIN($CF$2:$CF$252))/(MAX($CF$2:$CF$252)-MIN($CF$2:$CF$252))*100))</x:f>
      </x:c>
    </x:row>
    <x:row r="227">
      <x:c r="A227" t="inlineStr">
        <x:is>
          <x:t xml:space="preserve">CHE</x:t>
        </x:is>
      </x:c>
      <x:c r="B227" t="inlineStr">
        <x:is>
          <x:t xml:space="preserve">Switzerland</x:t>
        </x:is>
      </x:c>
      <x:c r="C227" t="inlineStr">
        <x:is>
          <x:t xml:space="preserve">Europe &amp; Central Asia</x:t>
        </x:is>
      </x:c>
      <x:c r="D227" t="inlineStr">
        <x:is>
          <x:t xml:space="preserve">High income</x:t>
        </x:is>
      </x:c>
      <x:c r="E227" t="inlineStr">
        <x:is>
          <x:t xml:space="preserve">Europe</x:t>
        </x:is>
      </x:c>
      <x:c r="F227" t="n">
        <x:v>2024</x:v>
      </x:c>
      <x:c r="G227" t="n">
        <x:v>9005582</x:v>
      </x:c>
      <x:c r="H227" t="n">
        <x:v>2020</x:v>
      </x:c>
      <x:c r="I227" t="n">
        <x:v>20000</x:v>
      </x:c>
      <x:c r="J227" t="n">
        <x:v>13000</x:v>
      </x:c>
      <x:c r="K227" t="n">
        <x:v>4000</x:v>
      </x:c>
      <x:c r="L227" t="n">
        <x:v>2400</x:v>
      </x:c>
      <x:c r="M227" t="n">
        <x:v>2024</x:v>
      </x:c>
      <x:c r="N227" s="8" t="n">
        <x:v>6722303543.86997</x:v>
      </x:c>
      <x:c r="O227" s="9" t="n">
        <x:v>0.717812077671144</x:v>
      </x:c>
      <x:c r="P227" s="8" t="n">
        <x:v>336115.1771934985</x:v>
      </x:c>
      <x:c r="Q227" t="n">
        <x:v>2024</x:v>
      </x:c>
      <x:c r="R227" s="8" t="n">
        <x:v>936564198048.516</x:v>
      </x:c>
      <x:c r="S227" t="n">
        <x:v>13</x:v>
      </x:c>
      <x:c r="T227" t="n">
        <x:v>0</x:v>
      </x:c>
      <x:c r="U227" t="inlineStr">
        <x:is>
          <x:t xml:space="preserve">No</x:t>
        </x:is>
      </x:c>
      <x:c r="W227" t="inlineStr">
        <x:is>
          <x:t xml:space="preserve">No</x:t>
        </x:is>
      </x:c>
      <x:c r="X227" t="n">
        <x:v>11.61704450836663</x:v>
      </x:c>
      <x:c r="Y227" t="n">
        <x:v>86.33951450985316</x:v>
      </x:c>
      <x:c r="Z227" t="n">
        <x:v>46185.25067297154</x:v>
      </x:c>
      <x:c r="AA227" t="n">
        <x:v>178.3318890768744</x:v>
      </x:c>
      <x:c r="AB227" s="8" t="n">
        <x:v>60257.61801138205</x:v>
      </x:c>
      <x:c r="AR227">
        <x:f>IF(G227="","",LOG10(G227+1))</x:f>
      </x:c>
      <x:c r="AS227" s="10">
        <x:f>IF(AR227="","",IF(MAX($AR$2:$AR$252)-MIN($AR$2:$AR$252)=0,"",(AR227-MIN($AR$2:$AR$252))/(MAX($AR$2:$AR$252)-MIN($AR$2:$AR$252))*100))</x:f>
      </x:c>
      <x:c r="AT227">
        <x:f>IF(R227="","",LOG10(R227+1))</x:f>
      </x:c>
      <x:c r="AU227" s="10">
        <x:f>IF(AT227="","",IF(MAX($AT$2:$AT$252)-MIN($AT$2:$AT$252)=0,"",(AT227-MIN($AT$2:$AT$252))/(MAX($AT$2:$AT$252)-MIN($AT$2:$AT$252))*100))</x:f>
      </x:c>
      <x:c r="AV227">
        <x:f>IF(N227="","",LOG10(N227+1))</x:f>
      </x:c>
      <x:c r="AW227" s="10">
        <x:f>IF(AV227="","",IF(MAX($AV$2:$AV$252)-MIN($AV$2:$AV$252)=0,"",(AV227-MIN($AV$2:$AV$252))/(MAX($AV$2:$AV$252)-MIN($AV$2:$AV$252))*100))</x:f>
      </x:c>
      <x:c r="AX227">
        <x:f>IF(I227="","",LOG10(I227+1))</x:f>
      </x:c>
      <x:c r="AY227" s="10">
        <x:f>IF(AX227="","",IF(MAX($AX$2:$AX$252)-MIN($AX$2:$AX$252)=0,"",(AX227-MIN($AX$2:$AX$252))/(MAX($AX$2:$AX$252)-MIN($AX$2:$AX$252))*100))</x:f>
      </x:c>
      <x:c r="AZ227">
        <x:f>IF(J227="","",LOG10(J227+1))</x:f>
      </x:c>
      <x:c r="BA227" s="10">
        <x:f>IF(AZ227="","",IF(MAX($AZ$2:$AZ$252)-MIN($AZ$2:$AZ$252)=0,"",(AZ227-MIN($AZ$2:$AZ$252))/(MAX($AZ$2:$AZ$252)-MIN($AZ$2:$AZ$252))*100))</x:f>
      </x:c>
      <x:c r="BB227">
        <x:f>IF(K227="","",LOG10(K227+1))</x:f>
      </x:c>
      <x:c r="BC227" s="10">
        <x:f>IF(BB227="","",IF(MAX($BB$2:$BB$252)-MIN($BB$2:$BB$252)=0,"",(BB227-MIN($BB$2:$BB$252))/(MAX($BB$2:$BB$252)-MIN($BB$2:$BB$252))*100))</x:f>
      </x:c>
      <x:c r="BD227">
        <x:f>IF(L227="","",LOG10(L227+1))</x:f>
      </x:c>
      <x:c r="BE227" s="10">
        <x:f>IF(BD227="","",IF(MAX($BD$2:$BD$252)-MIN($BD$2:$BD$252)=0,"",(BD227-MIN($BD$2:$BD$252))/(MAX($BD$2:$BD$252)-MIN($BD$2:$BD$252))*100))</x:f>
      </x:c>
      <x:c r="BF227" s="10">
        <x:f>IF(P227="","",IF(MAX($P$2:$P$252)-MIN($P$2:$P$252)=0,"",(P227-MIN($P$2:$P$252))/(MAX($P$2:$P$252)-MIN($P$2:$P$252))*100))</x:f>
      </x:c>
      <x:c r="BG227">
        <x:f>IF(AF227="","",LOG10(AF227+1))</x:f>
      </x:c>
      <x:c r="BH227" s="10">
        <x:f>IF(BG227="","",IF(MAX($BG$2:$BG$252)-MIN($BG$2:$BG$252)=0,"",(BG227-MIN($BG$2:$BG$252))/(MAX($BG$2:$BG$252)-MIN($BG$2:$BG$252))*100))</x:f>
      </x:c>
      <x:c r="BI227">
        <x:f>IF(AC227="","",LOG10(AC227+1))</x:f>
      </x:c>
      <x:c r="BJ227" s="10">
        <x:f>IF(BI227="","",IF(MAX($BI$2:$BI$252)-MIN($BI$2:$BI$252)=0,"",(BI227-MIN($BI$2:$BI$252))/(MAX($BI$2:$BI$252)-MIN($BI$2:$BI$252))*100))</x:f>
      </x:c>
      <x:c r="BK227">
        <x:f>IF(AD227="","",(AD227*2)+(AE227*1))</x:f>
      </x:c>
      <x:c r="BL227" s="10">
        <x:f>IF(BK227="","",IF(MAX($BK$2:$BK$252)-MIN($BK$2:$BK$252)=0,"",(BK227-MIN($BK$2:$BK$252))/(MAX($BK$2:$BK$252)-MIN($BK$2:$BK$252))*100))</x:f>
      </x:c>
      <x:c r="BM227" s="10">
        <x:f>IF(AB227="","",IF(MAX($AB$2:$AB$252)-MIN($AB$2:$AB$252)=0,"",(AB227-MIN($AB$2:$AB$252))/(MAX($AB$2:$AB$252)-MIN($AB$2:$AB$252))*100))</x:f>
      </x:c>
      <x:c r="BN227" s="10">
        <x:f>IF(X227="","",X227)</x:f>
      </x:c>
      <x:c r="BO227" s="10">
        <x:f>IF(X227="","",100-X227)</x:f>
      </x:c>
      <x:c r="BP227" s="10">
        <x:f>IF((Weights!$C$2*IF(BH227="",0,1)+Weights!$C$3*IF(BJ227="",0,1)+Weights!$C$4*IF(BL227="",0,1))=0,"",(Weights!$C$2*IF(BH227="",0,BH227)+Weights!$C$3*IF(BJ227="",0,BJ227)+Weights!$C$4*IF(BL227="",0,BL227))/(Weights!$C$2*IF(BH227="",0,1)+Weights!$C$3*IF(BJ227="",0,1)+Weights!$C$4*IF(BL227="",0,1)))</x:f>
      </x:c>
      <x:c r="BQ227" s="10">
        <x:f>IF((Weights!$C$5*IF(BA227="",0,1)+Weights!$C$6*IF(AW227="",0,1)+Weights!$C$7*IF(AU227="",0,1))=0,"",(Weights!$C$5*IF(BA227="",0,BA227)+Weights!$C$6*IF(AW227="",0,AW227)+Weights!$C$7*IF(AU227="",0,AU227))/(Weights!$C$5*IF(BA227="",0,1)+Weights!$C$6*IF(AW227="",0,1)+Weights!$C$7*IF(AU227="",0,1)))</x:f>
      </x:c>
      <x:c r="BR227" s="10">
        <x:f>IF((Weights!$C$8*IF(AW227="",0,1)+Weights!$C$9*IF(BC227="",0,1)+Weights!$C$10*IF(BF227="",0,1))=0,"",(Weights!$C$8*IF(AW227="",0,AW227)+Weights!$C$9*IF(BC227="",0,BC227)+Weights!$C$10*IF(BF227="",0,BF227))/(Weights!$C$8*IF(AW227="",0,1)+Weights!$C$9*IF(BC227="",0,1)+Weights!$C$10*IF(BF227="",0,1)))</x:f>
      </x:c>
      <x:c r="BS227" s="10">
        <x:f>IF(Y227="","",Y227)</x:f>
      </x:c>
      <x:c r="BT227" s="10">
        <x:f>IF(AS227="","",AS227)</x:f>
      </x:c>
      <x:c r="BU227" s="10">
        <x:f>IF(AJ227&lt;&gt;"",(0.6*AJ227+0.4*AU227),IF((Weights!$C$11*IF(AU227="",0,1)+Weights!$C$12*IF(BM227="",0,1))=0,"",(Weights!$C$11*IF(AU227="",0,AU227)+Weights!$C$12*IF(BM227="",0,BM227))/(Weights!$C$11*IF(AU227="",0,1)+Weights!$C$12*IF(BM227="",0,1))))</x:f>
      </x:c>
      <x:c r="BV227" s="10">
        <x:f>IF(CG227="",0,CG227)</x:f>
      </x:c>
      <x:c r="BW227" s="10">
        <x:f>IF(AP227="","",AP227)</x:f>
      </x:c>
      <x:c r="BX227" s="10">
        <x:f>IF(AO227="","",AO227)</x:f>
      </x:c>
      <x:c r="BY227" s="10">
        <x:f>IF(AL227="","",AL227)</x:f>
      </x:c>
      <x:c r="BZ227" s="10">
        <x:f>IF(AM227="","",AM227)</x:f>
      </x:c>
      <x:c r="CA227" s="10">
        <x:f>IF(AK227&lt;&gt;"",AK227,AW227)</x:f>
      </x:c>
      <x:c r="CB227" s="10">
        <x:f>IF((Weights!$C$13*IF(BP227="",0,1)+Weights!$C$14*IF(BR227="",0,1)+Weights!$C$15*IF(BQ227="",0,1)+Weights!$C$16*IF(BS227="",0,1)+Weights!$C$17*IF(BU227="",0,1)+Weights!$C$18*IF(BT227="",0,1)+Weights!$C$19*IF(BW227="",0,1)+Weights!$C$20*IF(BZ227="",0,1)+Weights!$C$21*IF(BO227="",0,1)+Weights!$C$22)=0,"",(Weights!$C$13*IF(BP227="",0,BP227)+Weights!$C$14*IF(BR227="",0,BR227)+Weights!$C$15*IF(BQ227="",0,BQ227)+Weights!$C$16*IF(BS227="",0,BS227)+Weights!$C$17*IF(BU227="",0,BU227)+Weights!$C$18*IF(BT227="",0,BT227)+Weights!$C$19*IF(BW227="",0,BW227)+Weights!$C$20*IF(BZ227="",0,BZ227)+Weights!$C$21*IF(BO227="",0,BO227)+Weights!$C$22*BV227)/(Weights!$C$13*IF(BP227="",0,1)+Weights!$C$14*IF(BR227="",0,1)+Weights!$C$15*IF(BQ227="",0,1)+Weights!$C$16*IF(BS227="",0,1)+Weights!$C$17*IF(BU227="",0,1)+Weights!$C$18*IF(BT227="",0,1)+Weights!$C$19*IF(BW227="",0,1)+Weights!$C$20*IF(BZ227="",0,1)+Weights!$C$21*IF(BO227="",0,1)+Weights!$C$22))</x:f>
      </x:c>
      <x:c r="CC227" s="10">
        <x:f>IF((Weights!$C$23*IF(BQ227="",0,1)+Weights!$C$24*IF(BN227="",0,1)+Weights!$C$25*IF(BS227="",0,1)+Weights!$C$26*IF(BY227="",0,1)+Weights!$C$27*IF(BX227="",0,1)+Weights!$C$28*IF(BT227="",0,1)+Weights!$C$29*IF(CA227="",0,1)+Weights!$C$30+Weights!$C$31*IF(BU227="",0,1))=0,"",(Weights!$C$23*IF(BQ227="",0,BQ227)+Weights!$C$24*IF(BN227="",0,BN227)+Weights!$C$25*IF(BS227="",0,BS227)+Weights!$C$26*IF(BY227="",0,BY227)+Weights!$C$27*IF(BX227="",0,BX227)+Weights!$C$28*IF(BT227="",0,BT227)+Weights!$C$29*IF(CA227="",0,CA227)+Weights!$C$30*BV227+Weights!$C$31*IF(BU227="",0,BU227))/(Weights!$C$23*IF(BQ227="",0,1)+Weights!$C$24*IF(BN227="",0,1)+Weights!$C$25*IF(BS227="",0,1)+Weights!$C$26*IF(BY227="",0,1)+Weights!$C$27*IF(BX227="",0,1)+Weights!$C$28*IF(BT227="",0,1)+Weights!$C$29*IF(CA227="",0,1)+Weights!$C$30+Weights!$C$31*IF(BU227="",0,1)))</x:f>
      </x:c>
      <x:c r="CD227" s="10">
        <x:f>IF(AND(CB227="",CC227=""),"",IF(CB227="",CC227,IF(CC227="",CB227,AVERAGE(CB227,CC227))))</x:f>
      </x:c>
      <x:c r="CE227" s="7">
        <x:f>ROUND(100*((IF(BP227&lt;&gt;"",1,0)+IF(BQ227&lt;&gt;"",1,0)+IF(BR227&lt;&gt;"",1,0)+IF(BS227&lt;&gt;"",1,0)+IF(BU227&lt;&gt;"",1,0)+IF(BT227&lt;&gt;"",1,0)+IF(BN227&lt;&gt;"",1,0)+IF(AW227&lt;&gt;"",1,0))/8),0)</x:f>
      </x:c>
      <x:c r="CF227">
        <x:f>IF(V227="","",LOG10(V227+1))</x:f>
      </x:c>
      <x:c r="CG227">
        <x:f>IF(CF227="","",IF(MAX($CF$2:$CF$252)-MIN($CF$2:$CF$252)=0,"",(CF227-MIN($CF$2:$CF$252))/(MAX($CF$2:$CF$252)-MIN($CF$2:$CF$252))*100))</x:f>
      </x:c>
    </x:row>
    <x:row r="228">
      <x:c r="A228" t="inlineStr">
        <x:is>
          <x:t xml:space="preserve">SYR</x:t>
        </x:is>
      </x:c>
      <x:c r="B228" t="inlineStr">
        <x:is>
          <x:t xml:space="preserve">Syrian Arab Republic</x:t>
        </x:is>
      </x:c>
      <x:c r="C228" t="inlineStr">
        <x:is>
          <x:t xml:space="preserve">Middle East &amp; North Africa</x:t>
        </x:is>
      </x:c>
      <x:c r="D228" t="inlineStr">
        <x:is>
          <x:t xml:space="preserve">Low income</x:t>
        </x:is>
      </x:c>
      <x:c r="E228" t="inlineStr">
        <x:is>
          <x:t xml:space="preserve">Asia</x:t>
        </x:is>
      </x:c>
      <x:c r="F228" t="n">
        <x:v>2024</x:v>
      </x:c>
      <x:c r="G228" t="n">
        <x:v>24672760</x:v>
      </x:c>
      <x:c r="H228" t="n">
        <x:v>2020</x:v>
      </x:c>
      <x:c r="I228" t="n">
        <x:v>269000</x:v>
      </x:c>
      <x:c r="J228" t="n">
        <x:v>174850</x:v>
      </x:c>
      <x:c r="K228" t="n">
        <x:v>53800</x:v>
      </x:c>
      <x:c r="L228" t="n">
        <x:v>32280</x:v>
      </x:c>
      <x:c r="M228" t="n">
        <x:v>2011</x:v>
      </x:c>
      <x:c r="N228" s="8" t="n">
        <x:v>2494887483.1484</x:v>
      </x:c>
      <x:c r="O228" s="9" t="n">
        <x:v>4.05614173609585</x:v>
      </x:c>
      <x:c r="P228" s="8" t="n">
        <x:v>9274.674658544238</x:v>
      </x:c>
      <x:c r="Q228" t="n">
        <x:v>2022</x:v>
      </x:c>
      <x:c r="R228" s="8" t="n">
        <x:v>23622827079.5047</x:v>
      </x:c>
      <x:c r="S228" t="n">
        <x:v>0</x:v>
      </x:c>
      <x:c r="T228" t="n">
        <x:v>0</x:v>
      </x:c>
      <x:c r="U228" t="inlineStr">
        <x:is>
          <x:t xml:space="preserve">No</x:t>
        </x:is>
      </x:c>
      <x:c r="W228" t="inlineStr">
        <x:is>
          <x:t xml:space="preserve">No</x:t>
        </x:is>
      </x:c>
      <x:c r="X228" t="n">
        <x:v>10.83978254096896</x:v>
      </x:c>
      <x:c r="Y228" t="n">
        <x:v>37.57626004378672</x:v>
      </x:c>
      <x:c r="Z228" t="n">
        <x:v>185004.1254945952</x:v>
      </x:c>
      <x:c r="AA228" t="n">
        <x:v>97.44944309648218</x:v>
      </x:c>
      <x:c r="AB228" s="8" t="n">
        <x:v>2788.909967185934</x:v>
      </x:c>
      <x:c r="AC228" t="n">
        <x:v>47</x:v>
      </x:c>
      <x:c r="AD228" t="n">
        <x:v>0</x:v>
      </x:c>
      <x:c r="AE228" t="n">
        <x:v>0</x:v>
      </x:c>
      <x:c r="AR228">
        <x:f>IF(G228="","",LOG10(G228+1))</x:f>
      </x:c>
      <x:c r="AS228" s="10">
        <x:f>IF(AR228="","",IF(MAX($AR$2:$AR$252)-MIN($AR$2:$AR$252)=0,"",(AR228-MIN($AR$2:$AR$252))/(MAX($AR$2:$AR$252)-MIN($AR$2:$AR$252))*100))</x:f>
      </x:c>
      <x:c r="AT228">
        <x:f>IF(R228="","",LOG10(R228+1))</x:f>
      </x:c>
      <x:c r="AU228" s="10">
        <x:f>IF(AT228="","",IF(MAX($AT$2:$AT$252)-MIN($AT$2:$AT$252)=0,"",(AT228-MIN($AT$2:$AT$252))/(MAX($AT$2:$AT$252)-MIN($AT$2:$AT$252))*100))</x:f>
      </x:c>
      <x:c r="AV228">
        <x:f>IF(N228="","",LOG10(N228+1))</x:f>
      </x:c>
      <x:c r="AW228" s="10">
        <x:f>IF(AV228="","",IF(MAX($AV$2:$AV$252)-MIN($AV$2:$AV$252)=0,"",(AV228-MIN($AV$2:$AV$252))/(MAX($AV$2:$AV$252)-MIN($AV$2:$AV$252))*100))</x:f>
      </x:c>
      <x:c r="AX228">
        <x:f>IF(I228="","",LOG10(I228+1))</x:f>
      </x:c>
      <x:c r="AY228" s="10">
        <x:f>IF(AX228="","",IF(MAX($AX$2:$AX$252)-MIN($AX$2:$AX$252)=0,"",(AX228-MIN($AX$2:$AX$252))/(MAX($AX$2:$AX$252)-MIN($AX$2:$AX$252))*100))</x:f>
      </x:c>
      <x:c r="AZ228">
        <x:f>IF(J228="","",LOG10(J228+1))</x:f>
      </x:c>
      <x:c r="BA228" s="10">
        <x:f>IF(AZ228="","",IF(MAX($AZ$2:$AZ$252)-MIN($AZ$2:$AZ$252)=0,"",(AZ228-MIN($AZ$2:$AZ$252))/(MAX($AZ$2:$AZ$252)-MIN($AZ$2:$AZ$252))*100))</x:f>
      </x:c>
      <x:c r="BB228">
        <x:f>IF(K228="","",LOG10(K228+1))</x:f>
      </x:c>
      <x:c r="BC228" s="10">
        <x:f>IF(BB228="","",IF(MAX($BB$2:$BB$252)-MIN($BB$2:$BB$252)=0,"",(BB228-MIN($BB$2:$BB$252))/(MAX($BB$2:$BB$252)-MIN($BB$2:$BB$252))*100))</x:f>
      </x:c>
      <x:c r="BD228">
        <x:f>IF(L228="","",LOG10(L228+1))</x:f>
      </x:c>
      <x:c r="BE228" s="10">
        <x:f>IF(BD228="","",IF(MAX($BD$2:$BD$252)-MIN($BD$2:$BD$252)=0,"",(BD228-MIN($BD$2:$BD$252))/(MAX($BD$2:$BD$252)-MIN($BD$2:$BD$252))*100))</x:f>
      </x:c>
      <x:c r="BF228" s="10">
        <x:f>IF(P228="","",IF(MAX($P$2:$P$252)-MIN($P$2:$P$252)=0,"",(P228-MIN($P$2:$P$252))/(MAX($P$2:$P$252)-MIN($P$2:$P$252))*100))</x:f>
      </x:c>
      <x:c r="BG228">
        <x:f>IF(AF228="","",LOG10(AF228+1))</x:f>
      </x:c>
      <x:c r="BH228" s="10">
        <x:f>IF(BG228="","",IF(MAX($BG$2:$BG$252)-MIN($BG$2:$BG$252)=0,"",(BG228-MIN($BG$2:$BG$252))/(MAX($BG$2:$BG$252)-MIN($BG$2:$BG$252))*100))</x:f>
      </x:c>
      <x:c r="BI228">
        <x:f>IF(AC228="","",LOG10(AC228+1))</x:f>
      </x:c>
      <x:c r="BJ228" s="10">
        <x:f>IF(BI228="","",IF(MAX($BI$2:$BI$252)-MIN($BI$2:$BI$252)=0,"",(BI228-MIN($BI$2:$BI$252))/(MAX($BI$2:$BI$252)-MIN($BI$2:$BI$252))*100))</x:f>
      </x:c>
      <x:c r="BK228">
        <x:f>IF(AD228="","",(AD228*2)+(AE228*1))</x:f>
      </x:c>
      <x:c r="BL228" s="10">
        <x:f>IF(BK228="","",IF(MAX($BK$2:$BK$252)-MIN($BK$2:$BK$252)=0,"",(BK228-MIN($BK$2:$BK$252))/(MAX($BK$2:$BK$252)-MIN($BK$2:$BK$252))*100))</x:f>
      </x:c>
      <x:c r="BM228" s="10">
        <x:f>IF(AB228="","",IF(MAX($AB$2:$AB$252)-MIN($AB$2:$AB$252)=0,"",(AB228-MIN($AB$2:$AB$252))/(MAX($AB$2:$AB$252)-MIN($AB$2:$AB$252))*100))</x:f>
      </x:c>
      <x:c r="BN228" s="10">
        <x:f>IF(X228="","",X228)</x:f>
      </x:c>
      <x:c r="BO228" s="10">
        <x:f>IF(X228="","",100-X228)</x:f>
      </x:c>
      <x:c r="BP228" s="10">
        <x:f>IF((Weights!$C$2*IF(BH228="",0,1)+Weights!$C$3*IF(BJ228="",0,1)+Weights!$C$4*IF(BL228="",0,1))=0,"",(Weights!$C$2*IF(BH228="",0,BH228)+Weights!$C$3*IF(BJ228="",0,BJ228)+Weights!$C$4*IF(BL228="",0,BL228))/(Weights!$C$2*IF(BH228="",0,1)+Weights!$C$3*IF(BJ228="",0,1)+Weights!$C$4*IF(BL228="",0,1)))</x:f>
      </x:c>
      <x:c r="BQ228" s="10">
        <x:f>IF((Weights!$C$5*IF(BA228="",0,1)+Weights!$C$6*IF(AW228="",0,1)+Weights!$C$7*IF(AU228="",0,1))=0,"",(Weights!$C$5*IF(BA228="",0,BA228)+Weights!$C$6*IF(AW228="",0,AW228)+Weights!$C$7*IF(AU228="",0,AU228))/(Weights!$C$5*IF(BA228="",0,1)+Weights!$C$6*IF(AW228="",0,1)+Weights!$C$7*IF(AU228="",0,1)))</x:f>
      </x:c>
      <x:c r="BR228" s="10">
        <x:f>IF((Weights!$C$8*IF(AW228="",0,1)+Weights!$C$9*IF(BC228="",0,1)+Weights!$C$10*IF(BF228="",0,1))=0,"",(Weights!$C$8*IF(AW228="",0,AW228)+Weights!$C$9*IF(BC228="",0,BC228)+Weights!$C$10*IF(BF228="",0,BF228))/(Weights!$C$8*IF(AW228="",0,1)+Weights!$C$9*IF(BC228="",0,1)+Weights!$C$10*IF(BF228="",0,1)))</x:f>
      </x:c>
      <x:c r="BS228" s="10">
        <x:f>IF(Y228="","",Y228)</x:f>
      </x:c>
      <x:c r="BT228" s="10">
        <x:f>IF(AS228="","",AS228)</x:f>
      </x:c>
      <x:c r="BU228" s="10">
        <x:f>IF(AJ228&lt;&gt;"",(0.6*AJ228+0.4*AU228),IF((Weights!$C$11*IF(AU228="",0,1)+Weights!$C$12*IF(BM228="",0,1))=0,"",(Weights!$C$11*IF(AU228="",0,AU228)+Weights!$C$12*IF(BM228="",0,BM228))/(Weights!$C$11*IF(AU228="",0,1)+Weights!$C$12*IF(BM228="",0,1))))</x:f>
      </x:c>
      <x:c r="BV228" s="10">
        <x:f>IF(CG228="",0,CG228)</x:f>
      </x:c>
      <x:c r="BW228" s="10">
        <x:f>IF(AP228="","",AP228)</x:f>
      </x:c>
      <x:c r="BX228" s="10">
        <x:f>IF(AO228="","",AO228)</x:f>
      </x:c>
      <x:c r="BY228" s="10">
        <x:f>IF(AL228="","",AL228)</x:f>
      </x:c>
      <x:c r="BZ228" s="10">
        <x:f>IF(AM228="","",AM228)</x:f>
      </x:c>
      <x:c r="CA228" s="10">
        <x:f>IF(AK228&lt;&gt;"",AK228,AW228)</x:f>
      </x:c>
      <x:c r="CB228" s="10">
        <x:f>IF((Weights!$C$13*IF(BP228="",0,1)+Weights!$C$14*IF(BR228="",0,1)+Weights!$C$15*IF(BQ228="",0,1)+Weights!$C$16*IF(BS228="",0,1)+Weights!$C$17*IF(BU228="",0,1)+Weights!$C$18*IF(BT228="",0,1)+Weights!$C$19*IF(BW228="",0,1)+Weights!$C$20*IF(BZ228="",0,1)+Weights!$C$21*IF(BO228="",0,1)+Weights!$C$22)=0,"",(Weights!$C$13*IF(BP228="",0,BP228)+Weights!$C$14*IF(BR228="",0,BR228)+Weights!$C$15*IF(BQ228="",0,BQ228)+Weights!$C$16*IF(BS228="",0,BS228)+Weights!$C$17*IF(BU228="",0,BU228)+Weights!$C$18*IF(BT228="",0,BT228)+Weights!$C$19*IF(BW228="",0,BW228)+Weights!$C$20*IF(BZ228="",0,BZ228)+Weights!$C$21*IF(BO228="",0,BO228)+Weights!$C$22*BV228)/(Weights!$C$13*IF(BP228="",0,1)+Weights!$C$14*IF(BR228="",0,1)+Weights!$C$15*IF(BQ228="",0,1)+Weights!$C$16*IF(BS228="",0,1)+Weights!$C$17*IF(BU228="",0,1)+Weights!$C$18*IF(BT228="",0,1)+Weights!$C$19*IF(BW228="",0,1)+Weights!$C$20*IF(BZ228="",0,1)+Weights!$C$21*IF(BO228="",0,1)+Weights!$C$22))</x:f>
      </x:c>
      <x:c r="CC228" s="10">
        <x:f>IF((Weights!$C$23*IF(BQ228="",0,1)+Weights!$C$24*IF(BN228="",0,1)+Weights!$C$25*IF(BS228="",0,1)+Weights!$C$26*IF(BY228="",0,1)+Weights!$C$27*IF(BX228="",0,1)+Weights!$C$28*IF(BT228="",0,1)+Weights!$C$29*IF(CA228="",0,1)+Weights!$C$30+Weights!$C$31*IF(BU228="",0,1))=0,"",(Weights!$C$23*IF(BQ228="",0,BQ228)+Weights!$C$24*IF(BN228="",0,BN228)+Weights!$C$25*IF(BS228="",0,BS228)+Weights!$C$26*IF(BY228="",0,BY228)+Weights!$C$27*IF(BX228="",0,BX228)+Weights!$C$28*IF(BT228="",0,BT228)+Weights!$C$29*IF(CA228="",0,CA228)+Weights!$C$30*BV228+Weights!$C$31*IF(BU228="",0,BU228))/(Weights!$C$23*IF(BQ228="",0,1)+Weights!$C$24*IF(BN228="",0,1)+Weights!$C$25*IF(BS228="",0,1)+Weights!$C$26*IF(BY228="",0,1)+Weights!$C$27*IF(BX228="",0,1)+Weights!$C$28*IF(BT228="",0,1)+Weights!$C$29*IF(CA228="",0,1)+Weights!$C$30+Weights!$C$31*IF(BU228="",0,1)))</x:f>
      </x:c>
      <x:c r="CD228" s="10">
        <x:f>IF(AND(CB228="",CC228=""),"",IF(CB228="",CC228,IF(CC228="",CB228,AVERAGE(CB228,CC228))))</x:f>
      </x:c>
      <x:c r="CE228" s="7">
        <x:f>ROUND(100*((IF(BP228&lt;&gt;"",1,0)+IF(BQ228&lt;&gt;"",1,0)+IF(BR228&lt;&gt;"",1,0)+IF(BS228&lt;&gt;"",1,0)+IF(BU228&lt;&gt;"",1,0)+IF(BT228&lt;&gt;"",1,0)+IF(BN228&lt;&gt;"",1,0)+IF(AW228&lt;&gt;"",1,0))/8),0)</x:f>
      </x:c>
      <x:c r="CF228">
        <x:f>IF(V228="","",LOG10(V228+1))</x:f>
      </x:c>
      <x:c r="CG228">
        <x:f>IF(CF228="","",IF(MAX($CF$2:$CF$252)-MIN($CF$2:$CF$252)=0,"",(CF228-MIN($CF$2:$CF$252))/(MAX($CF$2:$CF$252)-MIN($CF$2:$CF$252))*100))</x:f>
      </x:c>
    </x:row>
    <x:row r="229">
      <x:c r="A229" t="inlineStr">
        <x:is>
          <x:t xml:space="preserve">TWN</x:t>
        </x:is>
      </x:c>
      <x:c r="B229" t="inlineStr">
        <x:is>
          <x:t xml:space="preserve">Taiwan</x:t>
        </x:is>
      </x:c>
      <x:c r="E229" t="inlineStr">
        <x:is>
          <x:t xml:space="preserve">Asia</x:t>
        </x:is>
      </x:c>
      <x:c r="N229" s="8" t="n"/>
      <x:c r="O229" s="9" t="n"/>
      <x:c r="P229" s="8" t="n"/>
      <x:c r="R229" s="8" t="n"/>
      <x:c r="X229" t="n">
        <x:v>9.819072320103661</x:v>
      </x:c>
      <x:c r="Y229" t="n">
        <x:v>91.40593504418845</x:v>
      </x:c>
      <x:c r="Z229" t="n">
        <x:v>34345.70111384429</x:v>
      </x:c>
      <x:c r="AA229" t="n">
        <x:v>684.4649326586048</x:v>
      </x:c>
      <x:c r="AB229" s="8" t="n">
        <x:v>47940.25359756084</x:v>
      </x:c>
      <x:c r="AC229" t="n">
        <x:v>93</x:v>
      </x:c>
      <x:c r="AD229" t="n">
        <x:v>0</x:v>
      </x:c>
      <x:c r="AE229" t="n">
        <x:v>0</x:v>
      </x:c>
      <x:c r="AF229" t="n">
        <x:v>74.59999999999999</x:v>
      </x:c>
      <x:c r="AG229" t="n">
        <x:v>94</x:v>
      </x:c>
      <x:c r="AH229" t="n">
        <x:v>12</x:v>
      </x:c>
      <x:c r="AI229" t="n">
        <x:v>15.7</x:v>
      </x:c>
      <x:c r="AJ229" t="n">
        <x:v>13.2</x:v>
      </x:c>
      <x:c r="AK229" t="n">
        <x:v>20.8</x:v>
      </x:c>
      <x:c r="AL229" t="n">
        <x:v>27.4</x:v>
      </x:c>
      <x:c r="AM229" t="n">
        <x:v>7.4</x:v>
      </x:c>
      <x:c r="AN229" t="n">
        <x:v>16.7</x:v>
      </x:c>
      <x:c r="AO229" t="n">
        <x:v>9.9</x:v>
      </x:c>
      <x:c r="AP229" t="n">
        <x:v>16.6</x:v>
      </x:c>
      <x:c r="AQ229" t="n">
        <x:v>11.6</x:v>
      </x:c>
      <x:c r="AR229">
        <x:f>IF(G229="","",LOG10(G229+1))</x:f>
      </x:c>
      <x:c r="AS229" s="10">
        <x:f>IF(AR229="","",IF(MAX($AR$2:$AR$252)-MIN($AR$2:$AR$252)=0,"",(AR229-MIN($AR$2:$AR$252))/(MAX($AR$2:$AR$252)-MIN($AR$2:$AR$252))*100))</x:f>
      </x:c>
      <x:c r="AT229">
        <x:f>IF(R229="","",LOG10(R229+1))</x:f>
      </x:c>
      <x:c r="AU229" s="10">
        <x:f>IF(AT229="","",IF(MAX($AT$2:$AT$252)-MIN($AT$2:$AT$252)=0,"",(AT229-MIN($AT$2:$AT$252))/(MAX($AT$2:$AT$252)-MIN($AT$2:$AT$252))*100))</x:f>
      </x:c>
      <x:c r="AV229">
        <x:f>IF(N229="","",LOG10(N229+1))</x:f>
      </x:c>
      <x:c r="AW229" s="10">
        <x:f>IF(AV229="","",IF(MAX($AV$2:$AV$252)-MIN($AV$2:$AV$252)=0,"",(AV229-MIN($AV$2:$AV$252))/(MAX($AV$2:$AV$252)-MIN($AV$2:$AV$252))*100))</x:f>
      </x:c>
      <x:c r="AX229">
        <x:f>IF(I229="","",LOG10(I229+1))</x:f>
      </x:c>
      <x:c r="AY229" s="10">
        <x:f>IF(AX229="","",IF(MAX($AX$2:$AX$252)-MIN($AX$2:$AX$252)=0,"",(AX229-MIN($AX$2:$AX$252))/(MAX($AX$2:$AX$252)-MIN($AX$2:$AX$252))*100))</x:f>
      </x:c>
      <x:c r="AZ229">
        <x:f>IF(J229="","",LOG10(J229+1))</x:f>
      </x:c>
      <x:c r="BA229" s="10">
        <x:f>IF(AZ229="","",IF(MAX($AZ$2:$AZ$252)-MIN($AZ$2:$AZ$252)=0,"",(AZ229-MIN($AZ$2:$AZ$252))/(MAX($AZ$2:$AZ$252)-MIN($AZ$2:$AZ$252))*100))</x:f>
      </x:c>
      <x:c r="BB229">
        <x:f>IF(K229="","",LOG10(K229+1))</x:f>
      </x:c>
      <x:c r="BC229" s="10">
        <x:f>IF(BB229="","",IF(MAX($BB$2:$BB$252)-MIN($BB$2:$BB$252)=0,"",(BB229-MIN($BB$2:$BB$252))/(MAX($BB$2:$BB$252)-MIN($BB$2:$BB$252))*100))</x:f>
      </x:c>
      <x:c r="BD229">
        <x:f>IF(L229="","",LOG10(L229+1))</x:f>
      </x:c>
      <x:c r="BE229" s="10">
        <x:f>IF(BD229="","",IF(MAX($BD$2:$BD$252)-MIN($BD$2:$BD$252)=0,"",(BD229-MIN($BD$2:$BD$252))/(MAX($BD$2:$BD$252)-MIN($BD$2:$BD$252))*100))</x:f>
      </x:c>
      <x:c r="BF229" s="10">
        <x:f>IF(P229="","",IF(MAX($P$2:$P$252)-MIN($P$2:$P$252)=0,"",(P229-MIN($P$2:$P$252))/(MAX($P$2:$P$252)-MIN($P$2:$P$252))*100))</x:f>
      </x:c>
      <x:c r="BG229">
        <x:f>IF(AF229="","",LOG10(AF229+1))</x:f>
      </x:c>
      <x:c r="BH229" s="10">
        <x:f>IF(BG229="","",IF(MAX($BG$2:$BG$252)-MIN($BG$2:$BG$252)=0,"",(BG229-MIN($BG$2:$BG$252))/(MAX($BG$2:$BG$252)-MIN($BG$2:$BG$252))*100))</x:f>
      </x:c>
      <x:c r="BI229">
        <x:f>IF(AC229="","",LOG10(AC229+1))</x:f>
      </x:c>
      <x:c r="BJ229" s="10">
        <x:f>IF(BI229="","",IF(MAX($BI$2:$BI$252)-MIN($BI$2:$BI$252)=0,"",(BI229-MIN($BI$2:$BI$252))/(MAX($BI$2:$BI$252)-MIN($BI$2:$BI$252))*100))</x:f>
      </x:c>
      <x:c r="BK229">
        <x:f>IF(AD229="","",(AD229*2)+(AE229*1))</x:f>
      </x:c>
      <x:c r="BL229" s="10">
        <x:f>IF(BK229="","",IF(MAX($BK$2:$BK$252)-MIN($BK$2:$BK$252)=0,"",(BK229-MIN($BK$2:$BK$252))/(MAX($BK$2:$BK$252)-MIN($BK$2:$BK$252))*100))</x:f>
      </x:c>
      <x:c r="BM229" s="10">
        <x:f>IF(AB229="","",IF(MAX($AB$2:$AB$252)-MIN($AB$2:$AB$252)=0,"",(AB229-MIN($AB$2:$AB$252))/(MAX($AB$2:$AB$252)-MIN($AB$2:$AB$252))*100))</x:f>
      </x:c>
      <x:c r="BN229" s="10">
        <x:f>IF(X229="","",X229)</x:f>
      </x:c>
      <x:c r="BO229" s="10">
        <x:f>IF(X229="","",100-X229)</x:f>
      </x:c>
      <x:c r="BP229" s="10">
        <x:f>IF((Weights!$C$2*IF(BH229="",0,1)+Weights!$C$3*IF(BJ229="",0,1)+Weights!$C$4*IF(BL229="",0,1))=0,"",(Weights!$C$2*IF(BH229="",0,BH229)+Weights!$C$3*IF(BJ229="",0,BJ229)+Weights!$C$4*IF(BL229="",0,BL229))/(Weights!$C$2*IF(BH229="",0,1)+Weights!$C$3*IF(BJ229="",0,1)+Weights!$C$4*IF(BL229="",0,1)))</x:f>
      </x:c>
      <x:c r="BQ229" s="10">
        <x:f>IF((Weights!$C$5*IF(BA229="",0,1)+Weights!$C$6*IF(AW229="",0,1)+Weights!$C$7*IF(AU229="",0,1))=0,"",(Weights!$C$5*IF(BA229="",0,BA229)+Weights!$C$6*IF(AW229="",0,AW229)+Weights!$C$7*IF(AU229="",0,AU229))/(Weights!$C$5*IF(BA229="",0,1)+Weights!$C$6*IF(AW229="",0,1)+Weights!$C$7*IF(AU229="",0,1)))</x:f>
      </x:c>
      <x:c r="BR229" s="10">
        <x:f>IF((Weights!$C$8*IF(AW229="",0,1)+Weights!$C$9*IF(BC229="",0,1)+Weights!$C$10*IF(BF229="",0,1))=0,"",(Weights!$C$8*IF(AW229="",0,AW229)+Weights!$C$9*IF(BC229="",0,BC229)+Weights!$C$10*IF(BF229="",0,BF229))/(Weights!$C$8*IF(AW229="",0,1)+Weights!$C$9*IF(BC229="",0,1)+Weights!$C$10*IF(BF229="",0,1)))</x:f>
      </x:c>
      <x:c r="BS229" s="10">
        <x:f>IF(Y229="","",Y229)</x:f>
      </x:c>
      <x:c r="BT229" s="10">
        <x:f>IF(AS229="","",AS229)</x:f>
      </x:c>
      <x:c r="BU229" s="10">
        <x:f>IF(AJ229&lt;&gt;"",(0.6*AJ229+0.4*AU229),IF((Weights!$C$11*IF(AU229="",0,1)+Weights!$C$12*IF(BM229="",0,1))=0,"",(Weights!$C$11*IF(AU229="",0,AU229)+Weights!$C$12*IF(BM229="",0,BM229))/(Weights!$C$11*IF(AU229="",0,1)+Weights!$C$12*IF(BM229="",0,1))))</x:f>
      </x:c>
      <x:c r="BV229" s="10">
        <x:f>IF(CG229="",0,CG229)</x:f>
      </x:c>
      <x:c r="BW229" s="10">
        <x:f>IF(AP229="","",AP229)</x:f>
      </x:c>
      <x:c r="BX229" s="10">
        <x:f>IF(AO229="","",AO229)</x:f>
      </x:c>
      <x:c r="BY229" s="10">
        <x:f>IF(AL229="","",AL229)</x:f>
      </x:c>
      <x:c r="BZ229" s="10">
        <x:f>IF(AM229="","",AM229)</x:f>
      </x:c>
      <x:c r="CA229" s="10">
        <x:f>IF(AK229&lt;&gt;"",AK229,AW229)</x:f>
      </x:c>
      <x:c r="CB229" s="10">
        <x:f>IF((Weights!$C$13*IF(BP229="",0,1)+Weights!$C$14*IF(BR229="",0,1)+Weights!$C$15*IF(BQ229="",0,1)+Weights!$C$16*IF(BS229="",0,1)+Weights!$C$17*IF(BU229="",0,1)+Weights!$C$18*IF(BT229="",0,1)+Weights!$C$19*IF(BW229="",0,1)+Weights!$C$20*IF(BZ229="",0,1)+Weights!$C$21*IF(BO229="",0,1)+Weights!$C$22)=0,"",(Weights!$C$13*IF(BP229="",0,BP229)+Weights!$C$14*IF(BR229="",0,BR229)+Weights!$C$15*IF(BQ229="",0,BQ229)+Weights!$C$16*IF(BS229="",0,BS229)+Weights!$C$17*IF(BU229="",0,BU229)+Weights!$C$18*IF(BT229="",0,BT229)+Weights!$C$19*IF(BW229="",0,BW229)+Weights!$C$20*IF(BZ229="",0,BZ229)+Weights!$C$21*IF(BO229="",0,BO229)+Weights!$C$22*BV229)/(Weights!$C$13*IF(BP229="",0,1)+Weights!$C$14*IF(BR229="",0,1)+Weights!$C$15*IF(BQ229="",0,1)+Weights!$C$16*IF(BS229="",0,1)+Weights!$C$17*IF(BU229="",0,1)+Weights!$C$18*IF(BT229="",0,1)+Weights!$C$19*IF(BW229="",0,1)+Weights!$C$20*IF(BZ229="",0,1)+Weights!$C$21*IF(BO229="",0,1)+Weights!$C$22))</x:f>
      </x:c>
      <x:c r="CC229" s="10">
        <x:f>IF((Weights!$C$23*IF(BQ229="",0,1)+Weights!$C$24*IF(BN229="",0,1)+Weights!$C$25*IF(BS229="",0,1)+Weights!$C$26*IF(BY229="",0,1)+Weights!$C$27*IF(BX229="",0,1)+Weights!$C$28*IF(BT229="",0,1)+Weights!$C$29*IF(CA229="",0,1)+Weights!$C$30+Weights!$C$31*IF(BU229="",0,1))=0,"",(Weights!$C$23*IF(BQ229="",0,BQ229)+Weights!$C$24*IF(BN229="",0,BN229)+Weights!$C$25*IF(BS229="",0,BS229)+Weights!$C$26*IF(BY229="",0,BY229)+Weights!$C$27*IF(BX229="",0,BX229)+Weights!$C$28*IF(BT229="",0,BT229)+Weights!$C$29*IF(CA229="",0,CA229)+Weights!$C$30*BV229+Weights!$C$31*IF(BU229="",0,BU229))/(Weights!$C$23*IF(BQ229="",0,1)+Weights!$C$24*IF(BN229="",0,1)+Weights!$C$25*IF(BS229="",0,1)+Weights!$C$26*IF(BY229="",0,1)+Weights!$C$27*IF(BX229="",0,1)+Weights!$C$28*IF(BT229="",0,1)+Weights!$C$29*IF(CA229="",0,1)+Weights!$C$30+Weights!$C$31*IF(BU229="",0,1)))</x:f>
      </x:c>
      <x:c r="CD229" s="10">
        <x:f>IF(AND(CB229="",CC229=""),"",IF(CB229="",CC229,IF(CC229="",CB229,AVERAGE(CB229,CC229))))</x:f>
      </x:c>
      <x:c r="CE229" s="7">
        <x:f>ROUND(100*((IF(BP229&lt;&gt;"",1,0)+IF(BQ229&lt;&gt;"",1,0)+IF(BR229&lt;&gt;"",1,0)+IF(BS229&lt;&gt;"",1,0)+IF(BU229&lt;&gt;"",1,0)+IF(BT229&lt;&gt;"",1,0)+IF(BN229&lt;&gt;"",1,0)+IF(AW229&lt;&gt;"",1,0))/8),0)</x:f>
      </x:c>
      <x:c r="CF229">
        <x:f>IF(V229="","",LOG10(V229+1))</x:f>
      </x:c>
      <x:c r="CG229">
        <x:f>IF(CF229="","",IF(MAX($CF$2:$CF$252)-MIN($CF$2:$CF$252)=0,"",(CF229-MIN($CF$2:$CF$252))/(MAX($CF$2:$CF$252)-MIN($CF$2:$CF$252))*100))</x:f>
      </x:c>
    </x:row>
    <x:row r="230">
      <x:c r="A230" t="inlineStr">
        <x:is>
          <x:t xml:space="preserve">TZA</x:t>
        </x:is>
      </x:c>
      <x:c r="B230" t="inlineStr">
        <x:is>
          <x:t xml:space="preserve">Tanzania</x:t>
        </x:is>
      </x:c>
      <x:c r="C230" t="inlineStr">
        <x:is>
          <x:t xml:space="preserve">Sub-Saharan Africa</x:t>
        </x:is>
      </x:c>
      <x:c r="D230" t="inlineStr">
        <x:is>
          <x:t xml:space="preserve">Lower middle income</x:t>
        </x:is>
      </x:c>
      <x:c r="E230" t="inlineStr">
        <x:is>
          <x:t xml:space="preserve">Africa</x:t>
        </x:is>
      </x:c>
      <x:c r="F230" t="n">
        <x:v>2024</x:v>
      </x:c>
      <x:c r="G230" t="n">
        <x:v>68560157</x:v>
      </x:c>
      <x:c r="H230" t="n">
        <x:v>2020</x:v>
      </x:c>
      <x:c r="I230" t="n">
        <x:v>28000</x:v>
      </x:c>
      <x:c r="J230" t="n">
        <x:v>18200</x:v>
      </x:c>
      <x:c r="K230" t="n">
        <x:v>5600</x:v>
      </x:c>
      <x:c r="L230" t="n">
        <x:v>3360</x:v>
      </x:c>
      <x:c r="M230" t="n">
        <x:v>2024</x:v>
      </x:c>
      <x:c r="N230" s="8" t="n">
        <x:v>920849885.868755</x:v>
      </x:c>
      <x:c r="O230" s="9" t="n">
        <x:v>1.154617473534</x:v>
      </x:c>
      <x:c r="P230" s="8" t="n">
        <x:v>32887.4959238841</x:v>
      </x:c>
      <x:c r="Q230" t="n">
        <x:v>2024</x:v>
      </x:c>
      <x:c r="R230" s="8" t="n">
        <x:v>78844405385.2195</x:v>
      </x:c>
      <x:c r="S230" t="n">
        <x:v>0</x:v>
      </x:c>
      <x:c r="T230" t="n">
        <x:v>0</x:v>
      </x:c>
      <x:c r="U230" t="inlineStr">
        <x:is>
          <x:t xml:space="preserve">No</x:t>
        </x:is>
      </x:c>
      <x:c r="W230" t="inlineStr">
        <x:is>
          <x:t xml:space="preserve">No</x:t>
        </x:is>
      </x:c>
      <x:c r="X230" t="n">
        <x:v>6.386696595044494</x:v>
      </x:c>
      <x:c r="Y230" t="n">
        <x:v>34.35924971841489</x:v>
      </x:c>
      <x:c r="Z230" t="n">
        <x:v>932745.7923570742</x:v>
      </x:c>
      <x:c r="AA230" t="n">
        <x:v>57.84098458773479</x:v>
      </x:c>
      <x:c r="AB230" s="8" t="n">
        <x:v>2791.425208849485</x:v>
      </x:c>
      <x:c r="AC230" t="n">
        <x:v>12</x:v>
      </x:c>
      <x:c r="AD230" t="n">
        <x:v>0</x:v>
      </x:c>
      <x:c r="AE230" t="n">
        <x:v>0</x:v>
      </x:c>
      <x:c r="AR230">
        <x:f>IF(G230="","",LOG10(G230+1))</x:f>
      </x:c>
      <x:c r="AS230" s="10">
        <x:f>IF(AR230="","",IF(MAX($AR$2:$AR$252)-MIN($AR$2:$AR$252)=0,"",(AR230-MIN($AR$2:$AR$252))/(MAX($AR$2:$AR$252)-MIN($AR$2:$AR$252))*100))</x:f>
      </x:c>
      <x:c r="AT230">
        <x:f>IF(R230="","",LOG10(R230+1))</x:f>
      </x:c>
      <x:c r="AU230" s="10">
        <x:f>IF(AT230="","",IF(MAX($AT$2:$AT$252)-MIN($AT$2:$AT$252)=0,"",(AT230-MIN($AT$2:$AT$252))/(MAX($AT$2:$AT$252)-MIN($AT$2:$AT$252))*100))</x:f>
      </x:c>
      <x:c r="AV230">
        <x:f>IF(N230="","",LOG10(N230+1))</x:f>
      </x:c>
      <x:c r="AW230" s="10">
        <x:f>IF(AV230="","",IF(MAX($AV$2:$AV$252)-MIN($AV$2:$AV$252)=0,"",(AV230-MIN($AV$2:$AV$252))/(MAX($AV$2:$AV$252)-MIN($AV$2:$AV$252))*100))</x:f>
      </x:c>
      <x:c r="AX230">
        <x:f>IF(I230="","",LOG10(I230+1))</x:f>
      </x:c>
      <x:c r="AY230" s="10">
        <x:f>IF(AX230="","",IF(MAX($AX$2:$AX$252)-MIN($AX$2:$AX$252)=0,"",(AX230-MIN($AX$2:$AX$252))/(MAX($AX$2:$AX$252)-MIN($AX$2:$AX$252))*100))</x:f>
      </x:c>
      <x:c r="AZ230">
        <x:f>IF(J230="","",LOG10(J230+1))</x:f>
      </x:c>
      <x:c r="BA230" s="10">
        <x:f>IF(AZ230="","",IF(MAX($AZ$2:$AZ$252)-MIN($AZ$2:$AZ$252)=0,"",(AZ230-MIN($AZ$2:$AZ$252))/(MAX($AZ$2:$AZ$252)-MIN($AZ$2:$AZ$252))*100))</x:f>
      </x:c>
      <x:c r="BB230">
        <x:f>IF(K230="","",LOG10(K230+1))</x:f>
      </x:c>
      <x:c r="BC230" s="10">
        <x:f>IF(BB230="","",IF(MAX($BB$2:$BB$252)-MIN($BB$2:$BB$252)=0,"",(BB230-MIN($BB$2:$BB$252))/(MAX($BB$2:$BB$252)-MIN($BB$2:$BB$252))*100))</x:f>
      </x:c>
      <x:c r="BD230">
        <x:f>IF(L230="","",LOG10(L230+1))</x:f>
      </x:c>
      <x:c r="BE230" s="10">
        <x:f>IF(BD230="","",IF(MAX($BD$2:$BD$252)-MIN($BD$2:$BD$252)=0,"",(BD230-MIN($BD$2:$BD$252))/(MAX($BD$2:$BD$252)-MIN($BD$2:$BD$252))*100))</x:f>
      </x:c>
      <x:c r="BF230" s="10">
        <x:f>IF(P230="","",IF(MAX($P$2:$P$252)-MIN($P$2:$P$252)=0,"",(P230-MIN($P$2:$P$252))/(MAX($P$2:$P$252)-MIN($P$2:$P$252))*100))</x:f>
      </x:c>
      <x:c r="BG230">
        <x:f>IF(AF230="","",LOG10(AF230+1))</x:f>
      </x:c>
      <x:c r="BH230" s="10">
        <x:f>IF(BG230="","",IF(MAX($BG$2:$BG$252)-MIN($BG$2:$BG$252)=0,"",(BG230-MIN($BG$2:$BG$252))/(MAX($BG$2:$BG$252)-MIN($BG$2:$BG$252))*100))</x:f>
      </x:c>
      <x:c r="BI230">
        <x:f>IF(AC230="","",LOG10(AC230+1))</x:f>
      </x:c>
      <x:c r="BJ230" s="10">
        <x:f>IF(BI230="","",IF(MAX($BI$2:$BI$252)-MIN($BI$2:$BI$252)=0,"",(BI230-MIN($BI$2:$BI$252))/(MAX($BI$2:$BI$252)-MIN($BI$2:$BI$252))*100))</x:f>
      </x:c>
      <x:c r="BK230">
        <x:f>IF(AD230="","",(AD230*2)+(AE230*1))</x:f>
      </x:c>
      <x:c r="BL230" s="10">
        <x:f>IF(BK230="","",IF(MAX($BK$2:$BK$252)-MIN($BK$2:$BK$252)=0,"",(BK230-MIN($BK$2:$BK$252))/(MAX($BK$2:$BK$252)-MIN($BK$2:$BK$252))*100))</x:f>
      </x:c>
      <x:c r="BM230" s="10">
        <x:f>IF(AB230="","",IF(MAX($AB$2:$AB$252)-MIN($AB$2:$AB$252)=0,"",(AB230-MIN($AB$2:$AB$252))/(MAX($AB$2:$AB$252)-MIN($AB$2:$AB$252))*100))</x:f>
      </x:c>
      <x:c r="BN230" s="10">
        <x:f>IF(X230="","",X230)</x:f>
      </x:c>
      <x:c r="BO230" s="10">
        <x:f>IF(X230="","",100-X230)</x:f>
      </x:c>
      <x:c r="BP230" s="10">
        <x:f>IF((Weights!$C$2*IF(BH230="",0,1)+Weights!$C$3*IF(BJ230="",0,1)+Weights!$C$4*IF(BL230="",0,1))=0,"",(Weights!$C$2*IF(BH230="",0,BH230)+Weights!$C$3*IF(BJ230="",0,BJ230)+Weights!$C$4*IF(BL230="",0,BL230))/(Weights!$C$2*IF(BH230="",0,1)+Weights!$C$3*IF(BJ230="",0,1)+Weights!$C$4*IF(BL230="",0,1)))</x:f>
      </x:c>
      <x:c r="BQ230" s="10">
        <x:f>IF((Weights!$C$5*IF(BA230="",0,1)+Weights!$C$6*IF(AW230="",0,1)+Weights!$C$7*IF(AU230="",0,1))=0,"",(Weights!$C$5*IF(BA230="",0,BA230)+Weights!$C$6*IF(AW230="",0,AW230)+Weights!$C$7*IF(AU230="",0,AU230))/(Weights!$C$5*IF(BA230="",0,1)+Weights!$C$6*IF(AW230="",0,1)+Weights!$C$7*IF(AU230="",0,1)))</x:f>
      </x:c>
      <x:c r="BR230" s="10">
        <x:f>IF((Weights!$C$8*IF(AW230="",0,1)+Weights!$C$9*IF(BC230="",0,1)+Weights!$C$10*IF(BF230="",0,1))=0,"",(Weights!$C$8*IF(AW230="",0,AW230)+Weights!$C$9*IF(BC230="",0,BC230)+Weights!$C$10*IF(BF230="",0,BF230))/(Weights!$C$8*IF(AW230="",0,1)+Weights!$C$9*IF(BC230="",0,1)+Weights!$C$10*IF(BF230="",0,1)))</x:f>
      </x:c>
      <x:c r="BS230" s="10">
        <x:f>IF(Y230="","",Y230)</x:f>
      </x:c>
      <x:c r="BT230" s="10">
        <x:f>IF(AS230="","",AS230)</x:f>
      </x:c>
      <x:c r="BU230" s="10">
        <x:f>IF(AJ230&lt;&gt;"",(0.6*AJ230+0.4*AU230),IF((Weights!$C$11*IF(AU230="",0,1)+Weights!$C$12*IF(BM230="",0,1))=0,"",(Weights!$C$11*IF(AU230="",0,AU230)+Weights!$C$12*IF(BM230="",0,BM230))/(Weights!$C$11*IF(AU230="",0,1)+Weights!$C$12*IF(BM230="",0,1))))</x:f>
      </x:c>
      <x:c r="BV230" s="10">
        <x:f>IF(CG230="",0,CG230)</x:f>
      </x:c>
      <x:c r="BW230" s="10">
        <x:f>IF(AP230="","",AP230)</x:f>
      </x:c>
      <x:c r="BX230" s="10">
        <x:f>IF(AO230="","",AO230)</x:f>
      </x:c>
      <x:c r="BY230" s="10">
        <x:f>IF(AL230="","",AL230)</x:f>
      </x:c>
      <x:c r="BZ230" s="10">
        <x:f>IF(AM230="","",AM230)</x:f>
      </x:c>
      <x:c r="CA230" s="10">
        <x:f>IF(AK230&lt;&gt;"",AK230,AW230)</x:f>
      </x:c>
      <x:c r="CB230" s="10">
        <x:f>IF((Weights!$C$13*IF(BP230="",0,1)+Weights!$C$14*IF(BR230="",0,1)+Weights!$C$15*IF(BQ230="",0,1)+Weights!$C$16*IF(BS230="",0,1)+Weights!$C$17*IF(BU230="",0,1)+Weights!$C$18*IF(BT230="",0,1)+Weights!$C$19*IF(BW230="",0,1)+Weights!$C$20*IF(BZ230="",0,1)+Weights!$C$21*IF(BO230="",0,1)+Weights!$C$22)=0,"",(Weights!$C$13*IF(BP230="",0,BP230)+Weights!$C$14*IF(BR230="",0,BR230)+Weights!$C$15*IF(BQ230="",0,BQ230)+Weights!$C$16*IF(BS230="",0,BS230)+Weights!$C$17*IF(BU230="",0,BU230)+Weights!$C$18*IF(BT230="",0,BT230)+Weights!$C$19*IF(BW230="",0,BW230)+Weights!$C$20*IF(BZ230="",0,BZ230)+Weights!$C$21*IF(BO230="",0,BO230)+Weights!$C$22*BV230)/(Weights!$C$13*IF(BP230="",0,1)+Weights!$C$14*IF(BR230="",0,1)+Weights!$C$15*IF(BQ230="",0,1)+Weights!$C$16*IF(BS230="",0,1)+Weights!$C$17*IF(BU230="",0,1)+Weights!$C$18*IF(BT230="",0,1)+Weights!$C$19*IF(BW230="",0,1)+Weights!$C$20*IF(BZ230="",0,1)+Weights!$C$21*IF(BO230="",0,1)+Weights!$C$22))</x:f>
      </x:c>
      <x:c r="CC230" s="10">
        <x:f>IF((Weights!$C$23*IF(BQ230="",0,1)+Weights!$C$24*IF(BN230="",0,1)+Weights!$C$25*IF(BS230="",0,1)+Weights!$C$26*IF(BY230="",0,1)+Weights!$C$27*IF(BX230="",0,1)+Weights!$C$28*IF(BT230="",0,1)+Weights!$C$29*IF(CA230="",0,1)+Weights!$C$30+Weights!$C$31*IF(BU230="",0,1))=0,"",(Weights!$C$23*IF(BQ230="",0,BQ230)+Weights!$C$24*IF(BN230="",0,BN230)+Weights!$C$25*IF(BS230="",0,BS230)+Weights!$C$26*IF(BY230="",0,BY230)+Weights!$C$27*IF(BX230="",0,BX230)+Weights!$C$28*IF(BT230="",0,BT230)+Weights!$C$29*IF(CA230="",0,CA230)+Weights!$C$30*BV230+Weights!$C$31*IF(BU230="",0,BU230))/(Weights!$C$23*IF(BQ230="",0,1)+Weights!$C$24*IF(BN230="",0,1)+Weights!$C$25*IF(BS230="",0,1)+Weights!$C$26*IF(BY230="",0,1)+Weights!$C$27*IF(BX230="",0,1)+Weights!$C$28*IF(BT230="",0,1)+Weights!$C$29*IF(CA230="",0,1)+Weights!$C$30+Weights!$C$31*IF(BU230="",0,1)))</x:f>
      </x:c>
      <x:c r="CD230" s="10">
        <x:f>IF(AND(CB230="",CC230=""),"",IF(CB230="",CC230,IF(CC230="",CB230,AVERAGE(CB230,CC230))))</x:f>
      </x:c>
      <x:c r="CE230" s="7">
        <x:f>ROUND(100*((IF(BP230&lt;&gt;"",1,0)+IF(BQ230&lt;&gt;"",1,0)+IF(BR230&lt;&gt;"",1,0)+IF(BS230&lt;&gt;"",1,0)+IF(BU230&lt;&gt;"",1,0)+IF(BT230&lt;&gt;"",1,0)+IF(BN230&lt;&gt;"",1,0)+IF(AW230&lt;&gt;"",1,0))/8),0)</x:f>
      </x:c>
      <x:c r="CF230">
        <x:f>IF(V230="","",LOG10(V230+1))</x:f>
      </x:c>
      <x:c r="CG230">
        <x:f>IF(CF230="","",IF(MAX($CF$2:$CF$252)-MIN($CF$2:$CF$252)=0,"",(CF230-MIN($CF$2:$CF$252))/(MAX($CF$2:$CF$252)-MIN($CF$2:$CF$252))*100))</x:f>
      </x:c>
    </x:row>
    <x:row r="231">
      <x:c r="A231" t="inlineStr">
        <x:is>
          <x:t xml:space="preserve">TGO</x:t>
        </x:is>
      </x:c>
      <x:c r="B231" t="inlineStr">
        <x:is>
          <x:t xml:space="preserve">Togo</x:t>
        </x:is>
      </x:c>
      <x:c r="C231" t="inlineStr">
        <x:is>
          <x:t xml:space="preserve">Sub-Saharan Africa</x:t>
        </x:is>
      </x:c>
      <x:c r="D231" t="inlineStr">
        <x:is>
          <x:t xml:space="preserve">Low income</x:t>
        </x:is>
      </x:c>
      <x:c r="E231" t="inlineStr">
        <x:is>
          <x:t xml:space="preserve">Africa</x:t>
        </x:is>
      </x:c>
      <x:c r="F231" t="n">
        <x:v>2024</x:v>
      </x:c>
      <x:c r="G231" t="n">
        <x:v>9515236</x:v>
      </x:c>
      <x:c r="H231" t="n">
        <x:v>2020</x:v>
      </x:c>
      <x:c r="I231" t="n">
        <x:v>10000</x:v>
      </x:c>
      <x:c r="J231" t="n">
        <x:v>6500</x:v>
      </x:c>
      <x:c r="K231" t="n">
        <x:v>2000</x:v>
      </x:c>
      <x:c r="L231" t="n">
        <x:v>1200</x:v>
      </x:c>
      <x:c r="M231" t="n">
        <x:v>2024</x:v>
      </x:c>
      <x:c r="N231" s="8" t="n">
        <x:v>195347349.222552</x:v>
      </x:c>
      <x:c r="O231" s="9" t="n">
        <x:v>1.99877193389434</x:v>
      </x:c>
      <x:c r="P231" s="8" t="n">
        <x:v>19534.7349222552</x:v>
      </x:c>
      <x:c r="Q231" t="n">
        <x:v>2024</x:v>
      </x:c>
      <x:c r="R231" s="8" t="n">
        <x:v>10651180146.531</x:v>
      </x:c>
      <x:c r="S231" t="n">
        <x:v>0</x:v>
      </x:c>
      <x:c r="T231" t="n">
        <x:v>0</x:v>
      </x:c>
      <x:c r="U231" t="inlineStr">
        <x:is>
          <x:t xml:space="preserve">No</x:t>
        </x:is>
      </x:c>
      <x:c r="W231" t="inlineStr">
        <x:is>
          <x:t xml:space="preserve">No</x:t>
        </x:is>
      </x:c>
      <x:c r="X231" t="n">
        <x:v>19.72864306849169</x:v>
      </x:c>
      <x:c r="Y231" t="n">
        <x:v>29.89831990381788</x:v>
      </x:c>
      <x:c r="Z231" t="n">
        <x:v>60966.96223395674</x:v>
      </x:c>
      <x:c r="AA231" t="n">
        <x:v>130.6454300516831</x:v>
      </x:c>
      <x:c r="AB231" s="8" t="n">
        <x:v>1457.617053491784</x:v>
      </x:c>
      <x:c r="AR231">
        <x:f>IF(G231="","",LOG10(G231+1))</x:f>
      </x:c>
      <x:c r="AS231" s="10">
        <x:f>IF(AR231="","",IF(MAX($AR$2:$AR$252)-MIN($AR$2:$AR$252)=0,"",(AR231-MIN($AR$2:$AR$252))/(MAX($AR$2:$AR$252)-MIN($AR$2:$AR$252))*100))</x:f>
      </x:c>
      <x:c r="AT231">
        <x:f>IF(R231="","",LOG10(R231+1))</x:f>
      </x:c>
      <x:c r="AU231" s="10">
        <x:f>IF(AT231="","",IF(MAX($AT$2:$AT$252)-MIN($AT$2:$AT$252)=0,"",(AT231-MIN($AT$2:$AT$252))/(MAX($AT$2:$AT$252)-MIN($AT$2:$AT$252))*100))</x:f>
      </x:c>
      <x:c r="AV231">
        <x:f>IF(N231="","",LOG10(N231+1))</x:f>
      </x:c>
      <x:c r="AW231" s="10">
        <x:f>IF(AV231="","",IF(MAX($AV$2:$AV$252)-MIN($AV$2:$AV$252)=0,"",(AV231-MIN($AV$2:$AV$252))/(MAX($AV$2:$AV$252)-MIN($AV$2:$AV$252))*100))</x:f>
      </x:c>
      <x:c r="AX231">
        <x:f>IF(I231="","",LOG10(I231+1))</x:f>
      </x:c>
      <x:c r="AY231" s="10">
        <x:f>IF(AX231="","",IF(MAX($AX$2:$AX$252)-MIN($AX$2:$AX$252)=0,"",(AX231-MIN($AX$2:$AX$252))/(MAX($AX$2:$AX$252)-MIN($AX$2:$AX$252))*100))</x:f>
      </x:c>
      <x:c r="AZ231">
        <x:f>IF(J231="","",LOG10(J231+1))</x:f>
      </x:c>
      <x:c r="BA231" s="10">
        <x:f>IF(AZ231="","",IF(MAX($AZ$2:$AZ$252)-MIN($AZ$2:$AZ$252)=0,"",(AZ231-MIN($AZ$2:$AZ$252))/(MAX($AZ$2:$AZ$252)-MIN($AZ$2:$AZ$252))*100))</x:f>
      </x:c>
      <x:c r="BB231">
        <x:f>IF(K231="","",LOG10(K231+1))</x:f>
      </x:c>
      <x:c r="BC231" s="10">
        <x:f>IF(BB231="","",IF(MAX($BB$2:$BB$252)-MIN($BB$2:$BB$252)=0,"",(BB231-MIN($BB$2:$BB$252))/(MAX($BB$2:$BB$252)-MIN($BB$2:$BB$252))*100))</x:f>
      </x:c>
      <x:c r="BD231">
        <x:f>IF(L231="","",LOG10(L231+1))</x:f>
      </x:c>
      <x:c r="BE231" s="10">
        <x:f>IF(BD231="","",IF(MAX($BD$2:$BD$252)-MIN($BD$2:$BD$252)=0,"",(BD231-MIN($BD$2:$BD$252))/(MAX($BD$2:$BD$252)-MIN($BD$2:$BD$252))*100))</x:f>
      </x:c>
      <x:c r="BF231" s="10">
        <x:f>IF(P231="","",IF(MAX($P$2:$P$252)-MIN($P$2:$P$252)=0,"",(P231-MIN($P$2:$P$252))/(MAX($P$2:$P$252)-MIN($P$2:$P$252))*100))</x:f>
      </x:c>
      <x:c r="BG231">
        <x:f>IF(AF231="","",LOG10(AF231+1))</x:f>
      </x:c>
      <x:c r="BH231" s="10">
        <x:f>IF(BG231="","",IF(MAX($BG$2:$BG$252)-MIN($BG$2:$BG$252)=0,"",(BG231-MIN($BG$2:$BG$252))/(MAX($BG$2:$BG$252)-MIN($BG$2:$BG$252))*100))</x:f>
      </x:c>
      <x:c r="BI231">
        <x:f>IF(AC231="","",LOG10(AC231+1))</x:f>
      </x:c>
      <x:c r="BJ231" s="10">
        <x:f>IF(BI231="","",IF(MAX($BI$2:$BI$252)-MIN($BI$2:$BI$252)=0,"",(BI231-MIN($BI$2:$BI$252))/(MAX($BI$2:$BI$252)-MIN($BI$2:$BI$252))*100))</x:f>
      </x:c>
      <x:c r="BK231">
        <x:f>IF(AD231="","",(AD231*2)+(AE231*1))</x:f>
      </x:c>
      <x:c r="BL231" s="10">
        <x:f>IF(BK231="","",IF(MAX($BK$2:$BK$252)-MIN($BK$2:$BK$252)=0,"",(BK231-MIN($BK$2:$BK$252))/(MAX($BK$2:$BK$252)-MIN($BK$2:$BK$252))*100))</x:f>
      </x:c>
      <x:c r="BM231" s="10">
        <x:f>IF(AB231="","",IF(MAX($AB$2:$AB$252)-MIN($AB$2:$AB$252)=0,"",(AB231-MIN($AB$2:$AB$252))/(MAX($AB$2:$AB$252)-MIN($AB$2:$AB$252))*100))</x:f>
      </x:c>
      <x:c r="BN231" s="10">
        <x:f>IF(X231="","",X231)</x:f>
      </x:c>
      <x:c r="BO231" s="10">
        <x:f>IF(X231="","",100-X231)</x:f>
      </x:c>
      <x:c r="BP231" s="10">
        <x:f>IF((Weights!$C$2*IF(BH231="",0,1)+Weights!$C$3*IF(BJ231="",0,1)+Weights!$C$4*IF(BL231="",0,1))=0,"",(Weights!$C$2*IF(BH231="",0,BH231)+Weights!$C$3*IF(BJ231="",0,BJ231)+Weights!$C$4*IF(BL231="",0,BL231))/(Weights!$C$2*IF(BH231="",0,1)+Weights!$C$3*IF(BJ231="",0,1)+Weights!$C$4*IF(BL231="",0,1)))</x:f>
      </x:c>
      <x:c r="BQ231" s="10">
        <x:f>IF((Weights!$C$5*IF(BA231="",0,1)+Weights!$C$6*IF(AW231="",0,1)+Weights!$C$7*IF(AU231="",0,1))=0,"",(Weights!$C$5*IF(BA231="",0,BA231)+Weights!$C$6*IF(AW231="",0,AW231)+Weights!$C$7*IF(AU231="",0,AU231))/(Weights!$C$5*IF(BA231="",0,1)+Weights!$C$6*IF(AW231="",0,1)+Weights!$C$7*IF(AU231="",0,1)))</x:f>
      </x:c>
      <x:c r="BR231" s="10">
        <x:f>IF((Weights!$C$8*IF(AW231="",0,1)+Weights!$C$9*IF(BC231="",0,1)+Weights!$C$10*IF(BF231="",0,1))=0,"",(Weights!$C$8*IF(AW231="",0,AW231)+Weights!$C$9*IF(BC231="",0,BC231)+Weights!$C$10*IF(BF231="",0,BF231))/(Weights!$C$8*IF(AW231="",0,1)+Weights!$C$9*IF(BC231="",0,1)+Weights!$C$10*IF(BF231="",0,1)))</x:f>
      </x:c>
      <x:c r="BS231" s="10">
        <x:f>IF(Y231="","",Y231)</x:f>
      </x:c>
      <x:c r="BT231" s="10">
        <x:f>IF(AS231="","",AS231)</x:f>
      </x:c>
      <x:c r="BU231" s="10">
        <x:f>IF(AJ231&lt;&gt;"",(0.6*AJ231+0.4*AU231),IF((Weights!$C$11*IF(AU231="",0,1)+Weights!$C$12*IF(BM231="",0,1))=0,"",(Weights!$C$11*IF(AU231="",0,AU231)+Weights!$C$12*IF(BM231="",0,BM231))/(Weights!$C$11*IF(AU231="",0,1)+Weights!$C$12*IF(BM231="",0,1))))</x:f>
      </x:c>
      <x:c r="BV231" s="10">
        <x:f>IF(CG231="",0,CG231)</x:f>
      </x:c>
      <x:c r="BW231" s="10">
        <x:f>IF(AP231="","",AP231)</x:f>
      </x:c>
      <x:c r="BX231" s="10">
        <x:f>IF(AO231="","",AO231)</x:f>
      </x:c>
      <x:c r="BY231" s="10">
        <x:f>IF(AL231="","",AL231)</x:f>
      </x:c>
      <x:c r="BZ231" s="10">
        <x:f>IF(AM231="","",AM231)</x:f>
      </x:c>
      <x:c r="CA231" s="10">
        <x:f>IF(AK231&lt;&gt;"",AK231,AW231)</x:f>
      </x:c>
      <x:c r="CB231" s="10">
        <x:f>IF((Weights!$C$13*IF(BP231="",0,1)+Weights!$C$14*IF(BR231="",0,1)+Weights!$C$15*IF(BQ231="",0,1)+Weights!$C$16*IF(BS231="",0,1)+Weights!$C$17*IF(BU231="",0,1)+Weights!$C$18*IF(BT231="",0,1)+Weights!$C$19*IF(BW231="",0,1)+Weights!$C$20*IF(BZ231="",0,1)+Weights!$C$21*IF(BO231="",0,1)+Weights!$C$22)=0,"",(Weights!$C$13*IF(BP231="",0,BP231)+Weights!$C$14*IF(BR231="",0,BR231)+Weights!$C$15*IF(BQ231="",0,BQ231)+Weights!$C$16*IF(BS231="",0,BS231)+Weights!$C$17*IF(BU231="",0,BU231)+Weights!$C$18*IF(BT231="",0,BT231)+Weights!$C$19*IF(BW231="",0,BW231)+Weights!$C$20*IF(BZ231="",0,BZ231)+Weights!$C$21*IF(BO231="",0,BO231)+Weights!$C$22*BV231)/(Weights!$C$13*IF(BP231="",0,1)+Weights!$C$14*IF(BR231="",0,1)+Weights!$C$15*IF(BQ231="",0,1)+Weights!$C$16*IF(BS231="",0,1)+Weights!$C$17*IF(BU231="",0,1)+Weights!$C$18*IF(BT231="",0,1)+Weights!$C$19*IF(BW231="",0,1)+Weights!$C$20*IF(BZ231="",0,1)+Weights!$C$21*IF(BO231="",0,1)+Weights!$C$22))</x:f>
      </x:c>
      <x:c r="CC231" s="10">
        <x:f>IF((Weights!$C$23*IF(BQ231="",0,1)+Weights!$C$24*IF(BN231="",0,1)+Weights!$C$25*IF(BS231="",0,1)+Weights!$C$26*IF(BY231="",0,1)+Weights!$C$27*IF(BX231="",0,1)+Weights!$C$28*IF(BT231="",0,1)+Weights!$C$29*IF(CA231="",0,1)+Weights!$C$30+Weights!$C$31*IF(BU231="",0,1))=0,"",(Weights!$C$23*IF(BQ231="",0,BQ231)+Weights!$C$24*IF(BN231="",0,BN231)+Weights!$C$25*IF(BS231="",0,BS231)+Weights!$C$26*IF(BY231="",0,BY231)+Weights!$C$27*IF(BX231="",0,BX231)+Weights!$C$28*IF(BT231="",0,BT231)+Weights!$C$29*IF(CA231="",0,CA231)+Weights!$C$30*BV231+Weights!$C$31*IF(BU231="",0,BU231))/(Weights!$C$23*IF(BQ231="",0,1)+Weights!$C$24*IF(BN231="",0,1)+Weights!$C$25*IF(BS231="",0,1)+Weights!$C$26*IF(BY231="",0,1)+Weights!$C$27*IF(BX231="",0,1)+Weights!$C$28*IF(BT231="",0,1)+Weights!$C$29*IF(CA231="",0,1)+Weights!$C$30+Weights!$C$31*IF(BU231="",0,1)))</x:f>
      </x:c>
      <x:c r="CD231" s="10">
        <x:f>IF(AND(CB231="",CC231=""),"",IF(CB231="",CC231,IF(CC231="",CB231,AVERAGE(CB231,CC231))))</x:f>
      </x:c>
      <x:c r="CE231" s="7">
        <x:f>ROUND(100*((IF(BP231&lt;&gt;"",1,0)+IF(BQ231&lt;&gt;"",1,0)+IF(BR231&lt;&gt;"",1,0)+IF(BS231&lt;&gt;"",1,0)+IF(BU231&lt;&gt;"",1,0)+IF(BT231&lt;&gt;"",1,0)+IF(BN231&lt;&gt;"",1,0)+IF(AW231&lt;&gt;"",1,0))/8),0)</x:f>
      </x:c>
      <x:c r="CF231">
        <x:f>IF(V231="","",LOG10(V231+1))</x:f>
      </x:c>
      <x:c r="CG231">
        <x:f>IF(CF231="","",IF(MAX($CF$2:$CF$252)-MIN($CF$2:$CF$252)=0,"",(CF231-MIN($CF$2:$CF$252))/(MAX($CF$2:$CF$252)-MIN($CF$2:$CF$252))*100))</x:f>
      </x:c>
    </x:row>
    <x:row r="232">
      <x:c r="A232" t="inlineStr">
        <x:is>
          <x:t xml:space="preserve">TKL</x:t>
        </x:is>
      </x:c>
      <x:c r="B232" t="inlineStr">
        <x:is>
          <x:t xml:space="preserve">Tokelau</x:t>
        </x:is>
      </x:c>
      <x:c r="N232" s="8" t="n"/>
      <x:c r="O232" s="9" t="n"/>
      <x:c r="P232" s="8" t="n"/>
      <x:c r="R232" s="8" t="n"/>
      <x:c r="AB232" s="8" t="n"/>
      <x:c r="AR232">
        <x:f>IF(G232="","",LOG10(G232+1))</x:f>
      </x:c>
      <x:c r="AS232" s="10">
        <x:f>IF(AR232="","",IF(MAX($AR$2:$AR$252)-MIN($AR$2:$AR$252)=0,"",(AR232-MIN($AR$2:$AR$252))/(MAX($AR$2:$AR$252)-MIN($AR$2:$AR$252))*100))</x:f>
      </x:c>
      <x:c r="AT232">
        <x:f>IF(R232="","",LOG10(R232+1))</x:f>
      </x:c>
      <x:c r="AU232" s="10">
        <x:f>IF(AT232="","",IF(MAX($AT$2:$AT$252)-MIN($AT$2:$AT$252)=0,"",(AT232-MIN($AT$2:$AT$252))/(MAX($AT$2:$AT$252)-MIN($AT$2:$AT$252))*100))</x:f>
      </x:c>
      <x:c r="AV232">
        <x:f>IF(N232="","",LOG10(N232+1))</x:f>
      </x:c>
      <x:c r="AW232" s="10">
        <x:f>IF(AV232="","",IF(MAX($AV$2:$AV$252)-MIN($AV$2:$AV$252)=0,"",(AV232-MIN($AV$2:$AV$252))/(MAX($AV$2:$AV$252)-MIN($AV$2:$AV$252))*100))</x:f>
      </x:c>
      <x:c r="AX232">
        <x:f>IF(I232="","",LOG10(I232+1))</x:f>
      </x:c>
      <x:c r="AY232" s="10">
        <x:f>IF(AX232="","",IF(MAX($AX$2:$AX$252)-MIN($AX$2:$AX$252)=0,"",(AX232-MIN($AX$2:$AX$252))/(MAX($AX$2:$AX$252)-MIN($AX$2:$AX$252))*100))</x:f>
      </x:c>
      <x:c r="AZ232">
        <x:f>IF(J232="","",LOG10(J232+1))</x:f>
      </x:c>
      <x:c r="BA232" s="10">
        <x:f>IF(AZ232="","",IF(MAX($AZ$2:$AZ$252)-MIN($AZ$2:$AZ$252)=0,"",(AZ232-MIN($AZ$2:$AZ$252))/(MAX($AZ$2:$AZ$252)-MIN($AZ$2:$AZ$252))*100))</x:f>
      </x:c>
      <x:c r="BB232">
        <x:f>IF(K232="","",LOG10(K232+1))</x:f>
      </x:c>
      <x:c r="BC232" s="10">
        <x:f>IF(BB232="","",IF(MAX($BB$2:$BB$252)-MIN($BB$2:$BB$252)=0,"",(BB232-MIN($BB$2:$BB$252))/(MAX($BB$2:$BB$252)-MIN($BB$2:$BB$252))*100))</x:f>
      </x:c>
      <x:c r="BD232">
        <x:f>IF(L232="","",LOG10(L232+1))</x:f>
      </x:c>
      <x:c r="BE232" s="10">
        <x:f>IF(BD232="","",IF(MAX($BD$2:$BD$252)-MIN($BD$2:$BD$252)=0,"",(BD232-MIN($BD$2:$BD$252))/(MAX($BD$2:$BD$252)-MIN($BD$2:$BD$252))*100))</x:f>
      </x:c>
      <x:c r="BF232" s="10">
        <x:f>IF(P232="","",IF(MAX($P$2:$P$252)-MIN($P$2:$P$252)=0,"",(P232-MIN($P$2:$P$252))/(MAX($P$2:$P$252)-MIN($P$2:$P$252))*100))</x:f>
      </x:c>
      <x:c r="BG232">
        <x:f>IF(AF232="","",LOG10(AF232+1))</x:f>
      </x:c>
      <x:c r="BH232" s="10">
        <x:f>IF(BG232="","",IF(MAX($BG$2:$BG$252)-MIN($BG$2:$BG$252)=0,"",(BG232-MIN($BG$2:$BG$252))/(MAX($BG$2:$BG$252)-MIN($BG$2:$BG$252))*100))</x:f>
      </x:c>
      <x:c r="BI232">
        <x:f>IF(AC232="","",LOG10(AC232+1))</x:f>
      </x:c>
      <x:c r="BJ232" s="10">
        <x:f>IF(BI232="","",IF(MAX($BI$2:$BI$252)-MIN($BI$2:$BI$252)=0,"",(BI232-MIN($BI$2:$BI$252))/(MAX($BI$2:$BI$252)-MIN($BI$2:$BI$252))*100))</x:f>
      </x:c>
      <x:c r="BK232">
        <x:f>IF(AD232="","",(AD232*2)+(AE232*1))</x:f>
      </x:c>
      <x:c r="BL232" s="10">
        <x:f>IF(BK232="","",IF(MAX($BK$2:$BK$252)-MIN($BK$2:$BK$252)=0,"",(BK232-MIN($BK$2:$BK$252))/(MAX($BK$2:$BK$252)-MIN($BK$2:$BK$252))*100))</x:f>
      </x:c>
      <x:c r="BM232" s="10">
        <x:f>IF(AB232="","",IF(MAX($AB$2:$AB$252)-MIN($AB$2:$AB$252)=0,"",(AB232-MIN($AB$2:$AB$252))/(MAX($AB$2:$AB$252)-MIN($AB$2:$AB$252))*100))</x:f>
      </x:c>
      <x:c r="BN232" s="10">
        <x:f>IF(X232="","",X232)</x:f>
      </x:c>
      <x:c r="BO232" s="10">
        <x:f>IF(X232="","",100-X232)</x:f>
      </x:c>
      <x:c r="BP232" s="10">
        <x:f>IF((Weights!$C$2*IF(BH232="",0,1)+Weights!$C$3*IF(BJ232="",0,1)+Weights!$C$4*IF(BL232="",0,1))=0,"",(Weights!$C$2*IF(BH232="",0,BH232)+Weights!$C$3*IF(BJ232="",0,BJ232)+Weights!$C$4*IF(BL232="",0,BL232))/(Weights!$C$2*IF(BH232="",0,1)+Weights!$C$3*IF(BJ232="",0,1)+Weights!$C$4*IF(BL232="",0,1)))</x:f>
      </x:c>
      <x:c r="BQ232" s="10">
        <x:f>IF((Weights!$C$5*IF(BA232="",0,1)+Weights!$C$6*IF(AW232="",0,1)+Weights!$C$7*IF(AU232="",0,1))=0,"",(Weights!$C$5*IF(BA232="",0,BA232)+Weights!$C$6*IF(AW232="",0,AW232)+Weights!$C$7*IF(AU232="",0,AU232))/(Weights!$C$5*IF(BA232="",0,1)+Weights!$C$6*IF(AW232="",0,1)+Weights!$C$7*IF(AU232="",0,1)))</x:f>
      </x:c>
      <x:c r="BR232" s="10">
        <x:f>IF((Weights!$C$8*IF(AW232="",0,1)+Weights!$C$9*IF(BC232="",0,1)+Weights!$C$10*IF(BF232="",0,1))=0,"",(Weights!$C$8*IF(AW232="",0,AW232)+Weights!$C$9*IF(BC232="",0,BC232)+Weights!$C$10*IF(BF232="",0,BF232))/(Weights!$C$8*IF(AW232="",0,1)+Weights!$C$9*IF(BC232="",0,1)+Weights!$C$10*IF(BF232="",0,1)))</x:f>
      </x:c>
      <x:c r="BS232" s="10">
        <x:f>IF(Y232="","",Y232)</x:f>
      </x:c>
      <x:c r="BT232" s="10">
        <x:f>IF(AS232="","",AS232)</x:f>
      </x:c>
      <x:c r="BU232" s="10">
        <x:f>IF(AJ232&lt;&gt;"",(0.6*AJ232+0.4*AU232),IF((Weights!$C$11*IF(AU232="",0,1)+Weights!$C$12*IF(BM232="",0,1))=0,"",(Weights!$C$11*IF(AU232="",0,AU232)+Weights!$C$12*IF(BM232="",0,BM232))/(Weights!$C$11*IF(AU232="",0,1)+Weights!$C$12*IF(BM232="",0,1))))</x:f>
      </x:c>
      <x:c r="BV232" s="10">
        <x:f>IF(CG232="",0,CG232)</x:f>
      </x:c>
      <x:c r="BW232" s="10">
        <x:f>IF(AP232="","",AP232)</x:f>
      </x:c>
      <x:c r="BX232" s="10">
        <x:f>IF(AO232="","",AO232)</x:f>
      </x:c>
      <x:c r="BY232" s="10">
        <x:f>IF(AL232="","",AL232)</x:f>
      </x:c>
      <x:c r="BZ232" s="10">
        <x:f>IF(AM232="","",AM232)</x:f>
      </x:c>
      <x:c r="CA232" s="10">
        <x:f>IF(AK232&lt;&gt;"",AK232,AW232)</x:f>
      </x:c>
      <x:c r="CB232" s="10">
        <x:f>IF((Weights!$C$13*IF(BP232="",0,1)+Weights!$C$14*IF(BR232="",0,1)+Weights!$C$15*IF(BQ232="",0,1)+Weights!$C$16*IF(BS232="",0,1)+Weights!$C$17*IF(BU232="",0,1)+Weights!$C$18*IF(BT232="",0,1)+Weights!$C$19*IF(BW232="",0,1)+Weights!$C$20*IF(BZ232="",0,1)+Weights!$C$21*IF(BO232="",0,1)+Weights!$C$22)=0,"",(Weights!$C$13*IF(BP232="",0,BP232)+Weights!$C$14*IF(BR232="",0,BR232)+Weights!$C$15*IF(BQ232="",0,BQ232)+Weights!$C$16*IF(BS232="",0,BS232)+Weights!$C$17*IF(BU232="",0,BU232)+Weights!$C$18*IF(BT232="",0,BT232)+Weights!$C$19*IF(BW232="",0,BW232)+Weights!$C$20*IF(BZ232="",0,BZ232)+Weights!$C$21*IF(BO232="",0,BO232)+Weights!$C$22*BV232)/(Weights!$C$13*IF(BP232="",0,1)+Weights!$C$14*IF(BR232="",0,1)+Weights!$C$15*IF(BQ232="",0,1)+Weights!$C$16*IF(BS232="",0,1)+Weights!$C$17*IF(BU232="",0,1)+Weights!$C$18*IF(BT232="",0,1)+Weights!$C$19*IF(BW232="",0,1)+Weights!$C$20*IF(BZ232="",0,1)+Weights!$C$21*IF(BO232="",0,1)+Weights!$C$22))</x:f>
      </x:c>
      <x:c r="CC232" s="10">
        <x:f>IF((Weights!$C$23*IF(BQ232="",0,1)+Weights!$C$24*IF(BN232="",0,1)+Weights!$C$25*IF(BS232="",0,1)+Weights!$C$26*IF(BY232="",0,1)+Weights!$C$27*IF(BX232="",0,1)+Weights!$C$28*IF(BT232="",0,1)+Weights!$C$29*IF(CA232="",0,1)+Weights!$C$30+Weights!$C$31*IF(BU232="",0,1))=0,"",(Weights!$C$23*IF(BQ232="",0,BQ232)+Weights!$C$24*IF(BN232="",0,BN232)+Weights!$C$25*IF(BS232="",0,BS232)+Weights!$C$26*IF(BY232="",0,BY232)+Weights!$C$27*IF(BX232="",0,BX232)+Weights!$C$28*IF(BT232="",0,BT232)+Weights!$C$29*IF(CA232="",0,CA232)+Weights!$C$30*BV232+Weights!$C$31*IF(BU232="",0,BU232))/(Weights!$C$23*IF(BQ232="",0,1)+Weights!$C$24*IF(BN232="",0,1)+Weights!$C$25*IF(BS232="",0,1)+Weights!$C$26*IF(BY232="",0,1)+Weights!$C$27*IF(BX232="",0,1)+Weights!$C$28*IF(BT232="",0,1)+Weights!$C$29*IF(CA232="",0,1)+Weights!$C$30+Weights!$C$31*IF(BU232="",0,1)))</x:f>
      </x:c>
      <x:c r="CD232" s="10">
        <x:f>IF(AND(CB232="",CC232=""),"",IF(CB232="",CC232,IF(CC232="",CB232,AVERAGE(CB232,CC232))))</x:f>
      </x:c>
      <x:c r="CE232" s="7">
        <x:f>ROUND(100*((IF(BP232&lt;&gt;"",1,0)+IF(BQ232&lt;&gt;"",1,0)+IF(BR232&lt;&gt;"",1,0)+IF(BS232&lt;&gt;"",1,0)+IF(BU232&lt;&gt;"",1,0)+IF(BT232&lt;&gt;"",1,0)+IF(BN232&lt;&gt;"",1,0)+IF(AW232&lt;&gt;"",1,0))/8),0)</x:f>
      </x:c>
      <x:c r="CF232">
        <x:f>IF(V232="","",LOG10(V232+1))</x:f>
      </x:c>
      <x:c r="CG232">
        <x:f>IF(CF232="","",IF(MAX($CF$2:$CF$252)-MIN($CF$2:$CF$252)=0,"",(CF232-MIN($CF$2:$CF$252))/(MAX($CF$2:$CF$252)-MIN($CF$2:$CF$252))*100))</x:f>
      </x:c>
    </x:row>
    <x:row r="233">
      <x:c r="A233" t="inlineStr">
        <x:is>
          <x:t xml:space="preserve">TKM</x:t>
        </x:is>
      </x:c>
      <x:c r="B233" t="inlineStr">
        <x:is>
          <x:t xml:space="preserve">Turkmenistan</x:t>
        </x:is>
      </x:c>
      <x:c r="C233" t="inlineStr">
        <x:is>
          <x:t xml:space="preserve">Europe &amp; Central Asia</x:t>
        </x:is>
      </x:c>
      <x:c r="D233" t="inlineStr">
        <x:is>
          <x:t xml:space="preserve">Upper middle income</x:t>
        </x:is>
      </x:c>
      <x:c r="E233" t="inlineStr">
        <x:is>
          <x:t xml:space="preserve">Asia</x:t>
        </x:is>
      </x:c>
      <x:c r="F233" t="n">
        <x:v>2024</x:v>
      </x:c>
      <x:c r="G233" t="n">
        <x:v>7494498</x:v>
      </x:c>
      <x:c r="H233" t="n">
        <x:v>2020</x:v>
      </x:c>
      <x:c r="I233" t="n">
        <x:v>57000</x:v>
      </x:c>
      <x:c r="J233" t="n">
        <x:v>37050</x:v>
      </x:c>
      <x:c r="K233" t="n">
        <x:v>11400</x:v>
      </x:c>
      <x:c r="L233" t="n">
        <x:v>6840</x:v>
      </x:c>
      <x:c r="M233" t="n">
        <x:v>1999</x:v>
      </x:c>
      <x:c r="N233" s="8" t="n">
        <x:v>111923076.923077</x:v>
      </x:c>
      <x:c r="O233" s="9" t="n">
        <x:v>2.90187475069805</x:v>
      </x:c>
      <x:c r="P233" s="8" t="n">
        <x:v>1963.562753036439</x:v>
      </x:c>
      <x:c r="Q233" t="n">
        <x:v>2024</x:v>
      </x:c>
      <x:c r="R233" s="8" t="n">
        <x:v>51387209872.2994</x:v>
      </x:c>
      <x:c r="S233" t="n">
        <x:v>1</x:v>
      </x:c>
      <x:c r="T233" t="n">
        <x:v>0</x:v>
      </x:c>
      <x:c r="U233" t="inlineStr">
        <x:is>
          <x:t xml:space="preserve">No</x:t>
        </x:is>
      </x:c>
      <x:c r="W233" t="inlineStr">
        <x:is>
          <x:t xml:space="preserve">No</x:t>
        </x:is>
      </x:c>
      <x:c r="X233" t="n">
        <x:v>24.12902645512052</x:v>
      </x:c>
      <x:c r="Y233" t="n">
        <x:v>51.49594220383855</x:v>
      </x:c>
      <x:c r="Z233" t="n">
        <x:v>480809.5218550323</x:v>
      </x:c>
      <x:c r="AA233" t="n">
        <x:v>11.12972342842547</x:v>
      </x:c>
      <x:c r="AB233" s="8" t="n">
        <x:v>17700.44794915307</x:v>
      </x:c>
      <x:c r="AC233" t="n">
        <x:v>44</x:v>
      </x:c>
      <x:c r="AD233" t="n">
        <x:v>0</x:v>
      </x:c>
      <x:c r="AE233" t="n">
        <x:v>0</x:v>
      </x:c>
      <x:c r="AF233" t="n">
        <x:v>2.3</x:v>
      </x:c>
      <x:c r="AG233" t="n">
        <x:v>35</x:v>
      </x:c>
      <x:c r="AH233" t="n">
        <x:v>39</x:v>
      </x:c>
      <x:c r="AR233">
        <x:f>IF(G233="","",LOG10(G233+1))</x:f>
      </x:c>
      <x:c r="AS233" s="10">
        <x:f>IF(AR233="","",IF(MAX($AR$2:$AR$252)-MIN($AR$2:$AR$252)=0,"",(AR233-MIN($AR$2:$AR$252))/(MAX($AR$2:$AR$252)-MIN($AR$2:$AR$252))*100))</x:f>
      </x:c>
      <x:c r="AT233">
        <x:f>IF(R233="","",LOG10(R233+1))</x:f>
      </x:c>
      <x:c r="AU233" s="10">
        <x:f>IF(AT233="","",IF(MAX($AT$2:$AT$252)-MIN($AT$2:$AT$252)=0,"",(AT233-MIN($AT$2:$AT$252))/(MAX($AT$2:$AT$252)-MIN($AT$2:$AT$252))*100))</x:f>
      </x:c>
      <x:c r="AV233">
        <x:f>IF(N233="","",LOG10(N233+1))</x:f>
      </x:c>
      <x:c r="AW233" s="10">
        <x:f>IF(AV233="","",IF(MAX($AV$2:$AV$252)-MIN($AV$2:$AV$252)=0,"",(AV233-MIN($AV$2:$AV$252))/(MAX($AV$2:$AV$252)-MIN($AV$2:$AV$252))*100))</x:f>
      </x:c>
      <x:c r="AX233">
        <x:f>IF(I233="","",LOG10(I233+1))</x:f>
      </x:c>
      <x:c r="AY233" s="10">
        <x:f>IF(AX233="","",IF(MAX($AX$2:$AX$252)-MIN($AX$2:$AX$252)=0,"",(AX233-MIN($AX$2:$AX$252))/(MAX($AX$2:$AX$252)-MIN($AX$2:$AX$252))*100))</x:f>
      </x:c>
      <x:c r="AZ233">
        <x:f>IF(J233="","",LOG10(J233+1))</x:f>
      </x:c>
      <x:c r="BA233" s="10">
        <x:f>IF(AZ233="","",IF(MAX($AZ$2:$AZ$252)-MIN($AZ$2:$AZ$252)=0,"",(AZ233-MIN($AZ$2:$AZ$252))/(MAX($AZ$2:$AZ$252)-MIN($AZ$2:$AZ$252))*100))</x:f>
      </x:c>
      <x:c r="BB233">
        <x:f>IF(K233="","",LOG10(K233+1))</x:f>
      </x:c>
      <x:c r="BC233" s="10">
        <x:f>IF(BB233="","",IF(MAX($BB$2:$BB$252)-MIN($BB$2:$BB$252)=0,"",(BB233-MIN($BB$2:$BB$252))/(MAX($BB$2:$BB$252)-MIN($BB$2:$BB$252))*100))</x:f>
      </x:c>
      <x:c r="BD233">
        <x:f>IF(L233="","",LOG10(L233+1))</x:f>
      </x:c>
      <x:c r="BE233" s="10">
        <x:f>IF(BD233="","",IF(MAX($BD$2:$BD$252)-MIN($BD$2:$BD$252)=0,"",(BD233-MIN($BD$2:$BD$252))/(MAX($BD$2:$BD$252)-MIN($BD$2:$BD$252))*100))</x:f>
      </x:c>
      <x:c r="BF233" s="10">
        <x:f>IF(P233="","",IF(MAX($P$2:$P$252)-MIN($P$2:$P$252)=0,"",(P233-MIN($P$2:$P$252))/(MAX($P$2:$P$252)-MIN($P$2:$P$252))*100))</x:f>
      </x:c>
      <x:c r="BG233">
        <x:f>IF(AF233="","",LOG10(AF233+1))</x:f>
      </x:c>
      <x:c r="BH233" s="10">
        <x:f>IF(BG233="","",IF(MAX($BG$2:$BG$252)-MIN($BG$2:$BG$252)=0,"",(BG233-MIN($BG$2:$BG$252))/(MAX($BG$2:$BG$252)-MIN($BG$2:$BG$252))*100))</x:f>
      </x:c>
      <x:c r="BI233">
        <x:f>IF(AC233="","",LOG10(AC233+1))</x:f>
      </x:c>
      <x:c r="BJ233" s="10">
        <x:f>IF(BI233="","",IF(MAX($BI$2:$BI$252)-MIN($BI$2:$BI$252)=0,"",(BI233-MIN($BI$2:$BI$252))/(MAX($BI$2:$BI$252)-MIN($BI$2:$BI$252))*100))</x:f>
      </x:c>
      <x:c r="BK233">
        <x:f>IF(AD233="","",(AD233*2)+(AE233*1))</x:f>
      </x:c>
      <x:c r="BL233" s="10">
        <x:f>IF(BK233="","",IF(MAX($BK$2:$BK$252)-MIN($BK$2:$BK$252)=0,"",(BK233-MIN($BK$2:$BK$252))/(MAX($BK$2:$BK$252)-MIN($BK$2:$BK$252))*100))</x:f>
      </x:c>
      <x:c r="BM233" s="10">
        <x:f>IF(AB233="","",IF(MAX($AB$2:$AB$252)-MIN($AB$2:$AB$252)=0,"",(AB233-MIN($AB$2:$AB$252))/(MAX($AB$2:$AB$252)-MIN($AB$2:$AB$252))*100))</x:f>
      </x:c>
      <x:c r="BN233" s="10">
        <x:f>IF(X233="","",X233)</x:f>
      </x:c>
      <x:c r="BO233" s="10">
        <x:f>IF(X233="","",100-X233)</x:f>
      </x:c>
      <x:c r="BP233" s="10">
        <x:f>IF((Weights!$C$2*IF(BH233="",0,1)+Weights!$C$3*IF(BJ233="",0,1)+Weights!$C$4*IF(BL233="",0,1))=0,"",(Weights!$C$2*IF(BH233="",0,BH233)+Weights!$C$3*IF(BJ233="",0,BJ233)+Weights!$C$4*IF(BL233="",0,BL233))/(Weights!$C$2*IF(BH233="",0,1)+Weights!$C$3*IF(BJ233="",0,1)+Weights!$C$4*IF(BL233="",0,1)))</x:f>
      </x:c>
      <x:c r="BQ233" s="10">
        <x:f>IF((Weights!$C$5*IF(BA233="",0,1)+Weights!$C$6*IF(AW233="",0,1)+Weights!$C$7*IF(AU233="",0,1))=0,"",(Weights!$C$5*IF(BA233="",0,BA233)+Weights!$C$6*IF(AW233="",0,AW233)+Weights!$C$7*IF(AU233="",0,AU233))/(Weights!$C$5*IF(BA233="",0,1)+Weights!$C$6*IF(AW233="",0,1)+Weights!$C$7*IF(AU233="",0,1)))</x:f>
      </x:c>
      <x:c r="BR233" s="10">
        <x:f>IF((Weights!$C$8*IF(AW233="",0,1)+Weights!$C$9*IF(BC233="",0,1)+Weights!$C$10*IF(BF233="",0,1))=0,"",(Weights!$C$8*IF(AW233="",0,AW233)+Weights!$C$9*IF(BC233="",0,BC233)+Weights!$C$10*IF(BF233="",0,BF233))/(Weights!$C$8*IF(AW233="",0,1)+Weights!$C$9*IF(BC233="",0,1)+Weights!$C$10*IF(BF233="",0,1)))</x:f>
      </x:c>
      <x:c r="BS233" s="10">
        <x:f>IF(Y233="","",Y233)</x:f>
      </x:c>
      <x:c r="BT233" s="10">
        <x:f>IF(AS233="","",AS233)</x:f>
      </x:c>
      <x:c r="BU233" s="10">
        <x:f>IF(AJ233&lt;&gt;"",(0.6*AJ233+0.4*AU233),IF((Weights!$C$11*IF(AU233="",0,1)+Weights!$C$12*IF(BM233="",0,1))=0,"",(Weights!$C$11*IF(AU233="",0,AU233)+Weights!$C$12*IF(BM233="",0,BM233))/(Weights!$C$11*IF(AU233="",0,1)+Weights!$C$12*IF(BM233="",0,1))))</x:f>
      </x:c>
      <x:c r="BV233" s="10">
        <x:f>IF(CG233="",0,CG233)</x:f>
      </x:c>
      <x:c r="BW233" s="10">
        <x:f>IF(AP233="","",AP233)</x:f>
      </x:c>
      <x:c r="BX233" s="10">
        <x:f>IF(AO233="","",AO233)</x:f>
      </x:c>
      <x:c r="BY233" s="10">
        <x:f>IF(AL233="","",AL233)</x:f>
      </x:c>
      <x:c r="BZ233" s="10">
        <x:f>IF(AM233="","",AM233)</x:f>
      </x:c>
      <x:c r="CA233" s="10">
        <x:f>IF(AK233&lt;&gt;"",AK233,AW233)</x:f>
      </x:c>
      <x:c r="CB233" s="10">
        <x:f>IF((Weights!$C$13*IF(BP233="",0,1)+Weights!$C$14*IF(BR233="",0,1)+Weights!$C$15*IF(BQ233="",0,1)+Weights!$C$16*IF(BS233="",0,1)+Weights!$C$17*IF(BU233="",0,1)+Weights!$C$18*IF(BT233="",0,1)+Weights!$C$19*IF(BW233="",0,1)+Weights!$C$20*IF(BZ233="",0,1)+Weights!$C$21*IF(BO233="",0,1)+Weights!$C$22)=0,"",(Weights!$C$13*IF(BP233="",0,BP233)+Weights!$C$14*IF(BR233="",0,BR233)+Weights!$C$15*IF(BQ233="",0,BQ233)+Weights!$C$16*IF(BS233="",0,BS233)+Weights!$C$17*IF(BU233="",0,BU233)+Weights!$C$18*IF(BT233="",0,BT233)+Weights!$C$19*IF(BW233="",0,BW233)+Weights!$C$20*IF(BZ233="",0,BZ233)+Weights!$C$21*IF(BO233="",0,BO233)+Weights!$C$22*BV233)/(Weights!$C$13*IF(BP233="",0,1)+Weights!$C$14*IF(BR233="",0,1)+Weights!$C$15*IF(BQ233="",0,1)+Weights!$C$16*IF(BS233="",0,1)+Weights!$C$17*IF(BU233="",0,1)+Weights!$C$18*IF(BT233="",0,1)+Weights!$C$19*IF(BW233="",0,1)+Weights!$C$20*IF(BZ233="",0,1)+Weights!$C$21*IF(BO233="",0,1)+Weights!$C$22))</x:f>
      </x:c>
      <x:c r="CC233" s="10">
        <x:f>IF((Weights!$C$23*IF(BQ233="",0,1)+Weights!$C$24*IF(BN233="",0,1)+Weights!$C$25*IF(BS233="",0,1)+Weights!$C$26*IF(BY233="",0,1)+Weights!$C$27*IF(BX233="",0,1)+Weights!$C$28*IF(BT233="",0,1)+Weights!$C$29*IF(CA233="",0,1)+Weights!$C$30+Weights!$C$31*IF(BU233="",0,1))=0,"",(Weights!$C$23*IF(BQ233="",0,BQ233)+Weights!$C$24*IF(BN233="",0,BN233)+Weights!$C$25*IF(BS233="",0,BS233)+Weights!$C$26*IF(BY233="",0,BY233)+Weights!$C$27*IF(BX233="",0,BX233)+Weights!$C$28*IF(BT233="",0,BT233)+Weights!$C$29*IF(CA233="",0,CA233)+Weights!$C$30*BV233+Weights!$C$31*IF(BU233="",0,BU233))/(Weights!$C$23*IF(BQ233="",0,1)+Weights!$C$24*IF(BN233="",0,1)+Weights!$C$25*IF(BS233="",0,1)+Weights!$C$26*IF(BY233="",0,1)+Weights!$C$27*IF(BX233="",0,1)+Weights!$C$28*IF(BT233="",0,1)+Weights!$C$29*IF(CA233="",0,1)+Weights!$C$30+Weights!$C$31*IF(BU233="",0,1)))</x:f>
      </x:c>
      <x:c r="CD233" s="10">
        <x:f>IF(AND(CB233="",CC233=""),"",IF(CB233="",CC233,IF(CC233="",CB233,AVERAGE(CB233,CC233))))</x:f>
      </x:c>
      <x:c r="CE233" s="7">
        <x:f>ROUND(100*((IF(BP233&lt;&gt;"",1,0)+IF(BQ233&lt;&gt;"",1,0)+IF(BR233&lt;&gt;"",1,0)+IF(BS233&lt;&gt;"",1,0)+IF(BU233&lt;&gt;"",1,0)+IF(BT233&lt;&gt;"",1,0)+IF(BN233&lt;&gt;"",1,0)+IF(AW233&lt;&gt;"",1,0))/8),0)</x:f>
      </x:c>
      <x:c r="CF233">
        <x:f>IF(V233="","",LOG10(V233+1))</x:f>
      </x:c>
      <x:c r="CG233">
        <x:f>IF(CF233="","",IF(MAX($CF$2:$CF$252)-MIN($CF$2:$CF$252)=0,"",(CF233-MIN($CF$2:$CF$252))/(MAX($CF$2:$CF$252)-MIN($CF$2:$CF$252))*100))</x:f>
      </x:c>
    </x:row>
    <x:row r="234">
      <x:c r="A234" t="inlineStr">
        <x:is>
          <x:t xml:space="preserve">TCA</x:t>
        </x:is>
      </x:c>
      <x:c r="B234" t="inlineStr">
        <x:is>
          <x:t xml:space="preserve">Turks and Caicos Islands</x:t>
        </x:is>
      </x:c>
      <x:c r="C234" t="inlineStr">
        <x:is>
          <x:t xml:space="preserve">Latin America &amp; Caribbean</x:t>
        </x:is>
      </x:c>
      <x:c r="D234" t="inlineStr">
        <x:is>
          <x:t xml:space="preserve">High income</x:t>
        </x:is>
      </x:c>
      <x:c r="F234" t="n">
        <x:v>2024</x:v>
      </x:c>
      <x:c r="G234" t="n">
        <x:v>46535</x:v>
      </x:c>
      <x:c r="N234" s="8" t="n"/>
      <x:c r="O234" s="9" t="n"/>
      <x:c r="P234" s="8" t="n"/>
      <x:c r="Q234" t="n">
        <x:v>2024</x:v>
      </x:c>
      <x:c r="R234" s="8" t="n">
        <x:v>1745378000</x:v>
      </x:c>
      <x:c r="S234" t="n">
        <x:v>0</x:v>
      </x:c>
      <x:c r="T234" t="n">
        <x:v>0</x:v>
      </x:c>
      <x:c r="U234" t="inlineStr">
        <x:is>
          <x:t xml:space="preserve">No</x:t>
        </x:is>
      </x:c>
      <x:c r="W234" t="inlineStr">
        <x:is>
          <x:t xml:space="preserve">No</x:t>
        </x:is>
      </x:c>
      <x:c r="AB234" s="8" t="n"/>
      <x:c r="AR234">
        <x:f>IF(G234="","",LOG10(G234+1))</x:f>
      </x:c>
      <x:c r="AS234" s="10">
        <x:f>IF(AR234="","",IF(MAX($AR$2:$AR$252)-MIN($AR$2:$AR$252)=0,"",(AR234-MIN($AR$2:$AR$252))/(MAX($AR$2:$AR$252)-MIN($AR$2:$AR$252))*100))</x:f>
      </x:c>
      <x:c r="AT234">
        <x:f>IF(R234="","",LOG10(R234+1))</x:f>
      </x:c>
      <x:c r="AU234" s="10">
        <x:f>IF(AT234="","",IF(MAX($AT$2:$AT$252)-MIN($AT$2:$AT$252)=0,"",(AT234-MIN($AT$2:$AT$252))/(MAX($AT$2:$AT$252)-MIN($AT$2:$AT$252))*100))</x:f>
      </x:c>
      <x:c r="AV234">
        <x:f>IF(N234="","",LOG10(N234+1))</x:f>
      </x:c>
      <x:c r="AW234" s="10">
        <x:f>IF(AV234="","",IF(MAX($AV$2:$AV$252)-MIN($AV$2:$AV$252)=0,"",(AV234-MIN($AV$2:$AV$252))/(MAX($AV$2:$AV$252)-MIN($AV$2:$AV$252))*100))</x:f>
      </x:c>
      <x:c r="AX234">
        <x:f>IF(I234="","",LOG10(I234+1))</x:f>
      </x:c>
      <x:c r="AY234" s="10">
        <x:f>IF(AX234="","",IF(MAX($AX$2:$AX$252)-MIN($AX$2:$AX$252)=0,"",(AX234-MIN($AX$2:$AX$252))/(MAX($AX$2:$AX$252)-MIN($AX$2:$AX$252))*100))</x:f>
      </x:c>
      <x:c r="AZ234">
        <x:f>IF(J234="","",LOG10(J234+1))</x:f>
      </x:c>
      <x:c r="BA234" s="10">
        <x:f>IF(AZ234="","",IF(MAX($AZ$2:$AZ$252)-MIN($AZ$2:$AZ$252)=0,"",(AZ234-MIN($AZ$2:$AZ$252))/(MAX($AZ$2:$AZ$252)-MIN($AZ$2:$AZ$252))*100))</x:f>
      </x:c>
      <x:c r="BB234">
        <x:f>IF(K234="","",LOG10(K234+1))</x:f>
      </x:c>
      <x:c r="BC234" s="10">
        <x:f>IF(BB234="","",IF(MAX($BB$2:$BB$252)-MIN($BB$2:$BB$252)=0,"",(BB234-MIN($BB$2:$BB$252))/(MAX($BB$2:$BB$252)-MIN($BB$2:$BB$252))*100))</x:f>
      </x:c>
      <x:c r="BD234">
        <x:f>IF(L234="","",LOG10(L234+1))</x:f>
      </x:c>
      <x:c r="BE234" s="10">
        <x:f>IF(BD234="","",IF(MAX($BD$2:$BD$252)-MIN($BD$2:$BD$252)=0,"",(BD234-MIN($BD$2:$BD$252))/(MAX($BD$2:$BD$252)-MIN($BD$2:$BD$252))*100))</x:f>
      </x:c>
      <x:c r="BF234" s="10">
        <x:f>IF(P234="","",IF(MAX($P$2:$P$252)-MIN($P$2:$P$252)=0,"",(P234-MIN($P$2:$P$252))/(MAX($P$2:$P$252)-MIN($P$2:$P$252))*100))</x:f>
      </x:c>
      <x:c r="BG234">
        <x:f>IF(AF234="","",LOG10(AF234+1))</x:f>
      </x:c>
      <x:c r="BH234" s="10">
        <x:f>IF(BG234="","",IF(MAX($BG$2:$BG$252)-MIN($BG$2:$BG$252)=0,"",(BG234-MIN($BG$2:$BG$252))/(MAX($BG$2:$BG$252)-MIN($BG$2:$BG$252))*100))</x:f>
      </x:c>
      <x:c r="BI234">
        <x:f>IF(AC234="","",LOG10(AC234+1))</x:f>
      </x:c>
      <x:c r="BJ234" s="10">
        <x:f>IF(BI234="","",IF(MAX($BI$2:$BI$252)-MIN($BI$2:$BI$252)=0,"",(BI234-MIN($BI$2:$BI$252))/(MAX($BI$2:$BI$252)-MIN($BI$2:$BI$252))*100))</x:f>
      </x:c>
      <x:c r="BK234">
        <x:f>IF(AD234="","",(AD234*2)+(AE234*1))</x:f>
      </x:c>
      <x:c r="BL234" s="10">
        <x:f>IF(BK234="","",IF(MAX($BK$2:$BK$252)-MIN($BK$2:$BK$252)=0,"",(BK234-MIN($BK$2:$BK$252))/(MAX($BK$2:$BK$252)-MIN($BK$2:$BK$252))*100))</x:f>
      </x:c>
      <x:c r="BM234" s="10">
        <x:f>IF(AB234="","",IF(MAX($AB$2:$AB$252)-MIN($AB$2:$AB$252)=0,"",(AB234-MIN($AB$2:$AB$252))/(MAX($AB$2:$AB$252)-MIN($AB$2:$AB$252))*100))</x:f>
      </x:c>
      <x:c r="BN234" s="10">
        <x:f>IF(X234="","",X234)</x:f>
      </x:c>
      <x:c r="BO234" s="10">
        <x:f>IF(X234="","",100-X234)</x:f>
      </x:c>
      <x:c r="BP234" s="10">
        <x:f>IF((Weights!$C$2*IF(BH234="",0,1)+Weights!$C$3*IF(BJ234="",0,1)+Weights!$C$4*IF(BL234="",0,1))=0,"",(Weights!$C$2*IF(BH234="",0,BH234)+Weights!$C$3*IF(BJ234="",0,BJ234)+Weights!$C$4*IF(BL234="",0,BL234))/(Weights!$C$2*IF(BH234="",0,1)+Weights!$C$3*IF(BJ234="",0,1)+Weights!$C$4*IF(BL234="",0,1)))</x:f>
      </x:c>
      <x:c r="BQ234" s="10">
        <x:f>IF((Weights!$C$5*IF(BA234="",0,1)+Weights!$C$6*IF(AW234="",0,1)+Weights!$C$7*IF(AU234="",0,1))=0,"",(Weights!$C$5*IF(BA234="",0,BA234)+Weights!$C$6*IF(AW234="",0,AW234)+Weights!$C$7*IF(AU234="",0,AU234))/(Weights!$C$5*IF(BA234="",0,1)+Weights!$C$6*IF(AW234="",0,1)+Weights!$C$7*IF(AU234="",0,1)))</x:f>
      </x:c>
      <x:c r="BR234" s="10">
        <x:f>IF((Weights!$C$8*IF(AW234="",0,1)+Weights!$C$9*IF(BC234="",0,1)+Weights!$C$10*IF(BF234="",0,1))=0,"",(Weights!$C$8*IF(AW234="",0,AW234)+Weights!$C$9*IF(BC234="",0,BC234)+Weights!$C$10*IF(BF234="",0,BF234))/(Weights!$C$8*IF(AW234="",0,1)+Weights!$C$9*IF(BC234="",0,1)+Weights!$C$10*IF(BF234="",0,1)))</x:f>
      </x:c>
      <x:c r="BS234" s="10">
        <x:f>IF(Y234="","",Y234)</x:f>
      </x:c>
      <x:c r="BT234" s="10">
        <x:f>IF(AS234="","",AS234)</x:f>
      </x:c>
      <x:c r="BU234" s="10">
        <x:f>IF(AJ234&lt;&gt;"",(0.6*AJ234+0.4*AU234),IF((Weights!$C$11*IF(AU234="",0,1)+Weights!$C$12*IF(BM234="",0,1))=0,"",(Weights!$C$11*IF(AU234="",0,AU234)+Weights!$C$12*IF(BM234="",0,BM234))/(Weights!$C$11*IF(AU234="",0,1)+Weights!$C$12*IF(BM234="",0,1))))</x:f>
      </x:c>
      <x:c r="BV234" s="10">
        <x:f>IF(CG234="",0,CG234)</x:f>
      </x:c>
      <x:c r="BW234" s="10">
        <x:f>IF(AP234="","",AP234)</x:f>
      </x:c>
      <x:c r="BX234" s="10">
        <x:f>IF(AO234="","",AO234)</x:f>
      </x:c>
      <x:c r="BY234" s="10">
        <x:f>IF(AL234="","",AL234)</x:f>
      </x:c>
      <x:c r="BZ234" s="10">
        <x:f>IF(AM234="","",AM234)</x:f>
      </x:c>
      <x:c r="CA234" s="10">
        <x:f>IF(AK234&lt;&gt;"",AK234,AW234)</x:f>
      </x:c>
      <x:c r="CB234" s="10">
        <x:f>IF((Weights!$C$13*IF(BP234="",0,1)+Weights!$C$14*IF(BR234="",0,1)+Weights!$C$15*IF(BQ234="",0,1)+Weights!$C$16*IF(BS234="",0,1)+Weights!$C$17*IF(BU234="",0,1)+Weights!$C$18*IF(BT234="",0,1)+Weights!$C$19*IF(BW234="",0,1)+Weights!$C$20*IF(BZ234="",0,1)+Weights!$C$21*IF(BO234="",0,1)+Weights!$C$22)=0,"",(Weights!$C$13*IF(BP234="",0,BP234)+Weights!$C$14*IF(BR234="",0,BR234)+Weights!$C$15*IF(BQ234="",0,BQ234)+Weights!$C$16*IF(BS234="",0,BS234)+Weights!$C$17*IF(BU234="",0,BU234)+Weights!$C$18*IF(BT234="",0,BT234)+Weights!$C$19*IF(BW234="",0,BW234)+Weights!$C$20*IF(BZ234="",0,BZ234)+Weights!$C$21*IF(BO234="",0,BO234)+Weights!$C$22*BV234)/(Weights!$C$13*IF(BP234="",0,1)+Weights!$C$14*IF(BR234="",0,1)+Weights!$C$15*IF(BQ234="",0,1)+Weights!$C$16*IF(BS234="",0,1)+Weights!$C$17*IF(BU234="",0,1)+Weights!$C$18*IF(BT234="",0,1)+Weights!$C$19*IF(BW234="",0,1)+Weights!$C$20*IF(BZ234="",0,1)+Weights!$C$21*IF(BO234="",0,1)+Weights!$C$22))</x:f>
      </x:c>
      <x:c r="CC234" s="10">
        <x:f>IF((Weights!$C$23*IF(BQ234="",0,1)+Weights!$C$24*IF(BN234="",0,1)+Weights!$C$25*IF(BS234="",0,1)+Weights!$C$26*IF(BY234="",0,1)+Weights!$C$27*IF(BX234="",0,1)+Weights!$C$28*IF(BT234="",0,1)+Weights!$C$29*IF(CA234="",0,1)+Weights!$C$30+Weights!$C$31*IF(BU234="",0,1))=0,"",(Weights!$C$23*IF(BQ234="",0,BQ234)+Weights!$C$24*IF(BN234="",0,BN234)+Weights!$C$25*IF(BS234="",0,BS234)+Weights!$C$26*IF(BY234="",0,BY234)+Weights!$C$27*IF(BX234="",0,BX234)+Weights!$C$28*IF(BT234="",0,BT234)+Weights!$C$29*IF(CA234="",0,CA234)+Weights!$C$30*BV234+Weights!$C$31*IF(BU234="",0,BU234))/(Weights!$C$23*IF(BQ234="",0,1)+Weights!$C$24*IF(BN234="",0,1)+Weights!$C$25*IF(BS234="",0,1)+Weights!$C$26*IF(BY234="",0,1)+Weights!$C$27*IF(BX234="",0,1)+Weights!$C$28*IF(BT234="",0,1)+Weights!$C$29*IF(CA234="",0,1)+Weights!$C$30+Weights!$C$31*IF(BU234="",0,1)))</x:f>
      </x:c>
      <x:c r="CD234" s="10">
        <x:f>IF(AND(CB234="",CC234=""),"",IF(CB234="",CC234,IF(CC234="",CB234,AVERAGE(CB234,CC234))))</x:f>
      </x:c>
      <x:c r="CE234" s="7">
        <x:f>ROUND(100*((IF(BP234&lt;&gt;"",1,0)+IF(BQ234&lt;&gt;"",1,0)+IF(BR234&lt;&gt;"",1,0)+IF(BS234&lt;&gt;"",1,0)+IF(BU234&lt;&gt;"",1,0)+IF(BT234&lt;&gt;"",1,0)+IF(BN234&lt;&gt;"",1,0)+IF(AW234&lt;&gt;"",1,0))/8),0)</x:f>
      </x:c>
      <x:c r="CF234">
        <x:f>IF(V234="","",LOG10(V234+1))</x:f>
      </x:c>
      <x:c r="CG234">
        <x:f>IF(CF234="","",IF(MAX($CF$2:$CF$252)-MIN($CF$2:$CF$252)=0,"",(CF234-MIN($CF$2:$CF$252))/(MAX($CF$2:$CF$252)-MIN($CF$2:$CF$252))*100))</x:f>
      </x:c>
    </x:row>
    <x:row r="235">
      <x:c r="A235" t="inlineStr">
        <x:is>
          <x:t xml:space="preserve">TUV</x:t>
        </x:is>
      </x:c>
      <x:c r="B235" t="inlineStr">
        <x:is>
          <x:t xml:space="preserve">Tuvalu</x:t>
        </x:is>
      </x:c>
      <x:c r="C235" t="inlineStr">
        <x:is>
          <x:t xml:space="preserve">East Asia &amp; Pacific</x:t>
        </x:is>
      </x:c>
      <x:c r="D235" t="inlineStr">
        <x:is>
          <x:t xml:space="preserve">Upper middle income</x:t>
        </x:is>
      </x:c>
      <x:c r="F235" t="n">
        <x:v>2024</x:v>
      </x:c>
      <x:c r="G235" t="n">
        <x:v>9646</x:v>
      </x:c>
      <x:c r="N235" s="8" t="n"/>
      <x:c r="O235" s="9" t="n"/>
      <x:c r="P235" s="8" t="n"/>
      <x:c r="Q235" t="n">
        <x:v>2023</x:v>
      </x:c>
      <x:c r="R235" s="8" t="n">
        <x:v>62280311.5852172</x:v>
      </x:c>
      <x:c r="S235" t="n">
        <x:v>0</x:v>
      </x:c>
      <x:c r="T235" t="n">
        <x:v>0</x:v>
      </x:c>
      <x:c r="U235" t="inlineStr">
        <x:is>
          <x:t xml:space="preserve">No</x:t>
        </x:is>
      </x:c>
      <x:c r="W235" t="inlineStr">
        <x:is>
          <x:t xml:space="preserve">No</x:t>
        </x:is>
      </x:c>
      <x:c r="AB235" s="8" t="n"/>
      <x:c r="AR235">
        <x:f>IF(G235="","",LOG10(G235+1))</x:f>
      </x:c>
      <x:c r="AS235" s="10">
        <x:f>IF(AR235="","",IF(MAX($AR$2:$AR$252)-MIN($AR$2:$AR$252)=0,"",(AR235-MIN($AR$2:$AR$252))/(MAX($AR$2:$AR$252)-MIN($AR$2:$AR$252))*100))</x:f>
      </x:c>
      <x:c r="AT235">
        <x:f>IF(R235="","",LOG10(R235+1))</x:f>
      </x:c>
      <x:c r="AU235" s="10">
        <x:f>IF(AT235="","",IF(MAX($AT$2:$AT$252)-MIN($AT$2:$AT$252)=0,"",(AT235-MIN($AT$2:$AT$252))/(MAX($AT$2:$AT$252)-MIN($AT$2:$AT$252))*100))</x:f>
      </x:c>
      <x:c r="AV235">
        <x:f>IF(N235="","",LOG10(N235+1))</x:f>
      </x:c>
      <x:c r="AW235" s="10">
        <x:f>IF(AV235="","",IF(MAX($AV$2:$AV$252)-MIN($AV$2:$AV$252)=0,"",(AV235-MIN($AV$2:$AV$252))/(MAX($AV$2:$AV$252)-MIN($AV$2:$AV$252))*100))</x:f>
      </x:c>
      <x:c r="AX235">
        <x:f>IF(I235="","",LOG10(I235+1))</x:f>
      </x:c>
      <x:c r="AY235" s="10">
        <x:f>IF(AX235="","",IF(MAX($AX$2:$AX$252)-MIN($AX$2:$AX$252)=0,"",(AX235-MIN($AX$2:$AX$252))/(MAX($AX$2:$AX$252)-MIN($AX$2:$AX$252))*100))</x:f>
      </x:c>
      <x:c r="AZ235">
        <x:f>IF(J235="","",LOG10(J235+1))</x:f>
      </x:c>
      <x:c r="BA235" s="10">
        <x:f>IF(AZ235="","",IF(MAX($AZ$2:$AZ$252)-MIN($AZ$2:$AZ$252)=0,"",(AZ235-MIN($AZ$2:$AZ$252))/(MAX($AZ$2:$AZ$252)-MIN($AZ$2:$AZ$252))*100))</x:f>
      </x:c>
      <x:c r="BB235">
        <x:f>IF(K235="","",LOG10(K235+1))</x:f>
      </x:c>
      <x:c r="BC235" s="10">
        <x:f>IF(BB235="","",IF(MAX($BB$2:$BB$252)-MIN($BB$2:$BB$252)=0,"",(BB235-MIN($BB$2:$BB$252))/(MAX($BB$2:$BB$252)-MIN($BB$2:$BB$252))*100))</x:f>
      </x:c>
      <x:c r="BD235">
        <x:f>IF(L235="","",LOG10(L235+1))</x:f>
      </x:c>
      <x:c r="BE235" s="10">
        <x:f>IF(BD235="","",IF(MAX($BD$2:$BD$252)-MIN($BD$2:$BD$252)=0,"",(BD235-MIN($BD$2:$BD$252))/(MAX($BD$2:$BD$252)-MIN($BD$2:$BD$252))*100))</x:f>
      </x:c>
      <x:c r="BF235" s="10">
        <x:f>IF(P235="","",IF(MAX($P$2:$P$252)-MIN($P$2:$P$252)=0,"",(P235-MIN($P$2:$P$252))/(MAX($P$2:$P$252)-MIN($P$2:$P$252))*100))</x:f>
      </x:c>
      <x:c r="BG235">
        <x:f>IF(AF235="","",LOG10(AF235+1))</x:f>
      </x:c>
      <x:c r="BH235" s="10">
        <x:f>IF(BG235="","",IF(MAX($BG$2:$BG$252)-MIN($BG$2:$BG$252)=0,"",(BG235-MIN($BG$2:$BG$252))/(MAX($BG$2:$BG$252)-MIN($BG$2:$BG$252))*100))</x:f>
      </x:c>
      <x:c r="BI235">
        <x:f>IF(AC235="","",LOG10(AC235+1))</x:f>
      </x:c>
      <x:c r="BJ235" s="10">
        <x:f>IF(BI235="","",IF(MAX($BI$2:$BI$252)-MIN($BI$2:$BI$252)=0,"",(BI235-MIN($BI$2:$BI$252))/(MAX($BI$2:$BI$252)-MIN($BI$2:$BI$252))*100))</x:f>
      </x:c>
      <x:c r="BK235">
        <x:f>IF(AD235="","",(AD235*2)+(AE235*1))</x:f>
      </x:c>
      <x:c r="BL235" s="10">
        <x:f>IF(BK235="","",IF(MAX($BK$2:$BK$252)-MIN($BK$2:$BK$252)=0,"",(BK235-MIN($BK$2:$BK$252))/(MAX($BK$2:$BK$252)-MIN($BK$2:$BK$252))*100))</x:f>
      </x:c>
      <x:c r="BM235" s="10">
        <x:f>IF(AB235="","",IF(MAX($AB$2:$AB$252)-MIN($AB$2:$AB$252)=0,"",(AB235-MIN($AB$2:$AB$252))/(MAX($AB$2:$AB$252)-MIN($AB$2:$AB$252))*100))</x:f>
      </x:c>
      <x:c r="BN235" s="10">
        <x:f>IF(X235="","",X235)</x:f>
      </x:c>
      <x:c r="BO235" s="10">
        <x:f>IF(X235="","",100-X235)</x:f>
      </x:c>
      <x:c r="BP235" s="10">
        <x:f>IF((Weights!$C$2*IF(BH235="",0,1)+Weights!$C$3*IF(BJ235="",0,1)+Weights!$C$4*IF(BL235="",0,1))=0,"",(Weights!$C$2*IF(BH235="",0,BH235)+Weights!$C$3*IF(BJ235="",0,BJ235)+Weights!$C$4*IF(BL235="",0,BL235))/(Weights!$C$2*IF(BH235="",0,1)+Weights!$C$3*IF(BJ235="",0,1)+Weights!$C$4*IF(BL235="",0,1)))</x:f>
      </x:c>
      <x:c r="BQ235" s="10">
        <x:f>IF((Weights!$C$5*IF(BA235="",0,1)+Weights!$C$6*IF(AW235="",0,1)+Weights!$C$7*IF(AU235="",0,1))=0,"",(Weights!$C$5*IF(BA235="",0,BA235)+Weights!$C$6*IF(AW235="",0,AW235)+Weights!$C$7*IF(AU235="",0,AU235))/(Weights!$C$5*IF(BA235="",0,1)+Weights!$C$6*IF(AW235="",0,1)+Weights!$C$7*IF(AU235="",0,1)))</x:f>
      </x:c>
      <x:c r="BR235" s="10">
        <x:f>IF((Weights!$C$8*IF(AW235="",0,1)+Weights!$C$9*IF(BC235="",0,1)+Weights!$C$10*IF(BF235="",0,1))=0,"",(Weights!$C$8*IF(AW235="",0,AW235)+Weights!$C$9*IF(BC235="",0,BC235)+Weights!$C$10*IF(BF235="",0,BF235))/(Weights!$C$8*IF(AW235="",0,1)+Weights!$C$9*IF(BC235="",0,1)+Weights!$C$10*IF(BF235="",0,1)))</x:f>
      </x:c>
      <x:c r="BS235" s="10">
        <x:f>IF(Y235="","",Y235)</x:f>
      </x:c>
      <x:c r="BT235" s="10">
        <x:f>IF(AS235="","",AS235)</x:f>
      </x:c>
      <x:c r="BU235" s="10">
        <x:f>IF(AJ235&lt;&gt;"",(0.6*AJ235+0.4*AU235),IF((Weights!$C$11*IF(AU235="",0,1)+Weights!$C$12*IF(BM235="",0,1))=0,"",(Weights!$C$11*IF(AU235="",0,AU235)+Weights!$C$12*IF(BM235="",0,BM235))/(Weights!$C$11*IF(AU235="",0,1)+Weights!$C$12*IF(BM235="",0,1))))</x:f>
      </x:c>
      <x:c r="BV235" s="10">
        <x:f>IF(CG235="",0,CG235)</x:f>
      </x:c>
      <x:c r="BW235" s="10">
        <x:f>IF(AP235="","",AP235)</x:f>
      </x:c>
      <x:c r="BX235" s="10">
        <x:f>IF(AO235="","",AO235)</x:f>
      </x:c>
      <x:c r="BY235" s="10">
        <x:f>IF(AL235="","",AL235)</x:f>
      </x:c>
      <x:c r="BZ235" s="10">
        <x:f>IF(AM235="","",AM235)</x:f>
      </x:c>
      <x:c r="CA235" s="10">
        <x:f>IF(AK235&lt;&gt;"",AK235,AW235)</x:f>
      </x:c>
      <x:c r="CB235" s="10">
        <x:f>IF((Weights!$C$13*IF(BP235="",0,1)+Weights!$C$14*IF(BR235="",0,1)+Weights!$C$15*IF(BQ235="",0,1)+Weights!$C$16*IF(BS235="",0,1)+Weights!$C$17*IF(BU235="",0,1)+Weights!$C$18*IF(BT235="",0,1)+Weights!$C$19*IF(BW235="",0,1)+Weights!$C$20*IF(BZ235="",0,1)+Weights!$C$21*IF(BO235="",0,1)+Weights!$C$22)=0,"",(Weights!$C$13*IF(BP235="",0,BP235)+Weights!$C$14*IF(BR235="",0,BR235)+Weights!$C$15*IF(BQ235="",0,BQ235)+Weights!$C$16*IF(BS235="",0,BS235)+Weights!$C$17*IF(BU235="",0,BU235)+Weights!$C$18*IF(BT235="",0,BT235)+Weights!$C$19*IF(BW235="",0,BW235)+Weights!$C$20*IF(BZ235="",0,BZ235)+Weights!$C$21*IF(BO235="",0,BO235)+Weights!$C$22*BV235)/(Weights!$C$13*IF(BP235="",0,1)+Weights!$C$14*IF(BR235="",0,1)+Weights!$C$15*IF(BQ235="",0,1)+Weights!$C$16*IF(BS235="",0,1)+Weights!$C$17*IF(BU235="",0,1)+Weights!$C$18*IF(BT235="",0,1)+Weights!$C$19*IF(BW235="",0,1)+Weights!$C$20*IF(BZ235="",0,1)+Weights!$C$21*IF(BO235="",0,1)+Weights!$C$22))</x:f>
      </x:c>
      <x:c r="CC235" s="10">
        <x:f>IF((Weights!$C$23*IF(BQ235="",0,1)+Weights!$C$24*IF(BN235="",0,1)+Weights!$C$25*IF(BS235="",0,1)+Weights!$C$26*IF(BY235="",0,1)+Weights!$C$27*IF(BX235="",0,1)+Weights!$C$28*IF(BT235="",0,1)+Weights!$C$29*IF(CA235="",0,1)+Weights!$C$30+Weights!$C$31*IF(BU235="",0,1))=0,"",(Weights!$C$23*IF(BQ235="",0,BQ235)+Weights!$C$24*IF(BN235="",0,BN235)+Weights!$C$25*IF(BS235="",0,BS235)+Weights!$C$26*IF(BY235="",0,BY235)+Weights!$C$27*IF(BX235="",0,BX235)+Weights!$C$28*IF(BT235="",0,BT235)+Weights!$C$29*IF(CA235="",0,CA235)+Weights!$C$30*BV235+Weights!$C$31*IF(BU235="",0,BU235))/(Weights!$C$23*IF(BQ235="",0,1)+Weights!$C$24*IF(BN235="",0,1)+Weights!$C$25*IF(BS235="",0,1)+Weights!$C$26*IF(BY235="",0,1)+Weights!$C$27*IF(BX235="",0,1)+Weights!$C$28*IF(BT235="",0,1)+Weights!$C$29*IF(CA235="",0,1)+Weights!$C$30+Weights!$C$31*IF(BU235="",0,1)))</x:f>
      </x:c>
      <x:c r="CD235" s="10">
        <x:f>IF(AND(CB235="",CC235=""),"",IF(CB235="",CC235,IF(CC235="",CB235,AVERAGE(CB235,CC235))))</x:f>
      </x:c>
      <x:c r="CE235" s="7">
        <x:f>ROUND(100*((IF(BP235&lt;&gt;"",1,0)+IF(BQ235&lt;&gt;"",1,0)+IF(BR235&lt;&gt;"",1,0)+IF(BS235&lt;&gt;"",1,0)+IF(BU235&lt;&gt;"",1,0)+IF(BT235&lt;&gt;"",1,0)+IF(BN235&lt;&gt;"",1,0)+IF(AW235&lt;&gt;"",1,0))/8),0)</x:f>
      </x:c>
      <x:c r="CF235">
        <x:f>IF(V235="","",LOG10(V235+1))</x:f>
      </x:c>
      <x:c r="CG235">
        <x:f>IF(CF235="","",IF(MAX($CF$2:$CF$252)-MIN($CF$2:$CF$252)=0,"",(CF235-MIN($CF$2:$CF$252))/(MAX($CF$2:$CF$252)-MIN($CF$2:$CF$252))*100))</x:f>
      </x:c>
    </x:row>
    <x:row r="236">
      <x:c r="A236" t="inlineStr">
        <x:is>
          <x:t xml:space="preserve">UKR</x:t>
        </x:is>
      </x:c>
      <x:c r="B236" t="inlineStr">
        <x:is>
          <x:t xml:space="preserve">Ukraine</x:t>
        </x:is>
      </x:c>
      <x:c r="C236" t="inlineStr">
        <x:is>
          <x:t xml:space="preserve">Europe &amp; Central Asia</x:t>
        </x:is>
      </x:c>
      <x:c r="D236" t="inlineStr">
        <x:is>
          <x:t xml:space="preserve">Upper middle income</x:t>
        </x:is>
      </x:c>
      <x:c r="E236" t="inlineStr">
        <x:is>
          <x:t xml:space="preserve">Europe</x:t>
        </x:is>
      </x:c>
      <x:c r="F236" t="n">
        <x:v>2024</x:v>
      </x:c>
      <x:c r="G236" t="n">
        <x:v>37860221</x:v>
      </x:c>
      <x:c r="H236" t="n">
        <x:v>2020</x:v>
      </x:c>
      <x:c r="I236" t="n">
        <x:v>298000</x:v>
      </x:c>
      <x:c r="J236" t="n">
        <x:v>193700</x:v>
      </x:c>
      <x:c r="K236" t="n">
        <x:v>59600</x:v>
      </x:c>
      <x:c r="L236" t="n">
        <x:v>35760</x:v>
      </x:c>
      <x:c r="M236" t="n">
        <x:v>2024</x:v>
      </x:c>
      <x:c r="N236" s="8" t="n">
        <x:v>64704990025.4782</x:v>
      </x:c>
      <x:c r="O236" s="9" t="n">
        <x:v>34.4815297701892</x:v>
      </x:c>
      <x:c r="P236" s="8" t="n">
        <x:v>217130.8390116718</x:v>
      </x:c>
      <x:c r="Q236" t="n">
        <x:v>2024</x:v>
      </x:c>
      <x:c r="R236" s="8" t="n">
        <x:v>190741262414.705</x:v>
      </x:c>
      <x:c r="S236" t="n">
        <x:v>3</x:v>
      </x:c>
      <x:c r="T236" t="n">
        <x:v>0</x:v>
      </x:c>
      <x:c r="U236" t="inlineStr">
        <x:is>
          <x:t xml:space="preserve">No</x:t>
        </x:is>
      </x:c>
      <x:c r="W236" t="inlineStr">
        <x:is>
          <x:t xml:space="preserve">No</x:t>
        </x:is>
      </x:c>
      <x:c r="X236" t="n">
        <x:v>21.51303834902002</x:v>
      </x:c>
      <x:c r="Y236" t="n">
        <x:v>51.55268352474084</x:v>
      </x:c>
      <x:c r="Z236" t="n">
        <x:v>572548.9837434915</x:v>
      </x:c>
      <x:c r="AA236" t="n">
        <x:v>76.90848337917527</x:v>
      </x:c>
      <x:c r="AB236" s="8" t="n">
        <x:v>8007.47170235351</x:v>
      </x:c>
      <x:c r="AC236" t="n">
        <x:v>104</x:v>
      </x:c>
      <x:c r="AD236" t="n">
        <x:v>0</x:v>
      </x:c>
      <x:c r="AE236" t="n">
        <x:v>0</x:v>
      </x:c>
      <x:c r="AF236" t="n">
        <x:v>8.6</x:v>
      </x:c>
      <x:c r="AG236" t="n">
        <x:v>21</x:v>
      </x:c>
      <x:c r="AH236" t="n">
        <x:v>37</x:v>
      </x:c>
      <x:c r="AR236">
        <x:f>IF(G236="","",LOG10(G236+1))</x:f>
      </x:c>
      <x:c r="AS236" s="10">
        <x:f>IF(AR236="","",IF(MAX($AR$2:$AR$252)-MIN($AR$2:$AR$252)=0,"",(AR236-MIN($AR$2:$AR$252))/(MAX($AR$2:$AR$252)-MIN($AR$2:$AR$252))*100))</x:f>
      </x:c>
      <x:c r="AT236">
        <x:f>IF(R236="","",LOG10(R236+1))</x:f>
      </x:c>
      <x:c r="AU236" s="10">
        <x:f>IF(AT236="","",IF(MAX($AT$2:$AT$252)-MIN($AT$2:$AT$252)=0,"",(AT236-MIN($AT$2:$AT$252))/(MAX($AT$2:$AT$252)-MIN($AT$2:$AT$252))*100))</x:f>
      </x:c>
      <x:c r="AV236">
        <x:f>IF(N236="","",LOG10(N236+1))</x:f>
      </x:c>
      <x:c r="AW236" s="10">
        <x:f>IF(AV236="","",IF(MAX($AV$2:$AV$252)-MIN($AV$2:$AV$252)=0,"",(AV236-MIN($AV$2:$AV$252))/(MAX($AV$2:$AV$252)-MIN($AV$2:$AV$252))*100))</x:f>
      </x:c>
      <x:c r="AX236">
        <x:f>IF(I236="","",LOG10(I236+1))</x:f>
      </x:c>
      <x:c r="AY236" s="10">
        <x:f>IF(AX236="","",IF(MAX($AX$2:$AX$252)-MIN($AX$2:$AX$252)=0,"",(AX236-MIN($AX$2:$AX$252))/(MAX($AX$2:$AX$252)-MIN($AX$2:$AX$252))*100))</x:f>
      </x:c>
      <x:c r="AZ236">
        <x:f>IF(J236="","",LOG10(J236+1))</x:f>
      </x:c>
      <x:c r="BA236" s="10">
        <x:f>IF(AZ236="","",IF(MAX($AZ$2:$AZ$252)-MIN($AZ$2:$AZ$252)=0,"",(AZ236-MIN($AZ$2:$AZ$252))/(MAX($AZ$2:$AZ$252)-MIN($AZ$2:$AZ$252))*100))</x:f>
      </x:c>
      <x:c r="BB236">
        <x:f>IF(K236="","",LOG10(K236+1))</x:f>
      </x:c>
      <x:c r="BC236" s="10">
        <x:f>IF(BB236="","",IF(MAX($BB$2:$BB$252)-MIN($BB$2:$BB$252)=0,"",(BB236-MIN($BB$2:$BB$252))/(MAX($BB$2:$BB$252)-MIN($BB$2:$BB$252))*100))</x:f>
      </x:c>
      <x:c r="BD236">
        <x:f>IF(L236="","",LOG10(L236+1))</x:f>
      </x:c>
      <x:c r="BE236" s="10">
        <x:f>IF(BD236="","",IF(MAX($BD$2:$BD$252)-MIN($BD$2:$BD$252)=0,"",(BD236-MIN($BD$2:$BD$252))/(MAX($BD$2:$BD$252)-MIN($BD$2:$BD$252))*100))</x:f>
      </x:c>
      <x:c r="BF236" s="10">
        <x:f>IF(P236="","",IF(MAX($P$2:$P$252)-MIN($P$2:$P$252)=0,"",(P236-MIN($P$2:$P$252))/(MAX($P$2:$P$252)-MIN($P$2:$P$252))*100))</x:f>
      </x:c>
      <x:c r="BG236">
        <x:f>IF(AF236="","",LOG10(AF236+1))</x:f>
      </x:c>
      <x:c r="BH236" s="10">
        <x:f>IF(BG236="","",IF(MAX($BG$2:$BG$252)-MIN($BG$2:$BG$252)=0,"",(BG236-MIN($BG$2:$BG$252))/(MAX($BG$2:$BG$252)-MIN($BG$2:$BG$252))*100))</x:f>
      </x:c>
      <x:c r="BI236">
        <x:f>IF(AC236="","",LOG10(AC236+1))</x:f>
      </x:c>
      <x:c r="BJ236" s="10">
        <x:f>IF(BI236="","",IF(MAX($BI$2:$BI$252)-MIN($BI$2:$BI$252)=0,"",(BI236-MIN($BI$2:$BI$252))/(MAX($BI$2:$BI$252)-MIN($BI$2:$BI$252))*100))</x:f>
      </x:c>
      <x:c r="BK236">
        <x:f>IF(AD236="","",(AD236*2)+(AE236*1))</x:f>
      </x:c>
      <x:c r="BL236" s="10">
        <x:f>IF(BK236="","",IF(MAX($BK$2:$BK$252)-MIN($BK$2:$BK$252)=0,"",(BK236-MIN($BK$2:$BK$252))/(MAX($BK$2:$BK$252)-MIN($BK$2:$BK$252))*100))</x:f>
      </x:c>
      <x:c r="BM236" s="10">
        <x:f>IF(AB236="","",IF(MAX($AB$2:$AB$252)-MIN($AB$2:$AB$252)=0,"",(AB236-MIN($AB$2:$AB$252))/(MAX($AB$2:$AB$252)-MIN($AB$2:$AB$252))*100))</x:f>
      </x:c>
      <x:c r="BN236" s="10">
        <x:f>IF(X236="","",X236)</x:f>
      </x:c>
      <x:c r="BO236" s="10">
        <x:f>IF(X236="","",100-X236)</x:f>
      </x:c>
      <x:c r="BP236" s="10">
        <x:f>IF((Weights!$C$2*IF(BH236="",0,1)+Weights!$C$3*IF(BJ236="",0,1)+Weights!$C$4*IF(BL236="",0,1))=0,"",(Weights!$C$2*IF(BH236="",0,BH236)+Weights!$C$3*IF(BJ236="",0,BJ236)+Weights!$C$4*IF(BL236="",0,BL236))/(Weights!$C$2*IF(BH236="",0,1)+Weights!$C$3*IF(BJ236="",0,1)+Weights!$C$4*IF(BL236="",0,1)))</x:f>
      </x:c>
      <x:c r="BQ236" s="10">
        <x:f>IF((Weights!$C$5*IF(BA236="",0,1)+Weights!$C$6*IF(AW236="",0,1)+Weights!$C$7*IF(AU236="",0,1))=0,"",(Weights!$C$5*IF(BA236="",0,BA236)+Weights!$C$6*IF(AW236="",0,AW236)+Weights!$C$7*IF(AU236="",0,AU236))/(Weights!$C$5*IF(BA236="",0,1)+Weights!$C$6*IF(AW236="",0,1)+Weights!$C$7*IF(AU236="",0,1)))</x:f>
      </x:c>
      <x:c r="BR236" s="10">
        <x:f>IF((Weights!$C$8*IF(AW236="",0,1)+Weights!$C$9*IF(BC236="",0,1)+Weights!$C$10*IF(BF236="",0,1))=0,"",(Weights!$C$8*IF(AW236="",0,AW236)+Weights!$C$9*IF(BC236="",0,BC236)+Weights!$C$10*IF(BF236="",0,BF236))/(Weights!$C$8*IF(AW236="",0,1)+Weights!$C$9*IF(BC236="",0,1)+Weights!$C$10*IF(BF236="",0,1)))</x:f>
      </x:c>
      <x:c r="BS236" s="10">
        <x:f>IF(Y236="","",Y236)</x:f>
      </x:c>
      <x:c r="BT236" s="10">
        <x:f>IF(AS236="","",AS236)</x:f>
      </x:c>
      <x:c r="BU236" s="10">
        <x:f>IF(AJ236&lt;&gt;"",(0.6*AJ236+0.4*AU236),IF((Weights!$C$11*IF(AU236="",0,1)+Weights!$C$12*IF(BM236="",0,1))=0,"",(Weights!$C$11*IF(AU236="",0,AU236)+Weights!$C$12*IF(BM236="",0,BM236))/(Weights!$C$11*IF(AU236="",0,1)+Weights!$C$12*IF(BM236="",0,1))))</x:f>
      </x:c>
      <x:c r="BV236" s="10">
        <x:f>IF(CG236="",0,CG236)</x:f>
      </x:c>
      <x:c r="BW236" s="10">
        <x:f>IF(AP236="","",AP236)</x:f>
      </x:c>
      <x:c r="BX236" s="10">
        <x:f>IF(AO236="","",AO236)</x:f>
      </x:c>
      <x:c r="BY236" s="10">
        <x:f>IF(AL236="","",AL236)</x:f>
      </x:c>
      <x:c r="BZ236" s="10">
        <x:f>IF(AM236="","",AM236)</x:f>
      </x:c>
      <x:c r="CA236" s="10">
        <x:f>IF(AK236&lt;&gt;"",AK236,AW236)</x:f>
      </x:c>
      <x:c r="CB236" s="10">
        <x:f>IF((Weights!$C$13*IF(BP236="",0,1)+Weights!$C$14*IF(BR236="",0,1)+Weights!$C$15*IF(BQ236="",0,1)+Weights!$C$16*IF(BS236="",0,1)+Weights!$C$17*IF(BU236="",0,1)+Weights!$C$18*IF(BT236="",0,1)+Weights!$C$19*IF(BW236="",0,1)+Weights!$C$20*IF(BZ236="",0,1)+Weights!$C$21*IF(BO236="",0,1)+Weights!$C$22)=0,"",(Weights!$C$13*IF(BP236="",0,BP236)+Weights!$C$14*IF(BR236="",0,BR236)+Weights!$C$15*IF(BQ236="",0,BQ236)+Weights!$C$16*IF(BS236="",0,BS236)+Weights!$C$17*IF(BU236="",0,BU236)+Weights!$C$18*IF(BT236="",0,BT236)+Weights!$C$19*IF(BW236="",0,BW236)+Weights!$C$20*IF(BZ236="",0,BZ236)+Weights!$C$21*IF(BO236="",0,BO236)+Weights!$C$22*BV236)/(Weights!$C$13*IF(BP236="",0,1)+Weights!$C$14*IF(BR236="",0,1)+Weights!$C$15*IF(BQ236="",0,1)+Weights!$C$16*IF(BS236="",0,1)+Weights!$C$17*IF(BU236="",0,1)+Weights!$C$18*IF(BT236="",0,1)+Weights!$C$19*IF(BW236="",0,1)+Weights!$C$20*IF(BZ236="",0,1)+Weights!$C$21*IF(BO236="",0,1)+Weights!$C$22))</x:f>
      </x:c>
      <x:c r="CC236" s="10">
        <x:f>IF((Weights!$C$23*IF(BQ236="",0,1)+Weights!$C$24*IF(BN236="",0,1)+Weights!$C$25*IF(BS236="",0,1)+Weights!$C$26*IF(BY236="",0,1)+Weights!$C$27*IF(BX236="",0,1)+Weights!$C$28*IF(BT236="",0,1)+Weights!$C$29*IF(CA236="",0,1)+Weights!$C$30+Weights!$C$31*IF(BU236="",0,1))=0,"",(Weights!$C$23*IF(BQ236="",0,BQ236)+Weights!$C$24*IF(BN236="",0,BN236)+Weights!$C$25*IF(BS236="",0,BS236)+Weights!$C$26*IF(BY236="",0,BY236)+Weights!$C$27*IF(BX236="",0,BX236)+Weights!$C$28*IF(BT236="",0,BT236)+Weights!$C$29*IF(CA236="",0,CA236)+Weights!$C$30*BV236+Weights!$C$31*IF(BU236="",0,BU236))/(Weights!$C$23*IF(BQ236="",0,1)+Weights!$C$24*IF(BN236="",0,1)+Weights!$C$25*IF(BS236="",0,1)+Weights!$C$26*IF(BY236="",0,1)+Weights!$C$27*IF(BX236="",0,1)+Weights!$C$28*IF(BT236="",0,1)+Weights!$C$29*IF(CA236="",0,1)+Weights!$C$30+Weights!$C$31*IF(BU236="",0,1)))</x:f>
      </x:c>
      <x:c r="CD236" s="10">
        <x:f>IF(AND(CB236="",CC236=""),"",IF(CB236="",CC236,IF(CC236="",CB236,AVERAGE(CB236,CC236))))</x:f>
      </x:c>
      <x:c r="CE236" s="7">
        <x:f>ROUND(100*((IF(BP236&lt;&gt;"",1,0)+IF(BQ236&lt;&gt;"",1,0)+IF(BR236&lt;&gt;"",1,0)+IF(BS236&lt;&gt;"",1,0)+IF(BU236&lt;&gt;"",1,0)+IF(BT236&lt;&gt;"",1,0)+IF(BN236&lt;&gt;"",1,0)+IF(AW236&lt;&gt;"",1,0))/8),0)</x:f>
      </x:c>
      <x:c r="CF236">
        <x:f>IF(V236="","",LOG10(V236+1))</x:f>
      </x:c>
      <x:c r="CG236">
        <x:f>IF(CF236="","",IF(MAX($CF$2:$CF$252)-MIN($CF$2:$CF$252)=0,"",(CF236-MIN($CF$2:$CF$252))/(MAX($CF$2:$CF$252)-MIN($CF$2:$CF$252))*100))</x:f>
      </x:c>
    </x:row>
    <x:row r="237">
      <x:c r="A237" t="inlineStr">
        <x:is>
          <x:t xml:space="preserve">COM</x:t>
        </x:is>
      </x:c>
      <x:c r="B237" t="inlineStr">
        <x:is>
          <x:t xml:space="preserve">Comoros</x:t>
        </x:is>
      </x:c>
      <x:c r="C237" t="inlineStr">
        <x:is>
          <x:t xml:space="preserve">Sub-Saharan Africa</x:t>
        </x:is>
      </x:c>
      <x:c r="D237" t="inlineStr">
        <x:is>
          <x:t xml:space="preserve">Lower middle income</x:t>
        </x:is>
      </x:c>
      <x:c r="F237" t="n">
        <x:v>2024</x:v>
      </x:c>
      <x:c r="G237" t="n">
        <x:v>866628</x:v>
      </x:c>
      <x:c r="N237" s="8" t="n"/>
      <x:c r="O237" s="9" t="n"/>
      <x:c r="P237" s="8" t="n"/>
      <x:c r="Q237" t="n">
        <x:v>2024</x:v>
      </x:c>
      <x:c r="R237" s="8" t="n">
        <x:v>1440991455.45188</x:v>
      </x:c>
      <x:c r="S237" t="n">
        <x:v>0</x:v>
      </x:c>
      <x:c r="T237" t="n">
        <x:v>0</x:v>
      </x:c>
      <x:c r="U237" t="inlineStr">
        <x:is>
          <x:t xml:space="preserve">No</x:t>
        </x:is>
      </x:c>
      <x:c r="W237" t="inlineStr">
        <x:is>
          <x:t xml:space="preserve">No</x:t>
        </x:is>
      </x:c>
      <x:c r="AB237" s="8" t="n"/>
      <x:c r="AR237">
        <x:f>IF(G237="","",LOG10(G237+1))</x:f>
      </x:c>
      <x:c r="AS237" s="10">
        <x:f>IF(AR237="","",IF(MAX($AR$2:$AR$252)-MIN($AR$2:$AR$252)=0,"",(AR237-MIN($AR$2:$AR$252))/(MAX($AR$2:$AR$252)-MIN($AR$2:$AR$252))*100))</x:f>
      </x:c>
      <x:c r="AT237">
        <x:f>IF(R237="","",LOG10(R237+1))</x:f>
      </x:c>
      <x:c r="AU237" s="10">
        <x:f>IF(AT237="","",IF(MAX($AT$2:$AT$252)-MIN($AT$2:$AT$252)=0,"",(AT237-MIN($AT$2:$AT$252))/(MAX($AT$2:$AT$252)-MIN($AT$2:$AT$252))*100))</x:f>
      </x:c>
      <x:c r="AV237">
        <x:f>IF(N237="","",LOG10(N237+1))</x:f>
      </x:c>
      <x:c r="AW237" s="10">
        <x:f>IF(AV237="","",IF(MAX($AV$2:$AV$252)-MIN($AV$2:$AV$252)=0,"",(AV237-MIN($AV$2:$AV$252))/(MAX($AV$2:$AV$252)-MIN($AV$2:$AV$252))*100))</x:f>
      </x:c>
      <x:c r="AX237">
        <x:f>IF(I237="","",LOG10(I237+1))</x:f>
      </x:c>
      <x:c r="AY237" s="10">
        <x:f>IF(AX237="","",IF(MAX($AX$2:$AX$252)-MIN($AX$2:$AX$252)=0,"",(AX237-MIN($AX$2:$AX$252))/(MAX($AX$2:$AX$252)-MIN($AX$2:$AX$252))*100))</x:f>
      </x:c>
      <x:c r="AZ237">
        <x:f>IF(J237="","",LOG10(J237+1))</x:f>
      </x:c>
      <x:c r="BA237" s="10">
        <x:f>IF(AZ237="","",IF(MAX($AZ$2:$AZ$252)-MIN($AZ$2:$AZ$252)=0,"",(AZ237-MIN($AZ$2:$AZ$252))/(MAX($AZ$2:$AZ$252)-MIN($AZ$2:$AZ$252))*100))</x:f>
      </x:c>
      <x:c r="BB237">
        <x:f>IF(K237="","",LOG10(K237+1))</x:f>
      </x:c>
      <x:c r="BC237" s="10">
        <x:f>IF(BB237="","",IF(MAX($BB$2:$BB$252)-MIN($BB$2:$BB$252)=0,"",(BB237-MIN($BB$2:$BB$252))/(MAX($BB$2:$BB$252)-MIN($BB$2:$BB$252))*100))</x:f>
      </x:c>
      <x:c r="BD237">
        <x:f>IF(L237="","",LOG10(L237+1))</x:f>
      </x:c>
      <x:c r="BE237" s="10">
        <x:f>IF(BD237="","",IF(MAX($BD$2:$BD$252)-MIN($BD$2:$BD$252)=0,"",(BD237-MIN($BD$2:$BD$252))/(MAX($BD$2:$BD$252)-MIN($BD$2:$BD$252))*100))</x:f>
      </x:c>
      <x:c r="BF237" s="10">
        <x:f>IF(P237="","",IF(MAX($P$2:$P$252)-MIN($P$2:$P$252)=0,"",(P237-MIN($P$2:$P$252))/(MAX($P$2:$P$252)-MIN($P$2:$P$252))*100))</x:f>
      </x:c>
      <x:c r="BG237">
        <x:f>IF(AF237="","",LOG10(AF237+1))</x:f>
      </x:c>
      <x:c r="BH237" s="10">
        <x:f>IF(BG237="","",IF(MAX($BG$2:$BG$252)-MIN($BG$2:$BG$252)=0,"",(BG237-MIN($BG$2:$BG$252))/(MAX($BG$2:$BG$252)-MIN($BG$2:$BG$252))*100))</x:f>
      </x:c>
      <x:c r="BI237">
        <x:f>IF(AC237="","",LOG10(AC237+1))</x:f>
      </x:c>
      <x:c r="BJ237" s="10">
        <x:f>IF(BI237="","",IF(MAX($BI$2:$BI$252)-MIN($BI$2:$BI$252)=0,"",(BI237-MIN($BI$2:$BI$252))/(MAX($BI$2:$BI$252)-MIN($BI$2:$BI$252))*100))</x:f>
      </x:c>
      <x:c r="BK237">
        <x:f>IF(AD237="","",(AD237*2)+(AE237*1))</x:f>
      </x:c>
      <x:c r="BL237" s="10">
        <x:f>IF(BK237="","",IF(MAX($BK$2:$BK$252)-MIN($BK$2:$BK$252)=0,"",(BK237-MIN($BK$2:$BK$252))/(MAX($BK$2:$BK$252)-MIN($BK$2:$BK$252))*100))</x:f>
      </x:c>
      <x:c r="BM237" s="10">
        <x:f>IF(AB237="","",IF(MAX($AB$2:$AB$252)-MIN($AB$2:$AB$252)=0,"",(AB237-MIN($AB$2:$AB$252))/(MAX($AB$2:$AB$252)-MIN($AB$2:$AB$252))*100))</x:f>
      </x:c>
      <x:c r="BN237" s="10">
        <x:f>IF(X237="","",X237)</x:f>
      </x:c>
      <x:c r="BO237" s="10">
        <x:f>IF(X237="","",100-X237)</x:f>
      </x:c>
      <x:c r="BP237" s="10">
        <x:f>IF((Weights!$C$2*IF(BH237="",0,1)+Weights!$C$3*IF(BJ237="",0,1)+Weights!$C$4*IF(BL237="",0,1))=0,"",(Weights!$C$2*IF(BH237="",0,BH237)+Weights!$C$3*IF(BJ237="",0,BJ237)+Weights!$C$4*IF(BL237="",0,BL237))/(Weights!$C$2*IF(BH237="",0,1)+Weights!$C$3*IF(BJ237="",0,1)+Weights!$C$4*IF(BL237="",0,1)))</x:f>
      </x:c>
      <x:c r="BQ237" s="10">
        <x:f>IF((Weights!$C$5*IF(BA237="",0,1)+Weights!$C$6*IF(AW237="",0,1)+Weights!$C$7*IF(AU237="",0,1))=0,"",(Weights!$C$5*IF(BA237="",0,BA237)+Weights!$C$6*IF(AW237="",0,AW237)+Weights!$C$7*IF(AU237="",0,AU237))/(Weights!$C$5*IF(BA237="",0,1)+Weights!$C$6*IF(AW237="",0,1)+Weights!$C$7*IF(AU237="",0,1)))</x:f>
      </x:c>
      <x:c r="BR237" s="10">
        <x:f>IF((Weights!$C$8*IF(AW237="",0,1)+Weights!$C$9*IF(BC237="",0,1)+Weights!$C$10*IF(BF237="",0,1))=0,"",(Weights!$C$8*IF(AW237="",0,AW237)+Weights!$C$9*IF(BC237="",0,BC237)+Weights!$C$10*IF(BF237="",0,BF237))/(Weights!$C$8*IF(AW237="",0,1)+Weights!$C$9*IF(BC237="",0,1)+Weights!$C$10*IF(BF237="",0,1)))</x:f>
      </x:c>
      <x:c r="BS237" s="10">
        <x:f>IF(Y237="","",Y237)</x:f>
      </x:c>
      <x:c r="BT237" s="10">
        <x:f>IF(AS237="","",AS237)</x:f>
      </x:c>
      <x:c r="BU237" s="10">
        <x:f>IF(AJ237&lt;&gt;"",(0.6*AJ237+0.4*AU237),IF((Weights!$C$11*IF(AU237="",0,1)+Weights!$C$12*IF(BM237="",0,1))=0,"",(Weights!$C$11*IF(AU237="",0,AU237)+Weights!$C$12*IF(BM237="",0,BM237))/(Weights!$C$11*IF(AU237="",0,1)+Weights!$C$12*IF(BM237="",0,1))))</x:f>
      </x:c>
      <x:c r="BV237" s="10">
        <x:f>IF(CG237="",0,CG237)</x:f>
      </x:c>
      <x:c r="BW237" s="10">
        <x:f>IF(AP237="","",AP237)</x:f>
      </x:c>
      <x:c r="BX237" s="10">
        <x:f>IF(AO237="","",AO237)</x:f>
      </x:c>
      <x:c r="BY237" s="10">
        <x:f>IF(AL237="","",AL237)</x:f>
      </x:c>
      <x:c r="BZ237" s="10">
        <x:f>IF(AM237="","",AM237)</x:f>
      </x:c>
      <x:c r="CA237" s="10">
        <x:f>IF(AK237&lt;&gt;"",AK237,AW237)</x:f>
      </x:c>
      <x:c r="CB237" s="10">
        <x:f>IF((Weights!$C$13*IF(BP237="",0,1)+Weights!$C$14*IF(BR237="",0,1)+Weights!$C$15*IF(BQ237="",0,1)+Weights!$C$16*IF(BS237="",0,1)+Weights!$C$17*IF(BU237="",0,1)+Weights!$C$18*IF(BT237="",0,1)+Weights!$C$19*IF(BW237="",0,1)+Weights!$C$20*IF(BZ237="",0,1)+Weights!$C$21*IF(BO237="",0,1)+Weights!$C$22)=0,"",(Weights!$C$13*IF(BP237="",0,BP237)+Weights!$C$14*IF(BR237="",0,BR237)+Weights!$C$15*IF(BQ237="",0,BQ237)+Weights!$C$16*IF(BS237="",0,BS237)+Weights!$C$17*IF(BU237="",0,BU237)+Weights!$C$18*IF(BT237="",0,BT237)+Weights!$C$19*IF(BW237="",0,BW237)+Weights!$C$20*IF(BZ237="",0,BZ237)+Weights!$C$21*IF(BO237="",0,BO237)+Weights!$C$22*BV237)/(Weights!$C$13*IF(BP237="",0,1)+Weights!$C$14*IF(BR237="",0,1)+Weights!$C$15*IF(BQ237="",0,1)+Weights!$C$16*IF(BS237="",0,1)+Weights!$C$17*IF(BU237="",0,1)+Weights!$C$18*IF(BT237="",0,1)+Weights!$C$19*IF(BW237="",0,1)+Weights!$C$20*IF(BZ237="",0,1)+Weights!$C$21*IF(BO237="",0,1)+Weights!$C$22))</x:f>
      </x:c>
      <x:c r="CC237" s="10">
        <x:f>IF((Weights!$C$23*IF(BQ237="",0,1)+Weights!$C$24*IF(BN237="",0,1)+Weights!$C$25*IF(BS237="",0,1)+Weights!$C$26*IF(BY237="",0,1)+Weights!$C$27*IF(BX237="",0,1)+Weights!$C$28*IF(BT237="",0,1)+Weights!$C$29*IF(CA237="",0,1)+Weights!$C$30+Weights!$C$31*IF(BU237="",0,1))=0,"",(Weights!$C$23*IF(BQ237="",0,BQ237)+Weights!$C$24*IF(BN237="",0,BN237)+Weights!$C$25*IF(BS237="",0,BS237)+Weights!$C$26*IF(BY237="",0,BY237)+Weights!$C$27*IF(BX237="",0,BX237)+Weights!$C$28*IF(BT237="",0,BT237)+Weights!$C$29*IF(CA237="",0,CA237)+Weights!$C$30*BV237+Weights!$C$31*IF(BU237="",0,BU237))/(Weights!$C$23*IF(BQ237="",0,1)+Weights!$C$24*IF(BN237="",0,1)+Weights!$C$25*IF(BS237="",0,1)+Weights!$C$26*IF(BY237="",0,1)+Weights!$C$27*IF(BX237="",0,1)+Weights!$C$28*IF(BT237="",0,1)+Weights!$C$29*IF(CA237="",0,1)+Weights!$C$30+Weights!$C$31*IF(BU237="",0,1)))</x:f>
      </x:c>
      <x:c r="CD237" s="10">
        <x:f>IF(AND(CB237="",CC237=""),"",IF(CB237="",CC237,IF(CC237="",CB237,AVERAGE(CB237,CC237))))</x:f>
      </x:c>
      <x:c r="CE237" s="7">
        <x:f>ROUND(100*((IF(BP237&lt;&gt;"",1,0)+IF(BQ237&lt;&gt;"",1,0)+IF(BR237&lt;&gt;"",1,0)+IF(BS237&lt;&gt;"",1,0)+IF(BU237&lt;&gt;"",1,0)+IF(BT237&lt;&gt;"",1,0)+IF(BN237&lt;&gt;"",1,0)+IF(AW237&lt;&gt;"",1,0))/8),0)</x:f>
      </x:c>
      <x:c r="CF237">
        <x:f>IF(V237="","",LOG10(V237+1))</x:f>
      </x:c>
      <x:c r="CG237">
        <x:f>IF(CF237="","",IF(MAX($CF$2:$CF$252)-MIN($CF$2:$CF$252)=0,"",(CF237-MIN($CF$2:$CF$252))/(MAX($CF$2:$CF$252)-MIN($CF$2:$CF$252))*100))</x:f>
      </x:c>
    </x:row>
    <x:row r="238">
      <x:c r="A238" t="inlineStr">
        <x:is>
          <x:t xml:space="preserve">ARE</x:t>
        </x:is>
      </x:c>
      <x:c r="B238" t="inlineStr">
        <x:is>
          <x:t xml:space="preserve">United Arab Emirates</x:t>
        </x:is>
      </x:c>
      <x:c r="C238" t="inlineStr">
        <x:is>
          <x:t xml:space="preserve">Middle East &amp; North Africa</x:t>
        </x:is>
      </x:c>
      <x:c r="D238" t="inlineStr">
        <x:is>
          <x:t xml:space="preserve">High income</x:t>
        </x:is>
      </x:c>
      <x:c r="E238" t="inlineStr">
        <x:is>
          <x:t xml:space="preserve">Asia</x:t>
        </x:is>
      </x:c>
      <x:c r="F238" t="n">
        <x:v>2024</x:v>
      </x:c>
      <x:c r="G238" t="n">
        <x:v>10986400</x:v>
      </x:c>
      <x:c r="H238" t="n">
        <x:v>2020</x:v>
      </x:c>
      <x:c r="I238" t="n">
        <x:v>63000</x:v>
      </x:c>
      <x:c r="J238" t="n">
        <x:v>40950</x:v>
      </x:c>
      <x:c r="K238" t="n">
        <x:v>12600</x:v>
      </x:c>
      <x:c r="L238" t="n">
        <x:v>7560</x:v>
      </x:c>
      <x:c r="M238" t="n">
        <x:v>2014</x:v>
      </x:c>
      <x:c r="N238" s="8" t="n">
        <x:v>22755071477.1954</x:v>
      </x:c>
      <x:c r="O238" s="9" t="n">
        <x:v>5.64365135247024</x:v>
      </x:c>
      <x:c r="P238" s="8" t="n">
        <x:v>361191.6107491333</x:v>
      </x:c>
      <x:c r="Q238" t="n">
        <x:v>2024</x:v>
      </x:c>
      <x:c r="R238" s="8" t="n">
        <x:v>552324846834.5811</x:v>
      </x:c>
      <x:c r="S238" t="n">
        <x:v>13</x:v>
      </x:c>
      <x:c r="T238" t="n">
        <x:v>3</x:v>
      </x:c>
      <x:c r="U238" t="inlineStr">
        <x:is>
          <x:t xml:space="preserve">No</x:t>
        </x:is>
      </x:c>
      <x:c r="W238" t="inlineStr">
        <x:is>
          <x:t xml:space="preserve">No</x:t>
        </x:is>
      </x:c>
      <x:c r="X238" t="n">
        <x:v>18.58736159262072</x:v>
      </x:c>
      <x:c r="Y238" t="n">
        <x:v>89.83163923953707</x:v>
      </x:c>
      <x:c r="Z238" t="n">
        <x:v>79880.73828096689</x:v>
      </x:c>
      <x:c r="AA238" t="n">
        <x:v>76.01926485257439</x:v>
      </x:c>
      <x:c r="AB238" s="8" t="n">
        <x:v>109872.8278008555</x:v>
      </x:c>
      <x:c r="AC238" t="n">
        <x:v>79</x:v>
      </x:c>
      <x:c r="AD238" t="n">
        <x:v>0</x:v>
      </x:c>
      <x:c r="AE238" t="n">
        <x:v>0</x:v>
      </x:c>
      <x:c r="AR238">
        <x:f>IF(G238="","",LOG10(G238+1))</x:f>
      </x:c>
      <x:c r="AS238" s="10">
        <x:f>IF(AR238="","",IF(MAX($AR$2:$AR$252)-MIN($AR$2:$AR$252)=0,"",(AR238-MIN($AR$2:$AR$252))/(MAX($AR$2:$AR$252)-MIN($AR$2:$AR$252))*100))</x:f>
      </x:c>
      <x:c r="AT238">
        <x:f>IF(R238="","",LOG10(R238+1))</x:f>
      </x:c>
      <x:c r="AU238" s="10">
        <x:f>IF(AT238="","",IF(MAX($AT$2:$AT$252)-MIN($AT$2:$AT$252)=0,"",(AT238-MIN($AT$2:$AT$252))/(MAX($AT$2:$AT$252)-MIN($AT$2:$AT$252))*100))</x:f>
      </x:c>
      <x:c r="AV238">
        <x:f>IF(N238="","",LOG10(N238+1))</x:f>
      </x:c>
      <x:c r="AW238" s="10">
        <x:f>IF(AV238="","",IF(MAX($AV$2:$AV$252)-MIN($AV$2:$AV$252)=0,"",(AV238-MIN($AV$2:$AV$252))/(MAX($AV$2:$AV$252)-MIN($AV$2:$AV$252))*100))</x:f>
      </x:c>
      <x:c r="AX238">
        <x:f>IF(I238="","",LOG10(I238+1))</x:f>
      </x:c>
      <x:c r="AY238" s="10">
        <x:f>IF(AX238="","",IF(MAX($AX$2:$AX$252)-MIN($AX$2:$AX$252)=0,"",(AX238-MIN($AX$2:$AX$252))/(MAX($AX$2:$AX$252)-MIN($AX$2:$AX$252))*100))</x:f>
      </x:c>
      <x:c r="AZ238">
        <x:f>IF(J238="","",LOG10(J238+1))</x:f>
      </x:c>
      <x:c r="BA238" s="10">
        <x:f>IF(AZ238="","",IF(MAX($AZ$2:$AZ$252)-MIN($AZ$2:$AZ$252)=0,"",(AZ238-MIN($AZ$2:$AZ$252))/(MAX($AZ$2:$AZ$252)-MIN($AZ$2:$AZ$252))*100))</x:f>
      </x:c>
      <x:c r="BB238">
        <x:f>IF(K238="","",LOG10(K238+1))</x:f>
      </x:c>
      <x:c r="BC238" s="10">
        <x:f>IF(BB238="","",IF(MAX($BB$2:$BB$252)-MIN($BB$2:$BB$252)=0,"",(BB238-MIN($BB$2:$BB$252))/(MAX($BB$2:$BB$252)-MIN($BB$2:$BB$252))*100))</x:f>
      </x:c>
      <x:c r="BD238">
        <x:f>IF(L238="","",LOG10(L238+1))</x:f>
      </x:c>
      <x:c r="BE238" s="10">
        <x:f>IF(BD238="","",IF(MAX($BD$2:$BD$252)-MIN($BD$2:$BD$252)=0,"",(BD238-MIN($BD$2:$BD$252))/(MAX($BD$2:$BD$252)-MIN($BD$2:$BD$252))*100))</x:f>
      </x:c>
      <x:c r="BF238" s="10">
        <x:f>IF(P238="","",IF(MAX($P$2:$P$252)-MIN($P$2:$P$252)=0,"",(P238-MIN($P$2:$P$252))/(MAX($P$2:$P$252)-MIN($P$2:$P$252))*100))</x:f>
      </x:c>
      <x:c r="BG238">
        <x:f>IF(AF238="","",LOG10(AF238+1))</x:f>
      </x:c>
      <x:c r="BH238" s="10">
        <x:f>IF(BG238="","",IF(MAX($BG$2:$BG$252)-MIN($BG$2:$BG$252)=0,"",(BG238-MIN($BG$2:$BG$252))/(MAX($BG$2:$BG$252)-MIN($BG$2:$BG$252))*100))</x:f>
      </x:c>
      <x:c r="BI238">
        <x:f>IF(AC238="","",LOG10(AC238+1))</x:f>
      </x:c>
      <x:c r="BJ238" s="10">
        <x:f>IF(BI238="","",IF(MAX($BI$2:$BI$252)-MIN($BI$2:$BI$252)=0,"",(BI238-MIN($BI$2:$BI$252))/(MAX($BI$2:$BI$252)-MIN($BI$2:$BI$252))*100))</x:f>
      </x:c>
      <x:c r="BK238">
        <x:f>IF(AD238="","",(AD238*2)+(AE238*1))</x:f>
      </x:c>
      <x:c r="BL238" s="10">
        <x:f>IF(BK238="","",IF(MAX($BK$2:$BK$252)-MIN($BK$2:$BK$252)=0,"",(BK238-MIN($BK$2:$BK$252))/(MAX($BK$2:$BK$252)-MIN($BK$2:$BK$252))*100))</x:f>
      </x:c>
      <x:c r="BM238" s="10">
        <x:f>IF(AB238="","",IF(MAX($AB$2:$AB$252)-MIN($AB$2:$AB$252)=0,"",(AB238-MIN($AB$2:$AB$252))/(MAX($AB$2:$AB$252)-MIN($AB$2:$AB$252))*100))</x:f>
      </x:c>
      <x:c r="BN238" s="10">
        <x:f>IF(X238="","",X238)</x:f>
      </x:c>
      <x:c r="BO238" s="10">
        <x:f>IF(X238="","",100-X238)</x:f>
      </x:c>
      <x:c r="BP238" s="10">
        <x:f>IF((Weights!$C$2*IF(BH238="",0,1)+Weights!$C$3*IF(BJ238="",0,1)+Weights!$C$4*IF(BL238="",0,1))=0,"",(Weights!$C$2*IF(BH238="",0,BH238)+Weights!$C$3*IF(BJ238="",0,BJ238)+Weights!$C$4*IF(BL238="",0,BL238))/(Weights!$C$2*IF(BH238="",0,1)+Weights!$C$3*IF(BJ238="",0,1)+Weights!$C$4*IF(BL238="",0,1)))</x:f>
      </x:c>
      <x:c r="BQ238" s="10">
        <x:f>IF((Weights!$C$5*IF(BA238="",0,1)+Weights!$C$6*IF(AW238="",0,1)+Weights!$C$7*IF(AU238="",0,1))=0,"",(Weights!$C$5*IF(BA238="",0,BA238)+Weights!$C$6*IF(AW238="",0,AW238)+Weights!$C$7*IF(AU238="",0,AU238))/(Weights!$C$5*IF(BA238="",0,1)+Weights!$C$6*IF(AW238="",0,1)+Weights!$C$7*IF(AU238="",0,1)))</x:f>
      </x:c>
      <x:c r="BR238" s="10">
        <x:f>IF((Weights!$C$8*IF(AW238="",0,1)+Weights!$C$9*IF(BC238="",0,1)+Weights!$C$10*IF(BF238="",0,1))=0,"",(Weights!$C$8*IF(AW238="",0,AW238)+Weights!$C$9*IF(BC238="",0,BC238)+Weights!$C$10*IF(BF238="",0,BF238))/(Weights!$C$8*IF(AW238="",0,1)+Weights!$C$9*IF(BC238="",0,1)+Weights!$C$10*IF(BF238="",0,1)))</x:f>
      </x:c>
      <x:c r="BS238" s="10">
        <x:f>IF(Y238="","",Y238)</x:f>
      </x:c>
      <x:c r="BT238" s="10">
        <x:f>IF(AS238="","",AS238)</x:f>
      </x:c>
      <x:c r="BU238" s="10">
        <x:f>IF(AJ238&lt;&gt;"",(0.6*AJ238+0.4*AU238),IF((Weights!$C$11*IF(AU238="",0,1)+Weights!$C$12*IF(BM238="",0,1))=0,"",(Weights!$C$11*IF(AU238="",0,AU238)+Weights!$C$12*IF(BM238="",0,BM238))/(Weights!$C$11*IF(AU238="",0,1)+Weights!$C$12*IF(BM238="",0,1))))</x:f>
      </x:c>
      <x:c r="BV238" s="10">
        <x:f>IF(CG238="",0,CG238)</x:f>
      </x:c>
      <x:c r="BW238" s="10">
        <x:f>IF(AP238="","",AP238)</x:f>
      </x:c>
      <x:c r="BX238" s="10">
        <x:f>IF(AO238="","",AO238)</x:f>
      </x:c>
      <x:c r="BY238" s="10">
        <x:f>IF(AL238="","",AL238)</x:f>
      </x:c>
      <x:c r="BZ238" s="10">
        <x:f>IF(AM238="","",AM238)</x:f>
      </x:c>
      <x:c r="CA238" s="10">
        <x:f>IF(AK238&lt;&gt;"",AK238,AW238)</x:f>
      </x:c>
      <x:c r="CB238" s="10">
        <x:f>IF((Weights!$C$13*IF(BP238="",0,1)+Weights!$C$14*IF(BR238="",0,1)+Weights!$C$15*IF(BQ238="",0,1)+Weights!$C$16*IF(BS238="",0,1)+Weights!$C$17*IF(BU238="",0,1)+Weights!$C$18*IF(BT238="",0,1)+Weights!$C$19*IF(BW238="",0,1)+Weights!$C$20*IF(BZ238="",0,1)+Weights!$C$21*IF(BO238="",0,1)+Weights!$C$22)=0,"",(Weights!$C$13*IF(BP238="",0,BP238)+Weights!$C$14*IF(BR238="",0,BR238)+Weights!$C$15*IF(BQ238="",0,BQ238)+Weights!$C$16*IF(BS238="",0,BS238)+Weights!$C$17*IF(BU238="",0,BU238)+Weights!$C$18*IF(BT238="",0,BT238)+Weights!$C$19*IF(BW238="",0,BW238)+Weights!$C$20*IF(BZ238="",0,BZ238)+Weights!$C$21*IF(BO238="",0,BO238)+Weights!$C$22*BV238)/(Weights!$C$13*IF(BP238="",0,1)+Weights!$C$14*IF(BR238="",0,1)+Weights!$C$15*IF(BQ238="",0,1)+Weights!$C$16*IF(BS238="",0,1)+Weights!$C$17*IF(BU238="",0,1)+Weights!$C$18*IF(BT238="",0,1)+Weights!$C$19*IF(BW238="",0,1)+Weights!$C$20*IF(BZ238="",0,1)+Weights!$C$21*IF(BO238="",0,1)+Weights!$C$22))</x:f>
      </x:c>
      <x:c r="CC238" s="10">
        <x:f>IF((Weights!$C$23*IF(BQ238="",0,1)+Weights!$C$24*IF(BN238="",0,1)+Weights!$C$25*IF(BS238="",0,1)+Weights!$C$26*IF(BY238="",0,1)+Weights!$C$27*IF(BX238="",0,1)+Weights!$C$28*IF(BT238="",0,1)+Weights!$C$29*IF(CA238="",0,1)+Weights!$C$30+Weights!$C$31*IF(BU238="",0,1))=0,"",(Weights!$C$23*IF(BQ238="",0,BQ238)+Weights!$C$24*IF(BN238="",0,BN238)+Weights!$C$25*IF(BS238="",0,BS238)+Weights!$C$26*IF(BY238="",0,BY238)+Weights!$C$27*IF(BX238="",0,BX238)+Weights!$C$28*IF(BT238="",0,BT238)+Weights!$C$29*IF(CA238="",0,CA238)+Weights!$C$30*BV238+Weights!$C$31*IF(BU238="",0,BU238))/(Weights!$C$23*IF(BQ238="",0,1)+Weights!$C$24*IF(BN238="",0,1)+Weights!$C$25*IF(BS238="",0,1)+Weights!$C$26*IF(BY238="",0,1)+Weights!$C$27*IF(BX238="",0,1)+Weights!$C$28*IF(BT238="",0,1)+Weights!$C$29*IF(CA238="",0,1)+Weights!$C$30+Weights!$C$31*IF(BU238="",0,1)))</x:f>
      </x:c>
      <x:c r="CD238" s="10">
        <x:f>IF(AND(CB238="",CC238=""),"",IF(CB238="",CC238,IF(CC238="",CB238,AVERAGE(CB238,CC238))))</x:f>
      </x:c>
      <x:c r="CE238" s="7">
        <x:f>ROUND(100*((IF(BP238&lt;&gt;"",1,0)+IF(BQ238&lt;&gt;"",1,0)+IF(BR238&lt;&gt;"",1,0)+IF(BS238&lt;&gt;"",1,0)+IF(BU238&lt;&gt;"",1,0)+IF(BT238&lt;&gt;"",1,0)+IF(BN238&lt;&gt;"",1,0)+IF(AW238&lt;&gt;"",1,0))/8),0)</x:f>
      </x:c>
      <x:c r="CF238">
        <x:f>IF(V238="","",LOG10(V238+1))</x:f>
      </x:c>
      <x:c r="CG238">
        <x:f>IF(CF238="","",IF(MAX($CF$2:$CF$252)-MIN($CF$2:$CF$252)=0,"",(CF238-MIN($CF$2:$CF$252))/(MAX($CF$2:$CF$252)-MIN($CF$2:$CF$252))*100))</x:f>
      </x:c>
    </x:row>
    <x:row r="239">
      <x:c r="A239" t="inlineStr">
        <x:is>
          <x:t xml:space="preserve">GBR</x:t>
        </x:is>
      </x:c>
      <x:c r="B239" t="inlineStr">
        <x:is>
          <x:t xml:space="preserve">United Kingdom</x:t>
        </x:is>
      </x:c>
      <x:c r="C239" t="inlineStr">
        <x:is>
          <x:t xml:space="preserve">Europe &amp; Central Asia</x:t>
        </x:is>
      </x:c>
      <x:c r="D239" t="inlineStr">
        <x:is>
          <x:t xml:space="preserve">High income</x:t>
        </x:is>
      </x:c>
      <x:c r="E239" t="inlineStr">
        <x:is>
          <x:t xml:space="preserve">Europe</x:t>
        </x:is>
      </x:c>
      <x:c r="F239" t="n">
        <x:v>2024</x:v>
      </x:c>
      <x:c r="G239" t="n">
        <x:v>69226000</x:v>
      </x:c>
      <x:c r="H239" t="n">
        <x:v>2020</x:v>
      </x:c>
      <x:c r="I239" t="n">
        <x:v>153000</x:v>
      </x:c>
      <x:c r="J239" t="n">
        <x:v>99450</x:v>
      </x:c>
      <x:c r="K239" t="n">
        <x:v>30600</x:v>
      </x:c>
      <x:c r="L239" t="n">
        <x:v>18360</x:v>
      </x:c>
      <x:c r="M239" t="n">
        <x:v>2024</x:v>
      </x:c>
      <x:c r="N239" s="8" t="n">
        <x:v>81763173069.67439</x:v>
      </x:c>
      <x:c r="O239" s="9" t="n">
        <x:v>2.2786177901127</x:v>
      </x:c>
      <x:c r="P239" s="8" t="n">
        <x:v>534399.8239847999</x:v>
      </x:c>
      <x:c r="Q239" t="n">
        <x:v>2024</x:v>
      </x:c>
      <x:c r="R239" s="8" t="n">
        <x:v>3686033044482.13</x:v>
      </x:c>
      <x:c r="S239" t="n">
        <x:v>655</x:v>
      </x:c>
      <x:c r="T239" t="n">
        <x:v>6</x:v>
      </x:c>
      <x:c r="U239" t="inlineStr">
        <x:is>
          <x:t xml:space="preserve">Yes</x:t>
        </x:is>
      </x:c>
      <x:c r="V239" t="n">
        <x:v>225</x:v>
      </x:c>
      <x:c r="W239" t="inlineStr">
        <x:is>
          <x:t xml:space="preserve">Yes</x:t>
        </x:is>
      </x:c>
      <x:c r="X239" t="n">
        <x:v>41.15760762079267</x:v>
      </x:c>
      <x:c r="Y239" t="n">
        <x:v>83.74697413752658</x:v>
      </x:c>
      <x:c r="Z239" t="n">
        <x:v>249986.395211549</x:v>
      </x:c>
      <x:c r="AA239" t="n">
        <x:v>259.0919075623671</x:v>
      </x:c>
      <x:c r="AB239" s="8" t="n">
        <x:v>43044.98361357141</x:v>
      </x:c>
      <x:c r="AC239" t="n">
        <x:v>117</x:v>
      </x:c>
      <x:c r="AD239" t="n">
        <x:v>2</x:v>
      </x:c>
      <x:c r="AE239" t="n">
        <x:v>0</x:v>
      </x:c>
      <x:c r="AF239" t="n">
        <x:v>88.3</x:v>
      </x:c>
      <x:c r="AG239" t="n">
        <x:v>50</x:v>
      </x:c>
      <x:c r="AH239" t="n">
        <x:v>9</x:v>
      </x:c>
      <x:c r="AR239">
        <x:f>IF(G239="","",LOG10(G239+1))</x:f>
      </x:c>
      <x:c r="AS239" s="10">
        <x:f>IF(AR239="","",IF(MAX($AR$2:$AR$252)-MIN($AR$2:$AR$252)=0,"",(AR239-MIN($AR$2:$AR$252))/(MAX($AR$2:$AR$252)-MIN($AR$2:$AR$252))*100))</x:f>
      </x:c>
      <x:c r="AT239">
        <x:f>IF(R239="","",LOG10(R239+1))</x:f>
      </x:c>
      <x:c r="AU239" s="10">
        <x:f>IF(AT239="","",IF(MAX($AT$2:$AT$252)-MIN($AT$2:$AT$252)=0,"",(AT239-MIN($AT$2:$AT$252))/(MAX($AT$2:$AT$252)-MIN($AT$2:$AT$252))*100))</x:f>
      </x:c>
      <x:c r="AV239">
        <x:f>IF(N239="","",LOG10(N239+1))</x:f>
      </x:c>
      <x:c r="AW239" s="10">
        <x:f>IF(AV239="","",IF(MAX($AV$2:$AV$252)-MIN($AV$2:$AV$252)=0,"",(AV239-MIN($AV$2:$AV$252))/(MAX($AV$2:$AV$252)-MIN($AV$2:$AV$252))*100))</x:f>
      </x:c>
      <x:c r="AX239">
        <x:f>IF(I239="","",LOG10(I239+1))</x:f>
      </x:c>
      <x:c r="AY239" s="10">
        <x:f>IF(AX239="","",IF(MAX($AX$2:$AX$252)-MIN($AX$2:$AX$252)=0,"",(AX239-MIN($AX$2:$AX$252))/(MAX($AX$2:$AX$252)-MIN($AX$2:$AX$252))*100))</x:f>
      </x:c>
      <x:c r="AZ239">
        <x:f>IF(J239="","",LOG10(J239+1))</x:f>
      </x:c>
      <x:c r="BA239" s="10">
        <x:f>IF(AZ239="","",IF(MAX($AZ$2:$AZ$252)-MIN($AZ$2:$AZ$252)=0,"",(AZ239-MIN($AZ$2:$AZ$252))/(MAX($AZ$2:$AZ$252)-MIN($AZ$2:$AZ$252))*100))</x:f>
      </x:c>
      <x:c r="BB239">
        <x:f>IF(K239="","",LOG10(K239+1))</x:f>
      </x:c>
      <x:c r="BC239" s="10">
        <x:f>IF(BB239="","",IF(MAX($BB$2:$BB$252)-MIN($BB$2:$BB$252)=0,"",(BB239-MIN($BB$2:$BB$252))/(MAX($BB$2:$BB$252)-MIN($BB$2:$BB$252))*100))</x:f>
      </x:c>
      <x:c r="BD239">
        <x:f>IF(L239="","",LOG10(L239+1))</x:f>
      </x:c>
      <x:c r="BE239" s="10">
        <x:f>IF(BD239="","",IF(MAX($BD$2:$BD$252)-MIN($BD$2:$BD$252)=0,"",(BD239-MIN($BD$2:$BD$252))/(MAX($BD$2:$BD$252)-MIN($BD$2:$BD$252))*100))</x:f>
      </x:c>
      <x:c r="BF239" s="10">
        <x:f>IF(P239="","",IF(MAX($P$2:$P$252)-MIN($P$2:$P$252)=0,"",(P239-MIN($P$2:$P$252))/(MAX($P$2:$P$252)-MIN($P$2:$P$252))*100))</x:f>
      </x:c>
      <x:c r="BG239">
        <x:f>IF(AF239="","",LOG10(AF239+1))</x:f>
      </x:c>
      <x:c r="BH239" s="10">
        <x:f>IF(BG239="","",IF(MAX($BG$2:$BG$252)-MIN($BG$2:$BG$252)=0,"",(BG239-MIN($BG$2:$BG$252))/(MAX($BG$2:$BG$252)-MIN($BG$2:$BG$252))*100))</x:f>
      </x:c>
      <x:c r="BI239">
        <x:f>IF(AC239="","",LOG10(AC239+1))</x:f>
      </x:c>
      <x:c r="BJ239" s="10">
        <x:f>IF(BI239="","",IF(MAX($BI$2:$BI$252)-MIN($BI$2:$BI$252)=0,"",(BI239-MIN($BI$2:$BI$252))/(MAX($BI$2:$BI$252)-MIN($BI$2:$BI$252))*100))</x:f>
      </x:c>
      <x:c r="BK239">
        <x:f>IF(AD239="","",(AD239*2)+(AE239*1))</x:f>
      </x:c>
      <x:c r="BL239" s="10">
        <x:f>IF(BK239="","",IF(MAX($BK$2:$BK$252)-MIN($BK$2:$BK$252)=0,"",(BK239-MIN($BK$2:$BK$252))/(MAX($BK$2:$BK$252)-MIN($BK$2:$BK$252))*100))</x:f>
      </x:c>
      <x:c r="BM239" s="10">
        <x:f>IF(AB239="","",IF(MAX($AB$2:$AB$252)-MIN($AB$2:$AB$252)=0,"",(AB239-MIN($AB$2:$AB$252))/(MAX($AB$2:$AB$252)-MIN($AB$2:$AB$252))*100))</x:f>
      </x:c>
      <x:c r="BN239" s="10">
        <x:f>IF(X239="","",X239)</x:f>
      </x:c>
      <x:c r="BO239" s="10">
        <x:f>IF(X239="","",100-X239)</x:f>
      </x:c>
      <x:c r="BP239" s="10">
        <x:f>IF((Weights!$C$2*IF(BH239="",0,1)+Weights!$C$3*IF(BJ239="",0,1)+Weights!$C$4*IF(BL239="",0,1))=0,"",(Weights!$C$2*IF(BH239="",0,BH239)+Weights!$C$3*IF(BJ239="",0,BJ239)+Weights!$C$4*IF(BL239="",0,BL239))/(Weights!$C$2*IF(BH239="",0,1)+Weights!$C$3*IF(BJ239="",0,1)+Weights!$C$4*IF(BL239="",0,1)))</x:f>
      </x:c>
      <x:c r="BQ239" s="10">
        <x:f>IF((Weights!$C$5*IF(BA239="",0,1)+Weights!$C$6*IF(AW239="",0,1)+Weights!$C$7*IF(AU239="",0,1))=0,"",(Weights!$C$5*IF(BA239="",0,BA239)+Weights!$C$6*IF(AW239="",0,AW239)+Weights!$C$7*IF(AU239="",0,AU239))/(Weights!$C$5*IF(BA239="",0,1)+Weights!$C$6*IF(AW239="",0,1)+Weights!$C$7*IF(AU239="",0,1)))</x:f>
      </x:c>
      <x:c r="BR239" s="10">
        <x:f>IF((Weights!$C$8*IF(AW239="",0,1)+Weights!$C$9*IF(BC239="",0,1)+Weights!$C$10*IF(BF239="",0,1))=0,"",(Weights!$C$8*IF(AW239="",0,AW239)+Weights!$C$9*IF(BC239="",0,BC239)+Weights!$C$10*IF(BF239="",0,BF239))/(Weights!$C$8*IF(AW239="",0,1)+Weights!$C$9*IF(BC239="",0,1)+Weights!$C$10*IF(BF239="",0,1)))</x:f>
      </x:c>
      <x:c r="BS239" s="10">
        <x:f>IF(Y239="","",Y239)</x:f>
      </x:c>
      <x:c r="BT239" s="10">
        <x:f>IF(AS239="","",AS239)</x:f>
      </x:c>
      <x:c r="BU239" s="10">
        <x:f>IF(AJ239&lt;&gt;"",(0.6*AJ239+0.4*AU239),IF((Weights!$C$11*IF(AU239="",0,1)+Weights!$C$12*IF(BM239="",0,1))=0,"",(Weights!$C$11*IF(AU239="",0,AU239)+Weights!$C$12*IF(BM239="",0,BM239))/(Weights!$C$11*IF(AU239="",0,1)+Weights!$C$12*IF(BM239="",0,1))))</x:f>
      </x:c>
      <x:c r="BV239" s="10">
        <x:f>IF(CG239="",0,CG239)</x:f>
      </x:c>
      <x:c r="BW239" s="10">
        <x:f>IF(AP239="","",AP239)</x:f>
      </x:c>
      <x:c r="BX239" s="10">
        <x:f>IF(AO239="","",AO239)</x:f>
      </x:c>
      <x:c r="BY239" s="10">
        <x:f>IF(AL239="","",AL239)</x:f>
      </x:c>
      <x:c r="BZ239" s="10">
        <x:f>IF(AM239="","",AM239)</x:f>
      </x:c>
      <x:c r="CA239" s="10">
        <x:f>IF(AK239&lt;&gt;"",AK239,AW239)</x:f>
      </x:c>
      <x:c r="CB239" s="10">
        <x:f>IF((Weights!$C$13*IF(BP239="",0,1)+Weights!$C$14*IF(BR239="",0,1)+Weights!$C$15*IF(BQ239="",0,1)+Weights!$C$16*IF(BS239="",0,1)+Weights!$C$17*IF(BU239="",0,1)+Weights!$C$18*IF(BT239="",0,1)+Weights!$C$19*IF(BW239="",0,1)+Weights!$C$20*IF(BZ239="",0,1)+Weights!$C$21*IF(BO239="",0,1)+Weights!$C$22)=0,"",(Weights!$C$13*IF(BP239="",0,BP239)+Weights!$C$14*IF(BR239="",0,BR239)+Weights!$C$15*IF(BQ239="",0,BQ239)+Weights!$C$16*IF(BS239="",0,BS239)+Weights!$C$17*IF(BU239="",0,BU239)+Weights!$C$18*IF(BT239="",0,BT239)+Weights!$C$19*IF(BW239="",0,BW239)+Weights!$C$20*IF(BZ239="",0,BZ239)+Weights!$C$21*IF(BO239="",0,BO239)+Weights!$C$22*BV239)/(Weights!$C$13*IF(BP239="",0,1)+Weights!$C$14*IF(BR239="",0,1)+Weights!$C$15*IF(BQ239="",0,1)+Weights!$C$16*IF(BS239="",0,1)+Weights!$C$17*IF(BU239="",0,1)+Weights!$C$18*IF(BT239="",0,1)+Weights!$C$19*IF(BW239="",0,1)+Weights!$C$20*IF(BZ239="",0,1)+Weights!$C$21*IF(BO239="",0,1)+Weights!$C$22))</x:f>
      </x:c>
      <x:c r="CC239" s="10">
        <x:f>IF((Weights!$C$23*IF(BQ239="",0,1)+Weights!$C$24*IF(BN239="",0,1)+Weights!$C$25*IF(BS239="",0,1)+Weights!$C$26*IF(BY239="",0,1)+Weights!$C$27*IF(BX239="",0,1)+Weights!$C$28*IF(BT239="",0,1)+Weights!$C$29*IF(CA239="",0,1)+Weights!$C$30+Weights!$C$31*IF(BU239="",0,1))=0,"",(Weights!$C$23*IF(BQ239="",0,BQ239)+Weights!$C$24*IF(BN239="",0,BN239)+Weights!$C$25*IF(BS239="",0,BS239)+Weights!$C$26*IF(BY239="",0,BY239)+Weights!$C$27*IF(BX239="",0,BX239)+Weights!$C$28*IF(BT239="",0,BT239)+Weights!$C$29*IF(CA239="",0,CA239)+Weights!$C$30*BV239+Weights!$C$31*IF(BU239="",0,BU239))/(Weights!$C$23*IF(BQ239="",0,1)+Weights!$C$24*IF(BN239="",0,1)+Weights!$C$25*IF(BS239="",0,1)+Weights!$C$26*IF(BY239="",0,1)+Weights!$C$27*IF(BX239="",0,1)+Weights!$C$28*IF(BT239="",0,1)+Weights!$C$29*IF(CA239="",0,1)+Weights!$C$30+Weights!$C$31*IF(BU239="",0,1)))</x:f>
      </x:c>
      <x:c r="CD239" s="10">
        <x:f>IF(AND(CB239="",CC239=""),"",IF(CB239="",CC239,IF(CC239="",CB239,AVERAGE(CB239,CC239))))</x:f>
      </x:c>
      <x:c r="CE239" s="7">
        <x:f>ROUND(100*((IF(BP239&lt;&gt;"",1,0)+IF(BQ239&lt;&gt;"",1,0)+IF(BR239&lt;&gt;"",1,0)+IF(BS239&lt;&gt;"",1,0)+IF(BU239&lt;&gt;"",1,0)+IF(BT239&lt;&gt;"",1,0)+IF(BN239&lt;&gt;"",1,0)+IF(AW239&lt;&gt;"",1,0))/8),0)</x:f>
      </x:c>
      <x:c r="CF239">
        <x:f>IF(V239="","",LOG10(V239+1))</x:f>
      </x:c>
      <x:c r="CG239">
        <x:f>IF(CF239="","",IF(MAX($CF$2:$CF$252)-MIN($CF$2:$CF$252)=0,"",(CF239-MIN($CF$2:$CF$252))/(MAX($CF$2:$CF$252)-MIN($CF$2:$CF$252))*100))</x:f>
      </x:c>
    </x:row>
    <x:row r="240">
      <x:c r="A240" t="inlineStr">
        <x:is>
          <x:t xml:space="preserve">MEX</x:t>
        </x:is>
      </x:c>
      <x:c r="B240" t="inlineStr">
        <x:is>
          <x:t xml:space="preserve">Mexico</x:t>
        </x:is>
      </x:c>
      <x:c r="C240" t="inlineStr">
        <x:is>
          <x:t xml:space="preserve">Latin America &amp; Caribbean</x:t>
        </x:is>
      </x:c>
      <x:c r="D240" t="inlineStr">
        <x:is>
          <x:t xml:space="preserve">Upper middle income</x:t>
        </x:is>
      </x:c>
      <x:c r="E240" t="inlineStr">
        <x:is>
          <x:t xml:space="preserve">North America</x:t>
        </x:is>
      </x:c>
      <x:c r="F240" t="n">
        <x:v>2024</x:v>
      </x:c>
      <x:c r="G240" t="n">
        <x:v>130861007</x:v>
      </x:c>
      <x:c r="H240" t="n">
        <x:v>2020</x:v>
      </x:c>
      <x:c r="I240" t="n">
        <x:v>341000</x:v>
      </x:c>
      <x:c r="J240" t="n">
        <x:v>221650</x:v>
      </x:c>
      <x:c r="K240" t="n">
        <x:v>68200</x:v>
      </x:c>
      <x:c r="L240" t="n">
        <x:v>40920</x:v>
      </x:c>
      <x:c r="M240" t="n">
        <x:v>2024</x:v>
      </x:c>
      <x:c r="N240" s="8" t="n">
        <x:v>16726425452.0934</x:v>
      </x:c>
      <x:c r="O240" s="9" t="n">
        <x:v>0.893257529320534</x:v>
      </x:c>
      <x:c r="P240" s="8" t="n">
        <x:v>49051.10103253196</x:v>
      </x:c>
      <x:c r="Q240" t="n">
        <x:v>2024</x:v>
      </x:c>
      <x:c r="R240" s="8" t="n">
        <x:v>1856365616165.94</x:v>
      </x:c>
      <x:c r="S240" t="n">
        <x:v>7</x:v>
      </x:c>
      <x:c r="T240" t="n">
        <x:v>3</x:v>
      </x:c>
      <x:c r="U240" t="inlineStr">
        <x:is>
          <x:t xml:space="preserve">No</x:t>
        </x:is>
      </x:c>
      <x:c r="W240" t="inlineStr">
        <x:is>
          <x:t xml:space="preserve">No</x:t>
        </x:is>
      </x:c>
      <x:c r="X240" t="n">
        <x:v>41.2394969932278</x:v>
      </x:c>
      <x:c r="Y240" t="n">
        <x:v>62.62081611139381</x:v>
      </x:c>
      <x:c r="Z240" t="n">
        <x:v>1969480.306768263</x:v>
      </x:c>
      <x:c r="AA240" t="n">
        <x:v>63.25262282231999</x:v>
      </x:c>
      <x:c r="AB240" s="8" t="n">
        <x:v>18518.99495399531</x:v>
      </x:c>
      <x:c r="AC240" t="n">
        <x:v>194</x:v>
      </x:c>
      <x:c r="AD240" t="n">
        <x:v>0</x:v>
      </x:c>
      <x:c r="AE240" t="n">
        <x:v>0</x:v>
      </x:c>
      <x:c r="AR240">
        <x:f>IF(G240="","",LOG10(G240+1))</x:f>
      </x:c>
      <x:c r="AS240" s="10">
        <x:f>IF(AR240="","",IF(MAX($AR$2:$AR$252)-MIN($AR$2:$AR$252)=0,"",(AR240-MIN($AR$2:$AR$252))/(MAX($AR$2:$AR$252)-MIN($AR$2:$AR$252))*100))</x:f>
      </x:c>
      <x:c r="AT240">
        <x:f>IF(R240="","",LOG10(R240+1))</x:f>
      </x:c>
      <x:c r="AU240" s="10">
        <x:f>IF(AT240="","",IF(MAX($AT$2:$AT$252)-MIN($AT$2:$AT$252)=0,"",(AT240-MIN($AT$2:$AT$252))/(MAX($AT$2:$AT$252)-MIN($AT$2:$AT$252))*100))</x:f>
      </x:c>
      <x:c r="AV240">
        <x:f>IF(N240="","",LOG10(N240+1))</x:f>
      </x:c>
      <x:c r="AW240" s="10">
        <x:f>IF(AV240="","",IF(MAX($AV$2:$AV$252)-MIN($AV$2:$AV$252)=0,"",(AV240-MIN($AV$2:$AV$252))/(MAX($AV$2:$AV$252)-MIN($AV$2:$AV$252))*100))</x:f>
      </x:c>
      <x:c r="AX240">
        <x:f>IF(I240="","",LOG10(I240+1))</x:f>
      </x:c>
      <x:c r="AY240" s="10">
        <x:f>IF(AX240="","",IF(MAX($AX$2:$AX$252)-MIN($AX$2:$AX$252)=0,"",(AX240-MIN($AX$2:$AX$252))/(MAX($AX$2:$AX$252)-MIN($AX$2:$AX$252))*100))</x:f>
      </x:c>
      <x:c r="AZ240">
        <x:f>IF(J240="","",LOG10(J240+1))</x:f>
      </x:c>
      <x:c r="BA240" s="10">
        <x:f>IF(AZ240="","",IF(MAX($AZ$2:$AZ$252)-MIN($AZ$2:$AZ$252)=0,"",(AZ240-MIN($AZ$2:$AZ$252))/(MAX($AZ$2:$AZ$252)-MIN($AZ$2:$AZ$252))*100))</x:f>
      </x:c>
      <x:c r="BB240">
        <x:f>IF(K240="","",LOG10(K240+1))</x:f>
      </x:c>
      <x:c r="BC240" s="10">
        <x:f>IF(BB240="","",IF(MAX($BB$2:$BB$252)-MIN($BB$2:$BB$252)=0,"",(BB240-MIN($BB$2:$BB$252))/(MAX($BB$2:$BB$252)-MIN($BB$2:$BB$252))*100))</x:f>
      </x:c>
      <x:c r="BD240">
        <x:f>IF(L240="","",LOG10(L240+1))</x:f>
      </x:c>
      <x:c r="BE240" s="10">
        <x:f>IF(BD240="","",IF(MAX($BD$2:$BD$252)-MIN($BD$2:$BD$252)=0,"",(BD240-MIN($BD$2:$BD$252))/(MAX($BD$2:$BD$252)-MIN($BD$2:$BD$252))*100))</x:f>
      </x:c>
      <x:c r="BF240" s="10">
        <x:f>IF(P240="","",IF(MAX($P$2:$P$252)-MIN($P$2:$P$252)=0,"",(P240-MIN($P$2:$P$252))/(MAX($P$2:$P$252)-MIN($P$2:$P$252))*100))</x:f>
      </x:c>
      <x:c r="BG240">
        <x:f>IF(AF240="","",LOG10(AF240+1))</x:f>
      </x:c>
      <x:c r="BH240" s="10">
        <x:f>IF(BG240="","",IF(MAX($BG$2:$BG$252)-MIN($BG$2:$BG$252)=0,"",(BG240-MIN($BG$2:$BG$252))/(MAX($BG$2:$BG$252)-MIN($BG$2:$BG$252))*100))</x:f>
      </x:c>
      <x:c r="BI240">
        <x:f>IF(AC240="","",LOG10(AC240+1))</x:f>
      </x:c>
      <x:c r="BJ240" s="10">
        <x:f>IF(BI240="","",IF(MAX($BI$2:$BI$252)-MIN($BI$2:$BI$252)=0,"",(BI240-MIN($BI$2:$BI$252))/(MAX($BI$2:$BI$252)-MIN($BI$2:$BI$252))*100))</x:f>
      </x:c>
      <x:c r="BK240">
        <x:f>IF(AD240="","",(AD240*2)+(AE240*1))</x:f>
      </x:c>
      <x:c r="BL240" s="10">
        <x:f>IF(BK240="","",IF(MAX($BK$2:$BK$252)-MIN($BK$2:$BK$252)=0,"",(BK240-MIN($BK$2:$BK$252))/(MAX($BK$2:$BK$252)-MIN($BK$2:$BK$252))*100))</x:f>
      </x:c>
      <x:c r="BM240" s="10">
        <x:f>IF(AB240="","",IF(MAX($AB$2:$AB$252)-MIN($AB$2:$AB$252)=0,"",(AB240-MIN($AB$2:$AB$252))/(MAX($AB$2:$AB$252)-MIN($AB$2:$AB$252))*100))</x:f>
      </x:c>
      <x:c r="BN240" s="10">
        <x:f>IF(X240="","",X240)</x:f>
      </x:c>
      <x:c r="BO240" s="10">
        <x:f>IF(X240="","",100-X240)</x:f>
      </x:c>
      <x:c r="BP240" s="10">
        <x:f>IF((Weights!$C$2*IF(BH240="",0,1)+Weights!$C$3*IF(BJ240="",0,1)+Weights!$C$4*IF(BL240="",0,1))=0,"",(Weights!$C$2*IF(BH240="",0,BH240)+Weights!$C$3*IF(BJ240="",0,BJ240)+Weights!$C$4*IF(BL240="",0,BL240))/(Weights!$C$2*IF(BH240="",0,1)+Weights!$C$3*IF(BJ240="",0,1)+Weights!$C$4*IF(BL240="",0,1)))</x:f>
      </x:c>
      <x:c r="BQ240" s="10">
        <x:f>IF((Weights!$C$5*IF(BA240="",0,1)+Weights!$C$6*IF(AW240="",0,1)+Weights!$C$7*IF(AU240="",0,1))=0,"",(Weights!$C$5*IF(BA240="",0,BA240)+Weights!$C$6*IF(AW240="",0,AW240)+Weights!$C$7*IF(AU240="",0,AU240))/(Weights!$C$5*IF(BA240="",0,1)+Weights!$C$6*IF(AW240="",0,1)+Weights!$C$7*IF(AU240="",0,1)))</x:f>
      </x:c>
      <x:c r="BR240" s="10">
        <x:f>IF((Weights!$C$8*IF(AW240="",0,1)+Weights!$C$9*IF(BC240="",0,1)+Weights!$C$10*IF(BF240="",0,1))=0,"",(Weights!$C$8*IF(AW240="",0,AW240)+Weights!$C$9*IF(BC240="",0,BC240)+Weights!$C$10*IF(BF240="",0,BF240))/(Weights!$C$8*IF(AW240="",0,1)+Weights!$C$9*IF(BC240="",0,1)+Weights!$C$10*IF(BF240="",0,1)))</x:f>
      </x:c>
      <x:c r="BS240" s="10">
        <x:f>IF(Y240="","",Y240)</x:f>
      </x:c>
      <x:c r="BT240" s="10">
        <x:f>IF(AS240="","",AS240)</x:f>
      </x:c>
      <x:c r="BU240" s="10">
        <x:f>IF(AJ240&lt;&gt;"",(0.6*AJ240+0.4*AU240),IF((Weights!$C$11*IF(AU240="",0,1)+Weights!$C$12*IF(BM240="",0,1))=0,"",(Weights!$C$11*IF(AU240="",0,AU240)+Weights!$C$12*IF(BM240="",0,BM240))/(Weights!$C$11*IF(AU240="",0,1)+Weights!$C$12*IF(BM240="",0,1))))</x:f>
      </x:c>
      <x:c r="BV240" s="10">
        <x:f>IF(CG240="",0,CG240)</x:f>
      </x:c>
      <x:c r="BW240" s="10">
        <x:f>IF(AP240="","",AP240)</x:f>
      </x:c>
      <x:c r="BX240" s="10">
        <x:f>IF(AO240="","",AO240)</x:f>
      </x:c>
      <x:c r="BY240" s="10">
        <x:f>IF(AL240="","",AL240)</x:f>
      </x:c>
      <x:c r="BZ240" s="10">
        <x:f>IF(AM240="","",AM240)</x:f>
      </x:c>
      <x:c r="CA240" s="10">
        <x:f>IF(AK240&lt;&gt;"",AK240,AW240)</x:f>
      </x:c>
      <x:c r="CB240" s="10">
        <x:f>IF((Weights!$C$13*IF(BP240="",0,1)+Weights!$C$14*IF(BR240="",0,1)+Weights!$C$15*IF(BQ240="",0,1)+Weights!$C$16*IF(BS240="",0,1)+Weights!$C$17*IF(BU240="",0,1)+Weights!$C$18*IF(BT240="",0,1)+Weights!$C$19*IF(BW240="",0,1)+Weights!$C$20*IF(BZ240="",0,1)+Weights!$C$21*IF(BO240="",0,1)+Weights!$C$22)=0,"",(Weights!$C$13*IF(BP240="",0,BP240)+Weights!$C$14*IF(BR240="",0,BR240)+Weights!$C$15*IF(BQ240="",0,BQ240)+Weights!$C$16*IF(BS240="",0,BS240)+Weights!$C$17*IF(BU240="",0,BU240)+Weights!$C$18*IF(BT240="",0,BT240)+Weights!$C$19*IF(BW240="",0,BW240)+Weights!$C$20*IF(BZ240="",0,BZ240)+Weights!$C$21*IF(BO240="",0,BO240)+Weights!$C$22*BV240)/(Weights!$C$13*IF(BP240="",0,1)+Weights!$C$14*IF(BR240="",0,1)+Weights!$C$15*IF(BQ240="",0,1)+Weights!$C$16*IF(BS240="",0,1)+Weights!$C$17*IF(BU240="",0,1)+Weights!$C$18*IF(BT240="",0,1)+Weights!$C$19*IF(BW240="",0,1)+Weights!$C$20*IF(BZ240="",0,1)+Weights!$C$21*IF(BO240="",0,1)+Weights!$C$22))</x:f>
      </x:c>
      <x:c r="CC240" s="10">
        <x:f>IF((Weights!$C$23*IF(BQ240="",0,1)+Weights!$C$24*IF(BN240="",0,1)+Weights!$C$25*IF(BS240="",0,1)+Weights!$C$26*IF(BY240="",0,1)+Weights!$C$27*IF(BX240="",0,1)+Weights!$C$28*IF(BT240="",0,1)+Weights!$C$29*IF(CA240="",0,1)+Weights!$C$30+Weights!$C$31*IF(BU240="",0,1))=0,"",(Weights!$C$23*IF(BQ240="",0,BQ240)+Weights!$C$24*IF(BN240="",0,BN240)+Weights!$C$25*IF(BS240="",0,BS240)+Weights!$C$26*IF(BY240="",0,BY240)+Weights!$C$27*IF(BX240="",0,BX240)+Weights!$C$28*IF(BT240="",0,BT240)+Weights!$C$29*IF(CA240="",0,CA240)+Weights!$C$30*BV240+Weights!$C$31*IF(BU240="",0,BU240))/(Weights!$C$23*IF(BQ240="",0,1)+Weights!$C$24*IF(BN240="",0,1)+Weights!$C$25*IF(BS240="",0,1)+Weights!$C$26*IF(BY240="",0,1)+Weights!$C$27*IF(BX240="",0,1)+Weights!$C$28*IF(BT240="",0,1)+Weights!$C$29*IF(CA240="",0,1)+Weights!$C$30+Weights!$C$31*IF(BU240="",0,1)))</x:f>
      </x:c>
      <x:c r="CD240" s="10">
        <x:f>IF(AND(CB240="",CC240=""),"",IF(CB240="",CC240,IF(CC240="",CB240,AVERAGE(CB240,CC240))))</x:f>
      </x:c>
      <x:c r="CE240" s="7">
        <x:f>ROUND(100*((IF(BP240&lt;&gt;"",1,0)+IF(BQ240&lt;&gt;"",1,0)+IF(BR240&lt;&gt;"",1,0)+IF(BS240&lt;&gt;"",1,0)+IF(BU240&lt;&gt;"",1,0)+IF(BT240&lt;&gt;"",1,0)+IF(BN240&lt;&gt;"",1,0)+IF(AW240&lt;&gt;"",1,0))/8),0)</x:f>
      </x:c>
      <x:c r="CF240">
        <x:f>IF(V240="","",LOG10(V240+1))</x:f>
      </x:c>
      <x:c r="CG240">
        <x:f>IF(CF240="","",IF(MAX($CF$2:$CF$252)-MIN($CF$2:$CF$252)=0,"",(CF240-MIN($CF$2:$CF$252))/(MAX($CF$2:$CF$252)-MIN($CF$2:$CF$252))*100))</x:f>
      </x:c>
    </x:row>
    <x:row r="241">
      <x:c r="A241" t="inlineStr">
        <x:is>
          <x:t xml:space="preserve">UMI</x:t>
        </x:is>
      </x:c>
      <x:c r="B241" t="inlineStr">
        <x:is>
          <x:t xml:space="preserve">United States Minor Outlying Islands</x:t>
        </x:is>
      </x:c>
      <x:c r="N241" s="8" t="n"/>
      <x:c r="O241" s="9" t="n"/>
      <x:c r="P241" s="8" t="n"/>
      <x:c r="R241" s="8" t="n"/>
      <x:c r="AB241" s="8" t="n"/>
      <x:c r="AR241">
        <x:f>IF(G241="","",LOG10(G241+1))</x:f>
      </x:c>
      <x:c r="AS241" s="10">
        <x:f>IF(AR241="","",IF(MAX($AR$2:$AR$252)-MIN($AR$2:$AR$252)=0,"",(AR241-MIN($AR$2:$AR$252))/(MAX($AR$2:$AR$252)-MIN($AR$2:$AR$252))*100))</x:f>
      </x:c>
      <x:c r="AT241">
        <x:f>IF(R241="","",LOG10(R241+1))</x:f>
      </x:c>
      <x:c r="AU241" s="10">
        <x:f>IF(AT241="","",IF(MAX($AT$2:$AT$252)-MIN($AT$2:$AT$252)=0,"",(AT241-MIN($AT$2:$AT$252))/(MAX($AT$2:$AT$252)-MIN($AT$2:$AT$252))*100))</x:f>
      </x:c>
      <x:c r="AV241">
        <x:f>IF(N241="","",LOG10(N241+1))</x:f>
      </x:c>
      <x:c r="AW241" s="10">
        <x:f>IF(AV241="","",IF(MAX($AV$2:$AV$252)-MIN($AV$2:$AV$252)=0,"",(AV241-MIN($AV$2:$AV$252))/(MAX($AV$2:$AV$252)-MIN($AV$2:$AV$252))*100))</x:f>
      </x:c>
      <x:c r="AX241">
        <x:f>IF(I241="","",LOG10(I241+1))</x:f>
      </x:c>
      <x:c r="AY241" s="10">
        <x:f>IF(AX241="","",IF(MAX($AX$2:$AX$252)-MIN($AX$2:$AX$252)=0,"",(AX241-MIN($AX$2:$AX$252))/(MAX($AX$2:$AX$252)-MIN($AX$2:$AX$252))*100))</x:f>
      </x:c>
      <x:c r="AZ241">
        <x:f>IF(J241="","",LOG10(J241+1))</x:f>
      </x:c>
      <x:c r="BA241" s="10">
        <x:f>IF(AZ241="","",IF(MAX($AZ$2:$AZ$252)-MIN($AZ$2:$AZ$252)=0,"",(AZ241-MIN($AZ$2:$AZ$252))/(MAX($AZ$2:$AZ$252)-MIN($AZ$2:$AZ$252))*100))</x:f>
      </x:c>
      <x:c r="BB241">
        <x:f>IF(K241="","",LOG10(K241+1))</x:f>
      </x:c>
      <x:c r="BC241" s="10">
        <x:f>IF(BB241="","",IF(MAX($BB$2:$BB$252)-MIN($BB$2:$BB$252)=0,"",(BB241-MIN($BB$2:$BB$252))/(MAX($BB$2:$BB$252)-MIN($BB$2:$BB$252))*100))</x:f>
      </x:c>
      <x:c r="BD241">
        <x:f>IF(L241="","",LOG10(L241+1))</x:f>
      </x:c>
      <x:c r="BE241" s="10">
        <x:f>IF(BD241="","",IF(MAX($BD$2:$BD$252)-MIN($BD$2:$BD$252)=0,"",(BD241-MIN($BD$2:$BD$252))/(MAX($BD$2:$BD$252)-MIN($BD$2:$BD$252))*100))</x:f>
      </x:c>
      <x:c r="BF241" s="10">
        <x:f>IF(P241="","",IF(MAX($P$2:$P$252)-MIN($P$2:$P$252)=0,"",(P241-MIN($P$2:$P$252))/(MAX($P$2:$P$252)-MIN($P$2:$P$252))*100))</x:f>
      </x:c>
      <x:c r="BG241">
        <x:f>IF(AF241="","",LOG10(AF241+1))</x:f>
      </x:c>
      <x:c r="BH241" s="10">
        <x:f>IF(BG241="","",IF(MAX($BG$2:$BG$252)-MIN($BG$2:$BG$252)=0,"",(BG241-MIN($BG$2:$BG$252))/(MAX($BG$2:$BG$252)-MIN($BG$2:$BG$252))*100))</x:f>
      </x:c>
      <x:c r="BI241">
        <x:f>IF(AC241="","",LOG10(AC241+1))</x:f>
      </x:c>
      <x:c r="BJ241" s="10">
        <x:f>IF(BI241="","",IF(MAX($BI$2:$BI$252)-MIN($BI$2:$BI$252)=0,"",(BI241-MIN($BI$2:$BI$252))/(MAX($BI$2:$BI$252)-MIN($BI$2:$BI$252))*100))</x:f>
      </x:c>
      <x:c r="BK241">
        <x:f>IF(AD241="","",(AD241*2)+(AE241*1))</x:f>
      </x:c>
      <x:c r="BL241" s="10">
        <x:f>IF(BK241="","",IF(MAX($BK$2:$BK$252)-MIN($BK$2:$BK$252)=0,"",(BK241-MIN($BK$2:$BK$252))/(MAX($BK$2:$BK$252)-MIN($BK$2:$BK$252))*100))</x:f>
      </x:c>
      <x:c r="BM241" s="10">
        <x:f>IF(AB241="","",IF(MAX($AB$2:$AB$252)-MIN($AB$2:$AB$252)=0,"",(AB241-MIN($AB$2:$AB$252))/(MAX($AB$2:$AB$252)-MIN($AB$2:$AB$252))*100))</x:f>
      </x:c>
      <x:c r="BN241" s="10">
        <x:f>IF(X241="","",X241)</x:f>
      </x:c>
      <x:c r="BO241" s="10">
        <x:f>IF(X241="","",100-X241)</x:f>
      </x:c>
      <x:c r="BP241" s="10">
        <x:f>IF((Weights!$C$2*IF(BH241="",0,1)+Weights!$C$3*IF(BJ241="",0,1)+Weights!$C$4*IF(BL241="",0,1))=0,"",(Weights!$C$2*IF(BH241="",0,BH241)+Weights!$C$3*IF(BJ241="",0,BJ241)+Weights!$C$4*IF(BL241="",0,BL241))/(Weights!$C$2*IF(BH241="",0,1)+Weights!$C$3*IF(BJ241="",0,1)+Weights!$C$4*IF(BL241="",0,1)))</x:f>
      </x:c>
      <x:c r="BQ241" s="10">
        <x:f>IF((Weights!$C$5*IF(BA241="",0,1)+Weights!$C$6*IF(AW241="",0,1)+Weights!$C$7*IF(AU241="",0,1))=0,"",(Weights!$C$5*IF(BA241="",0,BA241)+Weights!$C$6*IF(AW241="",0,AW241)+Weights!$C$7*IF(AU241="",0,AU241))/(Weights!$C$5*IF(BA241="",0,1)+Weights!$C$6*IF(AW241="",0,1)+Weights!$C$7*IF(AU241="",0,1)))</x:f>
      </x:c>
      <x:c r="BR241" s="10">
        <x:f>IF((Weights!$C$8*IF(AW241="",0,1)+Weights!$C$9*IF(BC241="",0,1)+Weights!$C$10*IF(BF241="",0,1))=0,"",(Weights!$C$8*IF(AW241="",0,AW241)+Weights!$C$9*IF(BC241="",0,BC241)+Weights!$C$10*IF(BF241="",0,BF241))/(Weights!$C$8*IF(AW241="",0,1)+Weights!$C$9*IF(BC241="",0,1)+Weights!$C$10*IF(BF241="",0,1)))</x:f>
      </x:c>
      <x:c r="BS241" s="10">
        <x:f>IF(Y241="","",Y241)</x:f>
      </x:c>
      <x:c r="BT241" s="10">
        <x:f>IF(AS241="","",AS241)</x:f>
      </x:c>
      <x:c r="BU241" s="10">
        <x:f>IF(AJ241&lt;&gt;"",(0.6*AJ241+0.4*AU241),IF((Weights!$C$11*IF(AU241="",0,1)+Weights!$C$12*IF(BM241="",0,1))=0,"",(Weights!$C$11*IF(AU241="",0,AU241)+Weights!$C$12*IF(BM241="",0,BM241))/(Weights!$C$11*IF(AU241="",0,1)+Weights!$C$12*IF(BM241="",0,1))))</x:f>
      </x:c>
      <x:c r="BV241" s="10">
        <x:f>IF(CG241="",0,CG241)</x:f>
      </x:c>
      <x:c r="BW241" s="10">
        <x:f>IF(AP241="","",AP241)</x:f>
      </x:c>
      <x:c r="BX241" s="10">
        <x:f>IF(AO241="","",AO241)</x:f>
      </x:c>
      <x:c r="BY241" s="10">
        <x:f>IF(AL241="","",AL241)</x:f>
      </x:c>
      <x:c r="BZ241" s="10">
        <x:f>IF(AM241="","",AM241)</x:f>
      </x:c>
      <x:c r="CA241" s="10">
        <x:f>IF(AK241&lt;&gt;"",AK241,AW241)</x:f>
      </x:c>
      <x:c r="CB241" s="10">
        <x:f>IF((Weights!$C$13*IF(BP241="",0,1)+Weights!$C$14*IF(BR241="",0,1)+Weights!$C$15*IF(BQ241="",0,1)+Weights!$C$16*IF(BS241="",0,1)+Weights!$C$17*IF(BU241="",0,1)+Weights!$C$18*IF(BT241="",0,1)+Weights!$C$19*IF(BW241="",0,1)+Weights!$C$20*IF(BZ241="",0,1)+Weights!$C$21*IF(BO241="",0,1)+Weights!$C$22)=0,"",(Weights!$C$13*IF(BP241="",0,BP241)+Weights!$C$14*IF(BR241="",0,BR241)+Weights!$C$15*IF(BQ241="",0,BQ241)+Weights!$C$16*IF(BS241="",0,BS241)+Weights!$C$17*IF(BU241="",0,BU241)+Weights!$C$18*IF(BT241="",0,BT241)+Weights!$C$19*IF(BW241="",0,BW241)+Weights!$C$20*IF(BZ241="",0,BZ241)+Weights!$C$21*IF(BO241="",0,BO241)+Weights!$C$22*BV241)/(Weights!$C$13*IF(BP241="",0,1)+Weights!$C$14*IF(BR241="",0,1)+Weights!$C$15*IF(BQ241="",0,1)+Weights!$C$16*IF(BS241="",0,1)+Weights!$C$17*IF(BU241="",0,1)+Weights!$C$18*IF(BT241="",0,1)+Weights!$C$19*IF(BW241="",0,1)+Weights!$C$20*IF(BZ241="",0,1)+Weights!$C$21*IF(BO241="",0,1)+Weights!$C$22))</x:f>
      </x:c>
      <x:c r="CC241" s="10">
        <x:f>IF((Weights!$C$23*IF(BQ241="",0,1)+Weights!$C$24*IF(BN241="",0,1)+Weights!$C$25*IF(BS241="",0,1)+Weights!$C$26*IF(BY241="",0,1)+Weights!$C$27*IF(BX241="",0,1)+Weights!$C$28*IF(BT241="",0,1)+Weights!$C$29*IF(CA241="",0,1)+Weights!$C$30+Weights!$C$31*IF(BU241="",0,1))=0,"",(Weights!$C$23*IF(BQ241="",0,BQ241)+Weights!$C$24*IF(BN241="",0,BN241)+Weights!$C$25*IF(BS241="",0,BS241)+Weights!$C$26*IF(BY241="",0,BY241)+Weights!$C$27*IF(BX241="",0,BX241)+Weights!$C$28*IF(BT241="",0,BT241)+Weights!$C$29*IF(CA241="",0,CA241)+Weights!$C$30*BV241+Weights!$C$31*IF(BU241="",0,BU241))/(Weights!$C$23*IF(BQ241="",0,1)+Weights!$C$24*IF(BN241="",0,1)+Weights!$C$25*IF(BS241="",0,1)+Weights!$C$26*IF(BY241="",0,1)+Weights!$C$27*IF(BX241="",0,1)+Weights!$C$28*IF(BT241="",0,1)+Weights!$C$29*IF(CA241="",0,1)+Weights!$C$30+Weights!$C$31*IF(BU241="",0,1)))</x:f>
      </x:c>
      <x:c r="CD241" s="10">
        <x:f>IF(AND(CB241="",CC241=""),"",IF(CB241="",CC241,IF(CC241="",CB241,AVERAGE(CB241,CC241))))</x:f>
      </x:c>
      <x:c r="CE241" s="7">
        <x:f>ROUND(100*((IF(BP241&lt;&gt;"",1,0)+IF(BQ241&lt;&gt;"",1,0)+IF(BR241&lt;&gt;"",1,0)+IF(BS241&lt;&gt;"",1,0)+IF(BU241&lt;&gt;"",1,0)+IF(BT241&lt;&gt;"",1,0)+IF(BN241&lt;&gt;"",1,0)+IF(AW241&lt;&gt;"",1,0))/8),0)</x:f>
      </x:c>
      <x:c r="CF241">
        <x:f>IF(V241="","",LOG10(V241+1))</x:f>
      </x:c>
      <x:c r="CG241">
        <x:f>IF(CF241="","",IF(MAX($CF$2:$CF$252)-MIN($CF$2:$CF$252)=0,"",(CF241-MIN($CF$2:$CF$252))/(MAX($CF$2:$CF$252)-MIN($CF$2:$CF$252))*100))</x:f>
      </x:c>
    </x:row>
    <x:row r="242">
      <x:c r="A242" t="inlineStr">
        <x:is>
          <x:t xml:space="preserve">USA</x:t>
        </x:is>
      </x:c>
      <x:c r="B242" t="inlineStr">
        <x:is>
          <x:t xml:space="preserve">United States</x:t>
        </x:is>
      </x:c>
      <x:c r="C242" t="inlineStr">
        <x:is>
          <x:t xml:space="preserve">North America</x:t>
        </x:is>
      </x:c>
      <x:c r="D242" t="inlineStr">
        <x:is>
          <x:t xml:space="preserve">High income</x:t>
        </x:is>
      </x:c>
      <x:c r="E242" t="inlineStr">
        <x:is>
          <x:t xml:space="preserve">North America</x:t>
        </x:is>
      </x:c>
      <x:c r="F242" t="n">
        <x:v>2024</x:v>
      </x:c>
      <x:c r="G242" t="n">
        <x:v>340110988</x:v>
      </x:c>
      <x:c r="H242" t="n">
        <x:v>2020</x:v>
      </x:c>
      <x:c r="I242" t="n">
        <x:v>1395000</x:v>
      </x:c>
      <x:c r="J242" t="n">
        <x:v>906750</x:v>
      </x:c>
      <x:c r="K242" t="n">
        <x:v>279000</x:v>
      </x:c>
      <x:c r="L242" t="n">
        <x:v>167400</x:v>
      </x:c>
      <x:c r="M242" t="n">
        <x:v>2024</x:v>
      </x:c>
      <x:c r="N242" s="8" t="n">
        <x:v>997309000000</x:v>
      </x:c>
      <x:c r="O242" s="9" t="n">
        <x:v>3.41921653228044</x:v>
      </x:c>
      <x:c r="P242" s="8" t="n">
        <x:v>714916.8458781362</x:v>
      </x:c>
      <x:c r="Q242" t="n">
        <x:v>2024</x:v>
      </x:c>
      <x:c r="R242" s="8" t="n">
        <x:v>28750956130731.2</x:v>
      </x:c>
      <x:c r="S242" t="n">
        <x:v>0</x:v>
      </x:c>
      <x:c r="T242" t="n">
        <x:v>0</x:v>
      </x:c>
      <x:c r="U242" t="inlineStr">
        <x:is>
          <x:t xml:space="preserve">Yes</x:t>
        </x:is>
      </x:c>
      <x:c r="V242" t="n">
        <x:v>3862</x:v>
      </x:c>
      <x:c r="W242" t="inlineStr">
        <x:is>
          <x:t xml:space="preserve">Yes</x:t>
        </x:is>
      </x:c>
      <x:c r="X242" t="n">
        <x:v>63.72264242861768</x:v>
      </x:c>
      <x:c r="Y242" t="n">
        <x:v>75.28733665674866</x:v>
      </x:c>
      <x:c r="Z242" t="n">
        <x:v>9510743.744824579</x:v>
      </x:c>
      <x:c r="AA242" t="n">
        <x:v>34.34282320746351</x:v>
      </x:c>
      <x:c r="AB242" s="8" t="n">
        <x:v>56823.4368240688</x:v>
      </x:c>
      <x:c r="AC242" t="n">
        <x:v>472</x:v>
      </x:c>
      <x:c r="AD242" t="n">
        <x:v>11</x:v>
      </x:c>
      <x:c r="AE242" t="n">
        <x:v>9</x:v>
      </x:c>
      <x:c r="AF242" t="n">
        <x:v>323.9</x:v>
      </x:c>
      <x:c r="AG242" t="n">
        <x:v>232</x:v>
      </x:c>
      <x:c r="AH242" t="n">
        <x:v>1</x:v>
      </x:c>
      <x:c r="AI242" t="n">
        <x:v>80.5</x:v>
      </x:c>
      <x:c r="AJ242" t="n">
        <x:v>87.8</x:v>
      </x:c>
      <x:c r="AK242" t="n">
        <x:v>88.90000000000001</x:v>
      </x:c>
      <x:c r="AL242" t="n">
        <x:v>84.3</x:v>
      </x:c>
      <x:c r="AM242" t="n">
        <x:v>77.3</x:v>
      </x:c>
      <x:c r="AN242" t="n">
        <x:v>56.8</x:v>
      </x:c>
      <x:c r="AO242" t="n">
        <x:v>81.40000000000001</x:v>
      </x:c>
      <x:c r="AP242" t="n">
        <x:v>82.7</x:v>
      </x:c>
      <x:c r="AQ242" t="n">
        <x:v>84.2</x:v>
      </x:c>
      <x:c r="AR242">
        <x:f>IF(G242="","",LOG10(G242+1))</x:f>
      </x:c>
      <x:c r="AS242" s="10">
        <x:f>IF(AR242="","",IF(MAX($AR$2:$AR$252)-MIN($AR$2:$AR$252)=0,"",(AR242-MIN($AR$2:$AR$252))/(MAX($AR$2:$AR$252)-MIN($AR$2:$AR$252))*100))</x:f>
      </x:c>
      <x:c r="AT242">
        <x:f>IF(R242="","",LOG10(R242+1))</x:f>
      </x:c>
      <x:c r="AU242" s="10">
        <x:f>IF(AT242="","",IF(MAX($AT$2:$AT$252)-MIN($AT$2:$AT$252)=0,"",(AT242-MIN($AT$2:$AT$252))/(MAX($AT$2:$AT$252)-MIN($AT$2:$AT$252))*100))</x:f>
      </x:c>
      <x:c r="AV242">
        <x:f>IF(N242="","",LOG10(N242+1))</x:f>
      </x:c>
      <x:c r="AW242" s="10">
        <x:f>IF(AV242="","",IF(MAX($AV$2:$AV$252)-MIN($AV$2:$AV$252)=0,"",(AV242-MIN($AV$2:$AV$252))/(MAX($AV$2:$AV$252)-MIN($AV$2:$AV$252))*100))</x:f>
      </x:c>
      <x:c r="AX242">
        <x:f>IF(I242="","",LOG10(I242+1))</x:f>
      </x:c>
      <x:c r="AY242" s="10">
        <x:f>IF(AX242="","",IF(MAX($AX$2:$AX$252)-MIN($AX$2:$AX$252)=0,"",(AX242-MIN($AX$2:$AX$252))/(MAX($AX$2:$AX$252)-MIN($AX$2:$AX$252))*100))</x:f>
      </x:c>
      <x:c r="AZ242">
        <x:f>IF(J242="","",LOG10(J242+1))</x:f>
      </x:c>
      <x:c r="BA242" s="10">
        <x:f>IF(AZ242="","",IF(MAX($AZ$2:$AZ$252)-MIN($AZ$2:$AZ$252)=0,"",(AZ242-MIN($AZ$2:$AZ$252))/(MAX($AZ$2:$AZ$252)-MIN($AZ$2:$AZ$252))*100))</x:f>
      </x:c>
      <x:c r="BB242">
        <x:f>IF(K242="","",LOG10(K242+1))</x:f>
      </x:c>
      <x:c r="BC242" s="10">
        <x:f>IF(BB242="","",IF(MAX($BB$2:$BB$252)-MIN($BB$2:$BB$252)=0,"",(BB242-MIN($BB$2:$BB$252))/(MAX($BB$2:$BB$252)-MIN($BB$2:$BB$252))*100))</x:f>
      </x:c>
      <x:c r="BD242">
        <x:f>IF(L242="","",LOG10(L242+1))</x:f>
      </x:c>
      <x:c r="BE242" s="10">
        <x:f>IF(BD242="","",IF(MAX($BD$2:$BD$252)-MIN($BD$2:$BD$252)=0,"",(BD242-MIN($BD$2:$BD$252))/(MAX($BD$2:$BD$252)-MIN($BD$2:$BD$252))*100))</x:f>
      </x:c>
      <x:c r="BF242" s="10">
        <x:f>IF(P242="","",IF(MAX($P$2:$P$252)-MIN($P$2:$P$252)=0,"",(P242-MIN($P$2:$P$252))/(MAX($P$2:$P$252)-MIN($P$2:$P$252))*100))</x:f>
      </x:c>
      <x:c r="BG242">
        <x:f>IF(AF242="","",LOG10(AF242+1))</x:f>
      </x:c>
      <x:c r="BH242" s="10">
        <x:f>IF(BG242="","",IF(MAX($BG$2:$BG$252)-MIN($BG$2:$BG$252)=0,"",(BG242-MIN($BG$2:$BG$252))/(MAX($BG$2:$BG$252)-MIN($BG$2:$BG$252))*100))</x:f>
      </x:c>
      <x:c r="BI242">
        <x:f>IF(AC242="","",LOG10(AC242+1))</x:f>
      </x:c>
      <x:c r="BJ242" s="10">
        <x:f>IF(BI242="","",IF(MAX($BI$2:$BI$252)-MIN($BI$2:$BI$252)=0,"",(BI242-MIN($BI$2:$BI$252))/(MAX($BI$2:$BI$252)-MIN($BI$2:$BI$252))*100))</x:f>
      </x:c>
      <x:c r="BK242">
        <x:f>IF(AD242="","",(AD242*2)+(AE242*1))</x:f>
      </x:c>
      <x:c r="BL242" s="10">
        <x:f>IF(BK242="","",IF(MAX($BK$2:$BK$252)-MIN($BK$2:$BK$252)=0,"",(BK242-MIN($BK$2:$BK$252))/(MAX($BK$2:$BK$252)-MIN($BK$2:$BK$252))*100))</x:f>
      </x:c>
      <x:c r="BM242" s="10">
        <x:f>IF(AB242="","",IF(MAX($AB$2:$AB$252)-MIN($AB$2:$AB$252)=0,"",(AB242-MIN($AB$2:$AB$252))/(MAX($AB$2:$AB$252)-MIN($AB$2:$AB$252))*100))</x:f>
      </x:c>
      <x:c r="BN242" s="10">
        <x:f>IF(X242="","",X242)</x:f>
      </x:c>
      <x:c r="BO242" s="10">
        <x:f>IF(X242="","",100-X242)</x:f>
      </x:c>
      <x:c r="BP242" s="10">
        <x:f>IF((Weights!$C$2*IF(BH242="",0,1)+Weights!$C$3*IF(BJ242="",0,1)+Weights!$C$4*IF(BL242="",0,1))=0,"",(Weights!$C$2*IF(BH242="",0,BH242)+Weights!$C$3*IF(BJ242="",0,BJ242)+Weights!$C$4*IF(BL242="",0,BL242))/(Weights!$C$2*IF(BH242="",0,1)+Weights!$C$3*IF(BJ242="",0,1)+Weights!$C$4*IF(BL242="",0,1)))</x:f>
      </x:c>
      <x:c r="BQ242" s="10">
        <x:f>IF((Weights!$C$5*IF(BA242="",0,1)+Weights!$C$6*IF(AW242="",0,1)+Weights!$C$7*IF(AU242="",0,1))=0,"",(Weights!$C$5*IF(BA242="",0,BA242)+Weights!$C$6*IF(AW242="",0,AW242)+Weights!$C$7*IF(AU242="",0,AU242))/(Weights!$C$5*IF(BA242="",0,1)+Weights!$C$6*IF(AW242="",0,1)+Weights!$C$7*IF(AU242="",0,1)))</x:f>
      </x:c>
      <x:c r="BR242" s="10">
        <x:f>IF((Weights!$C$8*IF(AW242="",0,1)+Weights!$C$9*IF(BC242="",0,1)+Weights!$C$10*IF(BF242="",0,1))=0,"",(Weights!$C$8*IF(AW242="",0,AW242)+Weights!$C$9*IF(BC242="",0,BC242)+Weights!$C$10*IF(BF242="",0,BF242))/(Weights!$C$8*IF(AW242="",0,1)+Weights!$C$9*IF(BC242="",0,1)+Weights!$C$10*IF(BF242="",0,1)))</x:f>
      </x:c>
      <x:c r="BS242" s="10">
        <x:f>IF(Y242="","",Y242)</x:f>
      </x:c>
      <x:c r="BT242" s="10">
        <x:f>IF(AS242="","",AS242)</x:f>
      </x:c>
      <x:c r="BU242" s="10">
        <x:f>IF(AJ242&lt;&gt;"",(0.6*AJ242+0.4*AU242),IF((Weights!$C$11*IF(AU242="",0,1)+Weights!$C$12*IF(BM242="",0,1))=0,"",(Weights!$C$11*IF(AU242="",0,AU242)+Weights!$C$12*IF(BM242="",0,BM242))/(Weights!$C$11*IF(AU242="",0,1)+Weights!$C$12*IF(BM242="",0,1))))</x:f>
      </x:c>
      <x:c r="BV242" s="10">
        <x:f>IF(CG242="",0,CG242)</x:f>
      </x:c>
      <x:c r="BW242" s="10">
        <x:f>IF(AP242="","",AP242)</x:f>
      </x:c>
      <x:c r="BX242" s="10">
        <x:f>IF(AO242="","",AO242)</x:f>
      </x:c>
      <x:c r="BY242" s="10">
        <x:f>IF(AL242="","",AL242)</x:f>
      </x:c>
      <x:c r="BZ242" s="10">
        <x:f>IF(AM242="","",AM242)</x:f>
      </x:c>
      <x:c r="CA242" s="10">
        <x:f>IF(AK242&lt;&gt;"",AK242,AW242)</x:f>
      </x:c>
      <x:c r="CB242" s="10">
        <x:f>IF((Weights!$C$13*IF(BP242="",0,1)+Weights!$C$14*IF(BR242="",0,1)+Weights!$C$15*IF(BQ242="",0,1)+Weights!$C$16*IF(BS242="",0,1)+Weights!$C$17*IF(BU242="",0,1)+Weights!$C$18*IF(BT242="",0,1)+Weights!$C$19*IF(BW242="",0,1)+Weights!$C$20*IF(BZ242="",0,1)+Weights!$C$21*IF(BO242="",0,1)+Weights!$C$22)=0,"",(Weights!$C$13*IF(BP242="",0,BP242)+Weights!$C$14*IF(BR242="",0,BR242)+Weights!$C$15*IF(BQ242="",0,BQ242)+Weights!$C$16*IF(BS242="",0,BS242)+Weights!$C$17*IF(BU242="",0,BU242)+Weights!$C$18*IF(BT242="",0,BT242)+Weights!$C$19*IF(BW242="",0,BW242)+Weights!$C$20*IF(BZ242="",0,BZ242)+Weights!$C$21*IF(BO242="",0,BO242)+Weights!$C$22*BV242)/(Weights!$C$13*IF(BP242="",0,1)+Weights!$C$14*IF(BR242="",0,1)+Weights!$C$15*IF(BQ242="",0,1)+Weights!$C$16*IF(BS242="",0,1)+Weights!$C$17*IF(BU242="",0,1)+Weights!$C$18*IF(BT242="",0,1)+Weights!$C$19*IF(BW242="",0,1)+Weights!$C$20*IF(BZ242="",0,1)+Weights!$C$21*IF(BO242="",0,1)+Weights!$C$22))</x:f>
      </x:c>
      <x:c r="CC242" s="10">
        <x:f>IF((Weights!$C$23*IF(BQ242="",0,1)+Weights!$C$24*IF(BN242="",0,1)+Weights!$C$25*IF(BS242="",0,1)+Weights!$C$26*IF(BY242="",0,1)+Weights!$C$27*IF(BX242="",0,1)+Weights!$C$28*IF(BT242="",0,1)+Weights!$C$29*IF(CA242="",0,1)+Weights!$C$30+Weights!$C$31*IF(BU242="",0,1))=0,"",(Weights!$C$23*IF(BQ242="",0,BQ242)+Weights!$C$24*IF(BN242="",0,BN242)+Weights!$C$25*IF(BS242="",0,BS242)+Weights!$C$26*IF(BY242="",0,BY242)+Weights!$C$27*IF(BX242="",0,BX242)+Weights!$C$28*IF(BT242="",0,BT242)+Weights!$C$29*IF(CA242="",0,CA242)+Weights!$C$30*BV242+Weights!$C$31*IF(BU242="",0,BU242))/(Weights!$C$23*IF(BQ242="",0,1)+Weights!$C$24*IF(BN242="",0,1)+Weights!$C$25*IF(BS242="",0,1)+Weights!$C$26*IF(BY242="",0,1)+Weights!$C$27*IF(BX242="",0,1)+Weights!$C$28*IF(BT242="",0,1)+Weights!$C$29*IF(CA242="",0,1)+Weights!$C$30+Weights!$C$31*IF(BU242="",0,1)))</x:f>
      </x:c>
      <x:c r="CD242" s="10">
        <x:f>IF(AND(CB242="",CC242=""),"",IF(CB242="",CC242,IF(CC242="",CB242,AVERAGE(CB242,CC242))))</x:f>
      </x:c>
      <x:c r="CE242" s="7">
        <x:f>ROUND(100*((IF(BP242&lt;&gt;"",1,0)+IF(BQ242&lt;&gt;"",1,0)+IF(BR242&lt;&gt;"",1,0)+IF(BS242&lt;&gt;"",1,0)+IF(BU242&lt;&gt;"",1,0)+IF(BT242&lt;&gt;"",1,0)+IF(BN242&lt;&gt;"",1,0)+IF(AW242&lt;&gt;"",1,0))/8),0)</x:f>
      </x:c>
      <x:c r="CF242">
        <x:f>IF(V242="","",LOG10(V242+1))</x:f>
      </x:c>
      <x:c r="CG242">
        <x:f>IF(CF242="","",IF(MAX($CF$2:$CF$252)-MIN($CF$2:$CF$252)=0,"",(CF242-MIN($CF$2:$CF$252))/(MAX($CF$2:$CF$252)-MIN($CF$2:$CF$252))*100))</x:f>
      </x:c>
    </x:row>
    <x:row r="243">
      <x:c r="A243" t="inlineStr">
        <x:is>
          <x:t xml:space="preserve">VEN</x:t>
        </x:is>
      </x:c>
      <x:c r="B243" t="inlineStr">
        <x:is>
          <x:t xml:space="preserve">Venezuela, RB</x:t>
        </x:is>
      </x:c>
      <x:c r="C243" t="inlineStr">
        <x:is>
          <x:t xml:space="preserve">Latin America &amp; Caribbean</x:t>
        </x:is>
      </x:c>
      <x:c r="E243" t="inlineStr">
        <x:is>
          <x:t xml:space="preserve">South America</x:t>
        </x:is>
      </x:c>
      <x:c r="F243" t="n">
        <x:v>2024</x:v>
      </x:c>
      <x:c r="G243" t="n">
        <x:v>28405543</x:v>
      </x:c>
      <x:c r="H243" t="n">
        <x:v>2020</x:v>
      </x:c>
      <x:c r="I243" t="n">
        <x:v>343000</x:v>
      </x:c>
      <x:c r="J243" t="n">
        <x:v>222950</x:v>
      </x:c>
      <x:c r="K243" t="n">
        <x:v>68600</x:v>
      </x:c>
      <x:c r="L243" t="n">
        <x:v>41160</x:v>
      </x:c>
      <x:c r="M243" t="n">
        <x:v>2024</x:v>
      </x:c>
      <x:c r="N243" s="8" t="n">
        <x:v>0</x:v>
      </x:c>
      <x:c r="O243" s="9" t="n">
        <x:v>0.500704497643446</x:v>
      </x:c>
      <x:c r="P243" s="8" t="n">
        <x:v>0</x:v>
      </x:c>
      <x:c r="Q243" t="n">
        <x:v>2024</x:v>
      </x:c>
      <x:c r="R243" s="8" t="n">
        <x:v>119802963257.783</x:v>
      </x:c>
      <x:c r="S243" t="n">
        <x:v>2</x:v>
      </x:c>
      <x:c r="T243" t="n">
        <x:v>0</x:v>
      </x:c>
      <x:c r="U243" t="inlineStr">
        <x:is>
          <x:t xml:space="preserve">No</x:t>
        </x:is>
      </x:c>
      <x:c r="W243" t="inlineStr">
        <x:is>
          <x:t xml:space="preserve">No</x:t>
        </x:is>
      </x:c>
      <x:c r="X243" t="n">
        <x:v>28.0005116033947</x:v>
      </x:c>
      <x:c r="Y243" t="n">
        <x:v>55.77370092803577</x:v>
      </x:c>
      <x:c r="Z243" t="n">
        <x:v>908499.0704928687</x:v>
      </x:c>
      <x:c r="AA243" t="n">
        <x:v>34.45684978303533</x:v>
      </x:c>
      <x:c r="AB243" s="8" t="n">
        <x:v>14969.32534151529</x:v>
      </x:c>
      <x:c r="AC243" t="n">
        <x:v>32</x:v>
      </x:c>
      <x:c r="AD243" t="n">
        <x:v>0</x:v>
      </x:c>
      <x:c r="AE243" t="n">
        <x:v>0</x:v>
      </x:c>
      <x:c r="AR243">
        <x:f>IF(G243="","",LOG10(G243+1))</x:f>
      </x:c>
      <x:c r="AS243" s="10">
        <x:f>IF(AR243="","",IF(MAX($AR$2:$AR$252)-MIN($AR$2:$AR$252)=0,"",(AR243-MIN($AR$2:$AR$252))/(MAX($AR$2:$AR$252)-MIN($AR$2:$AR$252))*100))</x:f>
      </x:c>
      <x:c r="AT243">
        <x:f>IF(R243="","",LOG10(R243+1))</x:f>
      </x:c>
      <x:c r="AU243" s="10">
        <x:f>IF(AT243="","",IF(MAX($AT$2:$AT$252)-MIN($AT$2:$AT$252)=0,"",(AT243-MIN($AT$2:$AT$252))/(MAX($AT$2:$AT$252)-MIN($AT$2:$AT$252))*100))</x:f>
      </x:c>
      <x:c r="AV243">
        <x:f>IF(N243="","",LOG10(N243+1))</x:f>
      </x:c>
      <x:c r="AW243" s="10">
        <x:f>IF(AV243="","",IF(MAX($AV$2:$AV$252)-MIN($AV$2:$AV$252)=0,"",(AV243-MIN($AV$2:$AV$252))/(MAX($AV$2:$AV$252)-MIN($AV$2:$AV$252))*100))</x:f>
      </x:c>
      <x:c r="AX243">
        <x:f>IF(I243="","",LOG10(I243+1))</x:f>
      </x:c>
      <x:c r="AY243" s="10">
        <x:f>IF(AX243="","",IF(MAX($AX$2:$AX$252)-MIN($AX$2:$AX$252)=0,"",(AX243-MIN($AX$2:$AX$252))/(MAX($AX$2:$AX$252)-MIN($AX$2:$AX$252))*100))</x:f>
      </x:c>
      <x:c r="AZ243">
        <x:f>IF(J243="","",LOG10(J243+1))</x:f>
      </x:c>
      <x:c r="BA243" s="10">
        <x:f>IF(AZ243="","",IF(MAX($AZ$2:$AZ$252)-MIN($AZ$2:$AZ$252)=0,"",(AZ243-MIN($AZ$2:$AZ$252))/(MAX($AZ$2:$AZ$252)-MIN($AZ$2:$AZ$252))*100))</x:f>
      </x:c>
      <x:c r="BB243">
        <x:f>IF(K243="","",LOG10(K243+1))</x:f>
      </x:c>
      <x:c r="BC243" s="10">
        <x:f>IF(BB243="","",IF(MAX($BB$2:$BB$252)-MIN($BB$2:$BB$252)=0,"",(BB243-MIN($BB$2:$BB$252))/(MAX($BB$2:$BB$252)-MIN($BB$2:$BB$252))*100))</x:f>
      </x:c>
      <x:c r="BD243">
        <x:f>IF(L243="","",LOG10(L243+1))</x:f>
      </x:c>
      <x:c r="BE243" s="10">
        <x:f>IF(BD243="","",IF(MAX($BD$2:$BD$252)-MIN($BD$2:$BD$252)=0,"",(BD243-MIN($BD$2:$BD$252))/(MAX($BD$2:$BD$252)-MIN($BD$2:$BD$252))*100))</x:f>
      </x:c>
      <x:c r="BF243" s="10">
        <x:f>IF(P243="","",IF(MAX($P$2:$P$252)-MIN($P$2:$P$252)=0,"",(P243-MIN($P$2:$P$252))/(MAX($P$2:$P$252)-MIN($P$2:$P$252))*100))</x:f>
      </x:c>
      <x:c r="BG243">
        <x:f>IF(AF243="","",LOG10(AF243+1))</x:f>
      </x:c>
      <x:c r="BH243" s="10">
        <x:f>IF(BG243="","",IF(MAX($BG$2:$BG$252)-MIN($BG$2:$BG$252)=0,"",(BG243-MIN($BG$2:$BG$252))/(MAX($BG$2:$BG$252)-MIN($BG$2:$BG$252))*100))</x:f>
      </x:c>
      <x:c r="BI243">
        <x:f>IF(AC243="","",LOG10(AC243+1))</x:f>
      </x:c>
      <x:c r="BJ243" s="10">
        <x:f>IF(BI243="","",IF(MAX($BI$2:$BI$252)-MIN($BI$2:$BI$252)=0,"",(BI243-MIN($BI$2:$BI$252))/(MAX($BI$2:$BI$252)-MIN($BI$2:$BI$252))*100))</x:f>
      </x:c>
      <x:c r="BK243">
        <x:f>IF(AD243="","",(AD243*2)+(AE243*1))</x:f>
      </x:c>
      <x:c r="BL243" s="10">
        <x:f>IF(BK243="","",IF(MAX($BK$2:$BK$252)-MIN($BK$2:$BK$252)=0,"",(BK243-MIN($BK$2:$BK$252))/(MAX($BK$2:$BK$252)-MIN($BK$2:$BK$252))*100))</x:f>
      </x:c>
      <x:c r="BM243" s="10">
        <x:f>IF(AB243="","",IF(MAX($AB$2:$AB$252)-MIN($AB$2:$AB$252)=0,"",(AB243-MIN($AB$2:$AB$252))/(MAX($AB$2:$AB$252)-MIN($AB$2:$AB$252))*100))</x:f>
      </x:c>
      <x:c r="BN243" s="10">
        <x:f>IF(X243="","",X243)</x:f>
      </x:c>
      <x:c r="BO243" s="10">
        <x:f>IF(X243="","",100-X243)</x:f>
      </x:c>
      <x:c r="BP243" s="10">
        <x:f>IF((Weights!$C$2*IF(BH243="",0,1)+Weights!$C$3*IF(BJ243="",0,1)+Weights!$C$4*IF(BL243="",0,1))=0,"",(Weights!$C$2*IF(BH243="",0,BH243)+Weights!$C$3*IF(BJ243="",0,BJ243)+Weights!$C$4*IF(BL243="",0,BL243))/(Weights!$C$2*IF(BH243="",0,1)+Weights!$C$3*IF(BJ243="",0,1)+Weights!$C$4*IF(BL243="",0,1)))</x:f>
      </x:c>
      <x:c r="BQ243" s="10">
        <x:f>IF((Weights!$C$5*IF(BA243="",0,1)+Weights!$C$6*IF(AW243="",0,1)+Weights!$C$7*IF(AU243="",0,1))=0,"",(Weights!$C$5*IF(BA243="",0,BA243)+Weights!$C$6*IF(AW243="",0,AW243)+Weights!$C$7*IF(AU243="",0,AU243))/(Weights!$C$5*IF(BA243="",0,1)+Weights!$C$6*IF(AW243="",0,1)+Weights!$C$7*IF(AU243="",0,1)))</x:f>
      </x:c>
      <x:c r="BR243" s="10">
        <x:f>IF((Weights!$C$8*IF(AW243="",0,1)+Weights!$C$9*IF(BC243="",0,1)+Weights!$C$10*IF(BF243="",0,1))=0,"",(Weights!$C$8*IF(AW243="",0,AW243)+Weights!$C$9*IF(BC243="",0,BC243)+Weights!$C$10*IF(BF243="",0,BF243))/(Weights!$C$8*IF(AW243="",0,1)+Weights!$C$9*IF(BC243="",0,1)+Weights!$C$10*IF(BF243="",0,1)))</x:f>
      </x:c>
      <x:c r="BS243" s="10">
        <x:f>IF(Y243="","",Y243)</x:f>
      </x:c>
      <x:c r="BT243" s="10">
        <x:f>IF(AS243="","",AS243)</x:f>
      </x:c>
      <x:c r="BU243" s="10">
        <x:f>IF(AJ243&lt;&gt;"",(0.6*AJ243+0.4*AU243),IF((Weights!$C$11*IF(AU243="",0,1)+Weights!$C$12*IF(BM243="",0,1))=0,"",(Weights!$C$11*IF(AU243="",0,AU243)+Weights!$C$12*IF(BM243="",0,BM243))/(Weights!$C$11*IF(AU243="",0,1)+Weights!$C$12*IF(BM243="",0,1))))</x:f>
      </x:c>
      <x:c r="BV243" s="10">
        <x:f>IF(CG243="",0,CG243)</x:f>
      </x:c>
      <x:c r="BW243" s="10">
        <x:f>IF(AP243="","",AP243)</x:f>
      </x:c>
      <x:c r="BX243" s="10">
        <x:f>IF(AO243="","",AO243)</x:f>
      </x:c>
      <x:c r="BY243" s="10">
        <x:f>IF(AL243="","",AL243)</x:f>
      </x:c>
      <x:c r="BZ243" s="10">
        <x:f>IF(AM243="","",AM243)</x:f>
      </x:c>
      <x:c r="CA243" s="10">
        <x:f>IF(AK243&lt;&gt;"",AK243,AW243)</x:f>
      </x:c>
      <x:c r="CB243" s="10">
        <x:f>IF((Weights!$C$13*IF(BP243="",0,1)+Weights!$C$14*IF(BR243="",0,1)+Weights!$C$15*IF(BQ243="",0,1)+Weights!$C$16*IF(BS243="",0,1)+Weights!$C$17*IF(BU243="",0,1)+Weights!$C$18*IF(BT243="",0,1)+Weights!$C$19*IF(BW243="",0,1)+Weights!$C$20*IF(BZ243="",0,1)+Weights!$C$21*IF(BO243="",0,1)+Weights!$C$22)=0,"",(Weights!$C$13*IF(BP243="",0,BP243)+Weights!$C$14*IF(BR243="",0,BR243)+Weights!$C$15*IF(BQ243="",0,BQ243)+Weights!$C$16*IF(BS243="",0,BS243)+Weights!$C$17*IF(BU243="",0,BU243)+Weights!$C$18*IF(BT243="",0,BT243)+Weights!$C$19*IF(BW243="",0,BW243)+Weights!$C$20*IF(BZ243="",0,BZ243)+Weights!$C$21*IF(BO243="",0,BO243)+Weights!$C$22*BV243)/(Weights!$C$13*IF(BP243="",0,1)+Weights!$C$14*IF(BR243="",0,1)+Weights!$C$15*IF(BQ243="",0,1)+Weights!$C$16*IF(BS243="",0,1)+Weights!$C$17*IF(BU243="",0,1)+Weights!$C$18*IF(BT243="",0,1)+Weights!$C$19*IF(BW243="",0,1)+Weights!$C$20*IF(BZ243="",0,1)+Weights!$C$21*IF(BO243="",0,1)+Weights!$C$22))</x:f>
      </x:c>
      <x:c r="CC243" s="10">
        <x:f>IF((Weights!$C$23*IF(BQ243="",0,1)+Weights!$C$24*IF(BN243="",0,1)+Weights!$C$25*IF(BS243="",0,1)+Weights!$C$26*IF(BY243="",0,1)+Weights!$C$27*IF(BX243="",0,1)+Weights!$C$28*IF(BT243="",0,1)+Weights!$C$29*IF(CA243="",0,1)+Weights!$C$30+Weights!$C$31*IF(BU243="",0,1))=0,"",(Weights!$C$23*IF(BQ243="",0,BQ243)+Weights!$C$24*IF(BN243="",0,BN243)+Weights!$C$25*IF(BS243="",0,BS243)+Weights!$C$26*IF(BY243="",0,BY243)+Weights!$C$27*IF(BX243="",0,BX243)+Weights!$C$28*IF(BT243="",0,BT243)+Weights!$C$29*IF(CA243="",0,CA243)+Weights!$C$30*BV243+Weights!$C$31*IF(BU243="",0,BU243))/(Weights!$C$23*IF(BQ243="",0,1)+Weights!$C$24*IF(BN243="",0,1)+Weights!$C$25*IF(BS243="",0,1)+Weights!$C$26*IF(BY243="",0,1)+Weights!$C$27*IF(BX243="",0,1)+Weights!$C$28*IF(BT243="",0,1)+Weights!$C$29*IF(CA243="",0,1)+Weights!$C$30+Weights!$C$31*IF(BU243="",0,1)))</x:f>
      </x:c>
      <x:c r="CD243" s="10">
        <x:f>IF(AND(CB243="",CC243=""),"",IF(CB243="",CC243,IF(CC243="",CB243,AVERAGE(CB243,CC243))))</x:f>
      </x:c>
      <x:c r="CE243" s="7">
        <x:f>ROUND(100*((IF(BP243&lt;&gt;"",1,0)+IF(BQ243&lt;&gt;"",1,0)+IF(BR243&lt;&gt;"",1,0)+IF(BS243&lt;&gt;"",1,0)+IF(BU243&lt;&gt;"",1,0)+IF(BT243&lt;&gt;"",1,0)+IF(BN243&lt;&gt;"",1,0)+IF(AW243&lt;&gt;"",1,0))/8),0)</x:f>
      </x:c>
      <x:c r="CF243">
        <x:f>IF(V243="","",LOG10(V243+1))</x:f>
      </x:c>
      <x:c r="CG243">
        <x:f>IF(CF243="","",IF(MAX($CF$2:$CF$252)-MIN($CF$2:$CF$252)=0,"",(CF243-MIN($CF$2:$CF$252))/(MAX($CF$2:$CF$252)-MIN($CF$2:$CF$252))*100))</x:f>
      </x:c>
    </x:row>
    <x:row r="244">
      <x:c r="A244" t="inlineStr">
        <x:is>
          <x:t xml:space="preserve">VNM</x:t>
        </x:is>
      </x:c>
      <x:c r="B244" t="inlineStr">
        <x:is>
          <x:t xml:space="preserve">Viet Nam</x:t>
        </x:is>
      </x:c>
      <x:c r="C244" t="inlineStr">
        <x:is>
          <x:t xml:space="preserve">East Asia &amp; Pacific</x:t>
        </x:is>
      </x:c>
      <x:c r="D244" t="inlineStr">
        <x:is>
          <x:t xml:space="preserve">Lower middle income</x:t>
        </x:is>
      </x:c>
      <x:c r="E244" t="inlineStr">
        <x:is>
          <x:t xml:space="preserve">Asia</x:t>
        </x:is>
      </x:c>
      <x:c r="F244" t="n">
        <x:v>2024</x:v>
      </x:c>
      <x:c r="G244" t="n">
        <x:v>100987686</x:v>
      </x:c>
      <x:c r="H244" t="n">
        <x:v>2020</x:v>
      </x:c>
      <x:c r="I244" t="n">
        <x:v>522000</x:v>
      </x:c>
      <x:c r="J244" t="n">
        <x:v>339300</x:v>
      </x:c>
      <x:c r="K244" t="n">
        <x:v>104400</x:v>
      </x:c>
      <x:c r="L244" t="n">
        <x:v>62640</x:v>
      </x:c>
      <x:c r="M244" t="n">
        <x:v>2018</x:v>
      </x:c>
      <x:c r="N244" s="8" t="n">
        <x:v>5500000000</x:v>
      </x:c>
      <x:c r="O244" s="9" t="n">
        <x:v>1.80650138874311</x:v>
      </x:c>
      <x:c r="P244" s="8" t="n">
        <x:v>10536.39846743295</x:v>
      </x:c>
      <x:c r="Q244" t="n">
        <x:v>2024</x:v>
      </x:c>
      <x:c r="R244" s="8" t="n">
        <x:v>476388230307.175</x:v>
      </x:c>
      <x:c r="S244" t="n">
        <x:v>4</x:v>
      </x:c>
      <x:c r="T244" t="n">
        <x:v>0</x:v>
      </x:c>
      <x:c r="U244" t="inlineStr">
        <x:is>
          <x:t xml:space="preserve">No</x:t>
        </x:is>
      </x:c>
      <x:c r="W244" t="inlineStr">
        <x:is>
          <x:t xml:space="preserve">No</x:t>
        </x:is>
      </x:c>
      <x:c r="X244" t="n">
        <x:v>40.7248410044019</x:v>
      </x:c>
      <x:c r="Y244" t="n">
        <x:v>55.9623944776021</x:v>
      </x:c>
      <x:c r="Z244" t="n">
        <x:v>335990.8017283064</x:v>
      </x:c>
      <x:c r="AA244" t="n">
        <x:v>286.1987962329944</x:v>
      </x:c>
      <x:c r="AB244" s="8" t="n">
        <x:v>6186.553573125703</x:v>
      </x:c>
      <x:c r="AC244" t="n">
        <x:v>97</x:v>
      </x:c>
      <x:c r="AD244" t="n">
        <x:v>0</x:v>
      </x:c>
      <x:c r="AE244" t="n">
        <x:v>0</x:v>
      </x:c>
      <x:c r="AI244" t="n">
        <x:v>19.9</x:v>
      </x:c>
      <x:c r="AJ244" t="n">
        <x:v>7.3</x:v>
      </x:c>
      <x:c r="AK244" t="n">
        <x:v>19.9</x:v>
      </x:c>
      <x:c r="AL244" t="n">
        <x:v>23.9</x:v>
      </x:c>
      <x:c r="AM244" t="n">
        <x:v>8.5</x:v>
      </x:c>
      <x:c r="AN244" t="n">
        <x:v>19.8</x:v>
      </x:c>
      <x:c r="AO244" t="n">
        <x:v>12</x:v>
      </x:c>
      <x:c r="AP244" t="n">
        <x:v>59.5</x:v>
      </x:c>
      <x:c r="AQ244" t="n">
        <x:v>17.6</x:v>
      </x:c>
      <x:c r="AR244">
        <x:f>IF(G244="","",LOG10(G244+1))</x:f>
      </x:c>
      <x:c r="AS244" s="10">
        <x:f>IF(AR244="","",IF(MAX($AR$2:$AR$252)-MIN($AR$2:$AR$252)=0,"",(AR244-MIN($AR$2:$AR$252))/(MAX($AR$2:$AR$252)-MIN($AR$2:$AR$252))*100))</x:f>
      </x:c>
      <x:c r="AT244">
        <x:f>IF(R244="","",LOG10(R244+1))</x:f>
      </x:c>
      <x:c r="AU244" s="10">
        <x:f>IF(AT244="","",IF(MAX($AT$2:$AT$252)-MIN($AT$2:$AT$252)=0,"",(AT244-MIN($AT$2:$AT$252))/(MAX($AT$2:$AT$252)-MIN($AT$2:$AT$252))*100))</x:f>
      </x:c>
      <x:c r="AV244">
        <x:f>IF(N244="","",LOG10(N244+1))</x:f>
      </x:c>
      <x:c r="AW244" s="10">
        <x:f>IF(AV244="","",IF(MAX($AV$2:$AV$252)-MIN($AV$2:$AV$252)=0,"",(AV244-MIN($AV$2:$AV$252))/(MAX($AV$2:$AV$252)-MIN($AV$2:$AV$252))*100))</x:f>
      </x:c>
      <x:c r="AX244">
        <x:f>IF(I244="","",LOG10(I244+1))</x:f>
      </x:c>
      <x:c r="AY244" s="10">
        <x:f>IF(AX244="","",IF(MAX($AX$2:$AX$252)-MIN($AX$2:$AX$252)=0,"",(AX244-MIN($AX$2:$AX$252))/(MAX($AX$2:$AX$252)-MIN($AX$2:$AX$252))*100))</x:f>
      </x:c>
      <x:c r="AZ244">
        <x:f>IF(J244="","",LOG10(J244+1))</x:f>
      </x:c>
      <x:c r="BA244" s="10">
        <x:f>IF(AZ244="","",IF(MAX($AZ$2:$AZ$252)-MIN($AZ$2:$AZ$252)=0,"",(AZ244-MIN($AZ$2:$AZ$252))/(MAX($AZ$2:$AZ$252)-MIN($AZ$2:$AZ$252))*100))</x:f>
      </x:c>
      <x:c r="BB244">
        <x:f>IF(K244="","",LOG10(K244+1))</x:f>
      </x:c>
      <x:c r="BC244" s="10">
        <x:f>IF(BB244="","",IF(MAX($BB$2:$BB$252)-MIN($BB$2:$BB$252)=0,"",(BB244-MIN($BB$2:$BB$252))/(MAX($BB$2:$BB$252)-MIN($BB$2:$BB$252))*100))</x:f>
      </x:c>
      <x:c r="BD244">
        <x:f>IF(L244="","",LOG10(L244+1))</x:f>
      </x:c>
      <x:c r="BE244" s="10">
        <x:f>IF(BD244="","",IF(MAX($BD$2:$BD$252)-MIN($BD$2:$BD$252)=0,"",(BD244-MIN($BD$2:$BD$252))/(MAX($BD$2:$BD$252)-MIN($BD$2:$BD$252))*100))</x:f>
      </x:c>
      <x:c r="BF244" s="10">
        <x:f>IF(P244="","",IF(MAX($P$2:$P$252)-MIN($P$2:$P$252)=0,"",(P244-MIN($P$2:$P$252))/(MAX($P$2:$P$252)-MIN($P$2:$P$252))*100))</x:f>
      </x:c>
      <x:c r="BG244">
        <x:f>IF(AF244="","",LOG10(AF244+1))</x:f>
      </x:c>
      <x:c r="BH244" s="10">
        <x:f>IF(BG244="","",IF(MAX($BG$2:$BG$252)-MIN($BG$2:$BG$252)=0,"",(BG244-MIN($BG$2:$BG$252))/(MAX($BG$2:$BG$252)-MIN($BG$2:$BG$252))*100))</x:f>
      </x:c>
      <x:c r="BI244">
        <x:f>IF(AC244="","",LOG10(AC244+1))</x:f>
      </x:c>
      <x:c r="BJ244" s="10">
        <x:f>IF(BI244="","",IF(MAX($BI$2:$BI$252)-MIN($BI$2:$BI$252)=0,"",(BI244-MIN($BI$2:$BI$252))/(MAX($BI$2:$BI$252)-MIN($BI$2:$BI$252))*100))</x:f>
      </x:c>
      <x:c r="BK244">
        <x:f>IF(AD244="","",(AD244*2)+(AE244*1))</x:f>
      </x:c>
      <x:c r="BL244" s="10">
        <x:f>IF(BK244="","",IF(MAX($BK$2:$BK$252)-MIN($BK$2:$BK$252)=0,"",(BK244-MIN($BK$2:$BK$252))/(MAX($BK$2:$BK$252)-MIN($BK$2:$BK$252))*100))</x:f>
      </x:c>
      <x:c r="BM244" s="10">
        <x:f>IF(AB244="","",IF(MAX($AB$2:$AB$252)-MIN($AB$2:$AB$252)=0,"",(AB244-MIN($AB$2:$AB$252))/(MAX($AB$2:$AB$252)-MIN($AB$2:$AB$252))*100))</x:f>
      </x:c>
      <x:c r="BN244" s="10">
        <x:f>IF(X244="","",X244)</x:f>
      </x:c>
      <x:c r="BO244" s="10">
        <x:f>IF(X244="","",100-X244)</x:f>
      </x:c>
      <x:c r="BP244" s="10">
        <x:f>IF((Weights!$C$2*IF(BH244="",0,1)+Weights!$C$3*IF(BJ244="",0,1)+Weights!$C$4*IF(BL244="",0,1))=0,"",(Weights!$C$2*IF(BH244="",0,BH244)+Weights!$C$3*IF(BJ244="",0,BJ244)+Weights!$C$4*IF(BL244="",0,BL244))/(Weights!$C$2*IF(BH244="",0,1)+Weights!$C$3*IF(BJ244="",0,1)+Weights!$C$4*IF(BL244="",0,1)))</x:f>
      </x:c>
      <x:c r="BQ244" s="10">
        <x:f>IF((Weights!$C$5*IF(BA244="",0,1)+Weights!$C$6*IF(AW244="",0,1)+Weights!$C$7*IF(AU244="",0,1))=0,"",(Weights!$C$5*IF(BA244="",0,BA244)+Weights!$C$6*IF(AW244="",0,AW244)+Weights!$C$7*IF(AU244="",0,AU244))/(Weights!$C$5*IF(BA244="",0,1)+Weights!$C$6*IF(AW244="",0,1)+Weights!$C$7*IF(AU244="",0,1)))</x:f>
      </x:c>
      <x:c r="BR244" s="10">
        <x:f>IF((Weights!$C$8*IF(AW244="",0,1)+Weights!$C$9*IF(BC244="",0,1)+Weights!$C$10*IF(BF244="",0,1))=0,"",(Weights!$C$8*IF(AW244="",0,AW244)+Weights!$C$9*IF(BC244="",0,BC244)+Weights!$C$10*IF(BF244="",0,BF244))/(Weights!$C$8*IF(AW244="",0,1)+Weights!$C$9*IF(BC244="",0,1)+Weights!$C$10*IF(BF244="",0,1)))</x:f>
      </x:c>
      <x:c r="BS244" s="10">
        <x:f>IF(Y244="","",Y244)</x:f>
      </x:c>
      <x:c r="BT244" s="10">
        <x:f>IF(AS244="","",AS244)</x:f>
      </x:c>
      <x:c r="BU244" s="10">
        <x:f>IF(AJ244&lt;&gt;"",(0.6*AJ244+0.4*AU244),IF((Weights!$C$11*IF(AU244="",0,1)+Weights!$C$12*IF(BM244="",0,1))=0,"",(Weights!$C$11*IF(AU244="",0,AU244)+Weights!$C$12*IF(BM244="",0,BM244))/(Weights!$C$11*IF(AU244="",0,1)+Weights!$C$12*IF(BM244="",0,1))))</x:f>
      </x:c>
      <x:c r="BV244" s="10">
        <x:f>IF(CG244="",0,CG244)</x:f>
      </x:c>
      <x:c r="BW244" s="10">
        <x:f>IF(AP244="","",AP244)</x:f>
      </x:c>
      <x:c r="BX244" s="10">
        <x:f>IF(AO244="","",AO244)</x:f>
      </x:c>
      <x:c r="BY244" s="10">
        <x:f>IF(AL244="","",AL244)</x:f>
      </x:c>
      <x:c r="BZ244" s="10">
        <x:f>IF(AM244="","",AM244)</x:f>
      </x:c>
      <x:c r="CA244" s="10">
        <x:f>IF(AK244&lt;&gt;"",AK244,AW244)</x:f>
      </x:c>
      <x:c r="CB244" s="10">
        <x:f>IF((Weights!$C$13*IF(BP244="",0,1)+Weights!$C$14*IF(BR244="",0,1)+Weights!$C$15*IF(BQ244="",0,1)+Weights!$C$16*IF(BS244="",0,1)+Weights!$C$17*IF(BU244="",0,1)+Weights!$C$18*IF(BT244="",0,1)+Weights!$C$19*IF(BW244="",0,1)+Weights!$C$20*IF(BZ244="",0,1)+Weights!$C$21*IF(BO244="",0,1)+Weights!$C$22)=0,"",(Weights!$C$13*IF(BP244="",0,BP244)+Weights!$C$14*IF(BR244="",0,BR244)+Weights!$C$15*IF(BQ244="",0,BQ244)+Weights!$C$16*IF(BS244="",0,BS244)+Weights!$C$17*IF(BU244="",0,BU244)+Weights!$C$18*IF(BT244="",0,BT244)+Weights!$C$19*IF(BW244="",0,BW244)+Weights!$C$20*IF(BZ244="",0,BZ244)+Weights!$C$21*IF(BO244="",0,BO244)+Weights!$C$22*BV244)/(Weights!$C$13*IF(BP244="",0,1)+Weights!$C$14*IF(BR244="",0,1)+Weights!$C$15*IF(BQ244="",0,1)+Weights!$C$16*IF(BS244="",0,1)+Weights!$C$17*IF(BU244="",0,1)+Weights!$C$18*IF(BT244="",0,1)+Weights!$C$19*IF(BW244="",0,1)+Weights!$C$20*IF(BZ244="",0,1)+Weights!$C$21*IF(BO244="",0,1)+Weights!$C$22))</x:f>
      </x:c>
      <x:c r="CC244" s="10">
        <x:f>IF((Weights!$C$23*IF(BQ244="",0,1)+Weights!$C$24*IF(BN244="",0,1)+Weights!$C$25*IF(BS244="",0,1)+Weights!$C$26*IF(BY244="",0,1)+Weights!$C$27*IF(BX244="",0,1)+Weights!$C$28*IF(BT244="",0,1)+Weights!$C$29*IF(CA244="",0,1)+Weights!$C$30+Weights!$C$31*IF(BU244="",0,1))=0,"",(Weights!$C$23*IF(BQ244="",0,BQ244)+Weights!$C$24*IF(BN244="",0,BN244)+Weights!$C$25*IF(BS244="",0,BS244)+Weights!$C$26*IF(BY244="",0,BY244)+Weights!$C$27*IF(BX244="",0,BX244)+Weights!$C$28*IF(BT244="",0,BT244)+Weights!$C$29*IF(CA244="",0,CA244)+Weights!$C$30*BV244+Weights!$C$31*IF(BU244="",0,BU244))/(Weights!$C$23*IF(BQ244="",0,1)+Weights!$C$24*IF(BN244="",0,1)+Weights!$C$25*IF(BS244="",0,1)+Weights!$C$26*IF(BY244="",0,1)+Weights!$C$27*IF(BX244="",0,1)+Weights!$C$28*IF(BT244="",0,1)+Weights!$C$29*IF(CA244="",0,1)+Weights!$C$30+Weights!$C$31*IF(BU244="",0,1)))</x:f>
      </x:c>
      <x:c r="CD244" s="10">
        <x:f>IF(AND(CB244="",CC244=""),"",IF(CB244="",CC244,IF(CC244="",CB244,AVERAGE(CB244,CC244))))</x:f>
      </x:c>
      <x:c r="CE244" s="7">
        <x:f>ROUND(100*((IF(BP244&lt;&gt;"",1,0)+IF(BQ244&lt;&gt;"",1,0)+IF(BR244&lt;&gt;"",1,0)+IF(BS244&lt;&gt;"",1,0)+IF(BU244&lt;&gt;"",1,0)+IF(BT244&lt;&gt;"",1,0)+IF(BN244&lt;&gt;"",1,0)+IF(AW244&lt;&gt;"",1,0))/8),0)</x:f>
      </x:c>
      <x:c r="CF244">
        <x:f>IF(V244="","",LOG10(V244+1))</x:f>
      </x:c>
      <x:c r="CG244">
        <x:f>IF(CF244="","",IF(MAX($CF$2:$CF$252)-MIN($CF$2:$CF$252)=0,"",(CF244-MIN($CF$2:$CF$252))/(MAX($CF$2:$CF$252)-MIN($CF$2:$CF$252))*100))</x:f>
      </x:c>
    </x:row>
    <x:row r="245">
      <x:c r="A245" t="inlineStr">
        <x:is>
          <x:t xml:space="preserve">VIR</x:t>
        </x:is>
      </x:c>
      <x:c r="B245" t="inlineStr">
        <x:is>
          <x:t xml:space="preserve">Virgin Islands (US)</x:t>
        </x:is>
      </x:c>
      <x:c r="C245" t="inlineStr">
        <x:is>
          <x:t xml:space="preserve">Latin America &amp; Caribbean</x:t>
        </x:is>
      </x:c>
      <x:c r="D245" t="inlineStr">
        <x:is>
          <x:t xml:space="preserve">High income</x:t>
        </x:is>
      </x:c>
      <x:c r="F245" t="n">
        <x:v>2024</x:v>
      </x:c>
      <x:c r="G245" t="n">
        <x:v>104377</x:v>
      </x:c>
      <x:c r="N245" s="8" t="n"/>
      <x:c r="O245" s="9" t="n"/>
      <x:c r="P245" s="8" t="n"/>
      <x:c r="Q245" t="n">
        <x:v>2022</x:v>
      </x:c>
      <x:c r="R245" s="8" t="n">
        <x:v>4672000000</x:v>
      </x:c>
      <x:c r="S245" t="n">
        <x:v>0</x:v>
      </x:c>
      <x:c r="T245" t="n">
        <x:v>0</x:v>
      </x:c>
      <x:c r="U245" t="inlineStr">
        <x:is>
          <x:t xml:space="preserve">No</x:t>
        </x:is>
      </x:c>
      <x:c r="W245" t="inlineStr">
        <x:is>
          <x:t xml:space="preserve">No</x:t>
        </x:is>
      </x:c>
      <x:c r="AB245" s="8" t="n"/>
      <x:c r="AR245">
        <x:f>IF(G245="","",LOG10(G245+1))</x:f>
      </x:c>
      <x:c r="AS245" s="10">
        <x:f>IF(AR245="","",IF(MAX($AR$2:$AR$252)-MIN($AR$2:$AR$252)=0,"",(AR245-MIN($AR$2:$AR$252))/(MAX($AR$2:$AR$252)-MIN($AR$2:$AR$252))*100))</x:f>
      </x:c>
      <x:c r="AT245">
        <x:f>IF(R245="","",LOG10(R245+1))</x:f>
      </x:c>
      <x:c r="AU245" s="10">
        <x:f>IF(AT245="","",IF(MAX($AT$2:$AT$252)-MIN($AT$2:$AT$252)=0,"",(AT245-MIN($AT$2:$AT$252))/(MAX($AT$2:$AT$252)-MIN($AT$2:$AT$252))*100))</x:f>
      </x:c>
      <x:c r="AV245">
        <x:f>IF(N245="","",LOG10(N245+1))</x:f>
      </x:c>
      <x:c r="AW245" s="10">
        <x:f>IF(AV245="","",IF(MAX($AV$2:$AV$252)-MIN($AV$2:$AV$252)=0,"",(AV245-MIN($AV$2:$AV$252))/(MAX($AV$2:$AV$252)-MIN($AV$2:$AV$252))*100))</x:f>
      </x:c>
      <x:c r="AX245">
        <x:f>IF(I245="","",LOG10(I245+1))</x:f>
      </x:c>
      <x:c r="AY245" s="10">
        <x:f>IF(AX245="","",IF(MAX($AX$2:$AX$252)-MIN($AX$2:$AX$252)=0,"",(AX245-MIN($AX$2:$AX$252))/(MAX($AX$2:$AX$252)-MIN($AX$2:$AX$252))*100))</x:f>
      </x:c>
      <x:c r="AZ245">
        <x:f>IF(J245="","",LOG10(J245+1))</x:f>
      </x:c>
      <x:c r="BA245" s="10">
        <x:f>IF(AZ245="","",IF(MAX($AZ$2:$AZ$252)-MIN($AZ$2:$AZ$252)=0,"",(AZ245-MIN($AZ$2:$AZ$252))/(MAX($AZ$2:$AZ$252)-MIN($AZ$2:$AZ$252))*100))</x:f>
      </x:c>
      <x:c r="BB245">
        <x:f>IF(K245="","",LOG10(K245+1))</x:f>
      </x:c>
      <x:c r="BC245" s="10">
        <x:f>IF(BB245="","",IF(MAX($BB$2:$BB$252)-MIN($BB$2:$BB$252)=0,"",(BB245-MIN($BB$2:$BB$252))/(MAX($BB$2:$BB$252)-MIN($BB$2:$BB$252))*100))</x:f>
      </x:c>
      <x:c r="BD245">
        <x:f>IF(L245="","",LOG10(L245+1))</x:f>
      </x:c>
      <x:c r="BE245" s="10">
        <x:f>IF(BD245="","",IF(MAX($BD$2:$BD$252)-MIN($BD$2:$BD$252)=0,"",(BD245-MIN($BD$2:$BD$252))/(MAX($BD$2:$BD$252)-MIN($BD$2:$BD$252))*100))</x:f>
      </x:c>
      <x:c r="BF245" s="10">
        <x:f>IF(P245="","",IF(MAX($P$2:$P$252)-MIN($P$2:$P$252)=0,"",(P245-MIN($P$2:$P$252))/(MAX($P$2:$P$252)-MIN($P$2:$P$252))*100))</x:f>
      </x:c>
      <x:c r="BG245">
        <x:f>IF(AF245="","",LOG10(AF245+1))</x:f>
      </x:c>
      <x:c r="BH245" s="10">
        <x:f>IF(BG245="","",IF(MAX($BG$2:$BG$252)-MIN($BG$2:$BG$252)=0,"",(BG245-MIN($BG$2:$BG$252))/(MAX($BG$2:$BG$252)-MIN($BG$2:$BG$252))*100))</x:f>
      </x:c>
      <x:c r="BI245">
        <x:f>IF(AC245="","",LOG10(AC245+1))</x:f>
      </x:c>
      <x:c r="BJ245" s="10">
        <x:f>IF(BI245="","",IF(MAX($BI$2:$BI$252)-MIN($BI$2:$BI$252)=0,"",(BI245-MIN($BI$2:$BI$252))/(MAX($BI$2:$BI$252)-MIN($BI$2:$BI$252))*100))</x:f>
      </x:c>
      <x:c r="BK245">
        <x:f>IF(AD245="","",(AD245*2)+(AE245*1))</x:f>
      </x:c>
      <x:c r="BL245" s="10">
        <x:f>IF(BK245="","",IF(MAX($BK$2:$BK$252)-MIN($BK$2:$BK$252)=0,"",(BK245-MIN($BK$2:$BK$252))/(MAX($BK$2:$BK$252)-MIN($BK$2:$BK$252))*100))</x:f>
      </x:c>
      <x:c r="BM245" s="10">
        <x:f>IF(AB245="","",IF(MAX($AB$2:$AB$252)-MIN($AB$2:$AB$252)=0,"",(AB245-MIN($AB$2:$AB$252))/(MAX($AB$2:$AB$252)-MIN($AB$2:$AB$252))*100))</x:f>
      </x:c>
      <x:c r="BN245" s="10">
        <x:f>IF(X245="","",X245)</x:f>
      </x:c>
      <x:c r="BO245" s="10">
        <x:f>IF(X245="","",100-X245)</x:f>
      </x:c>
      <x:c r="BP245" s="10">
        <x:f>IF((Weights!$C$2*IF(BH245="",0,1)+Weights!$C$3*IF(BJ245="",0,1)+Weights!$C$4*IF(BL245="",0,1))=0,"",(Weights!$C$2*IF(BH245="",0,BH245)+Weights!$C$3*IF(BJ245="",0,BJ245)+Weights!$C$4*IF(BL245="",0,BL245))/(Weights!$C$2*IF(BH245="",0,1)+Weights!$C$3*IF(BJ245="",0,1)+Weights!$C$4*IF(BL245="",0,1)))</x:f>
      </x:c>
      <x:c r="BQ245" s="10">
        <x:f>IF((Weights!$C$5*IF(BA245="",0,1)+Weights!$C$6*IF(AW245="",0,1)+Weights!$C$7*IF(AU245="",0,1))=0,"",(Weights!$C$5*IF(BA245="",0,BA245)+Weights!$C$6*IF(AW245="",0,AW245)+Weights!$C$7*IF(AU245="",0,AU245))/(Weights!$C$5*IF(BA245="",0,1)+Weights!$C$6*IF(AW245="",0,1)+Weights!$C$7*IF(AU245="",0,1)))</x:f>
      </x:c>
      <x:c r="BR245" s="10">
        <x:f>IF((Weights!$C$8*IF(AW245="",0,1)+Weights!$C$9*IF(BC245="",0,1)+Weights!$C$10*IF(BF245="",0,1))=0,"",(Weights!$C$8*IF(AW245="",0,AW245)+Weights!$C$9*IF(BC245="",0,BC245)+Weights!$C$10*IF(BF245="",0,BF245))/(Weights!$C$8*IF(AW245="",0,1)+Weights!$C$9*IF(BC245="",0,1)+Weights!$C$10*IF(BF245="",0,1)))</x:f>
      </x:c>
      <x:c r="BS245" s="10">
        <x:f>IF(Y245="","",Y245)</x:f>
      </x:c>
      <x:c r="BT245" s="10">
        <x:f>IF(AS245="","",AS245)</x:f>
      </x:c>
      <x:c r="BU245" s="10">
        <x:f>IF(AJ245&lt;&gt;"",(0.6*AJ245+0.4*AU245),IF((Weights!$C$11*IF(AU245="",0,1)+Weights!$C$12*IF(BM245="",0,1))=0,"",(Weights!$C$11*IF(AU245="",0,AU245)+Weights!$C$12*IF(BM245="",0,BM245))/(Weights!$C$11*IF(AU245="",0,1)+Weights!$C$12*IF(BM245="",0,1))))</x:f>
      </x:c>
      <x:c r="BV245" s="10">
        <x:f>IF(CG245="",0,CG245)</x:f>
      </x:c>
      <x:c r="BW245" s="10">
        <x:f>IF(AP245="","",AP245)</x:f>
      </x:c>
      <x:c r="BX245" s="10">
        <x:f>IF(AO245="","",AO245)</x:f>
      </x:c>
      <x:c r="BY245" s="10">
        <x:f>IF(AL245="","",AL245)</x:f>
      </x:c>
      <x:c r="BZ245" s="10">
        <x:f>IF(AM245="","",AM245)</x:f>
      </x:c>
      <x:c r="CA245" s="10">
        <x:f>IF(AK245&lt;&gt;"",AK245,AW245)</x:f>
      </x:c>
      <x:c r="CB245" s="10">
        <x:f>IF((Weights!$C$13*IF(BP245="",0,1)+Weights!$C$14*IF(BR245="",0,1)+Weights!$C$15*IF(BQ245="",0,1)+Weights!$C$16*IF(BS245="",0,1)+Weights!$C$17*IF(BU245="",0,1)+Weights!$C$18*IF(BT245="",0,1)+Weights!$C$19*IF(BW245="",0,1)+Weights!$C$20*IF(BZ245="",0,1)+Weights!$C$21*IF(BO245="",0,1)+Weights!$C$22)=0,"",(Weights!$C$13*IF(BP245="",0,BP245)+Weights!$C$14*IF(BR245="",0,BR245)+Weights!$C$15*IF(BQ245="",0,BQ245)+Weights!$C$16*IF(BS245="",0,BS245)+Weights!$C$17*IF(BU245="",0,BU245)+Weights!$C$18*IF(BT245="",0,BT245)+Weights!$C$19*IF(BW245="",0,BW245)+Weights!$C$20*IF(BZ245="",0,BZ245)+Weights!$C$21*IF(BO245="",0,BO245)+Weights!$C$22*BV245)/(Weights!$C$13*IF(BP245="",0,1)+Weights!$C$14*IF(BR245="",0,1)+Weights!$C$15*IF(BQ245="",0,1)+Weights!$C$16*IF(BS245="",0,1)+Weights!$C$17*IF(BU245="",0,1)+Weights!$C$18*IF(BT245="",0,1)+Weights!$C$19*IF(BW245="",0,1)+Weights!$C$20*IF(BZ245="",0,1)+Weights!$C$21*IF(BO245="",0,1)+Weights!$C$22))</x:f>
      </x:c>
      <x:c r="CC245" s="10">
        <x:f>IF((Weights!$C$23*IF(BQ245="",0,1)+Weights!$C$24*IF(BN245="",0,1)+Weights!$C$25*IF(BS245="",0,1)+Weights!$C$26*IF(BY245="",0,1)+Weights!$C$27*IF(BX245="",0,1)+Weights!$C$28*IF(BT245="",0,1)+Weights!$C$29*IF(CA245="",0,1)+Weights!$C$30+Weights!$C$31*IF(BU245="",0,1))=0,"",(Weights!$C$23*IF(BQ245="",0,BQ245)+Weights!$C$24*IF(BN245="",0,BN245)+Weights!$C$25*IF(BS245="",0,BS245)+Weights!$C$26*IF(BY245="",0,BY245)+Weights!$C$27*IF(BX245="",0,BX245)+Weights!$C$28*IF(BT245="",0,BT245)+Weights!$C$29*IF(CA245="",0,CA245)+Weights!$C$30*BV245+Weights!$C$31*IF(BU245="",0,BU245))/(Weights!$C$23*IF(BQ245="",0,1)+Weights!$C$24*IF(BN245="",0,1)+Weights!$C$25*IF(BS245="",0,1)+Weights!$C$26*IF(BY245="",0,1)+Weights!$C$27*IF(BX245="",0,1)+Weights!$C$28*IF(BT245="",0,1)+Weights!$C$29*IF(CA245="",0,1)+Weights!$C$30+Weights!$C$31*IF(BU245="",0,1)))</x:f>
      </x:c>
      <x:c r="CD245" s="10">
        <x:f>IF(AND(CB245="",CC245=""),"",IF(CB245="",CC245,IF(CC245="",CB245,AVERAGE(CB245,CC245))))</x:f>
      </x:c>
      <x:c r="CE245" s="7">
        <x:f>ROUND(100*((IF(BP245&lt;&gt;"",1,0)+IF(BQ245&lt;&gt;"",1,0)+IF(BR245&lt;&gt;"",1,0)+IF(BS245&lt;&gt;"",1,0)+IF(BU245&lt;&gt;"",1,0)+IF(BT245&lt;&gt;"",1,0)+IF(BN245&lt;&gt;"",1,0)+IF(AW245&lt;&gt;"",1,0))/8),0)</x:f>
      </x:c>
      <x:c r="CF245">
        <x:f>IF(V245="","",LOG10(V245+1))</x:f>
      </x:c>
      <x:c r="CG245">
        <x:f>IF(CF245="","",IF(MAX($CF$2:$CF$252)-MIN($CF$2:$CF$252)=0,"",(CF245-MIN($CF$2:$CF$252))/(MAX($CF$2:$CF$252)-MIN($CF$2:$CF$252))*100))</x:f>
      </x:c>
    </x:row>
    <x:row r="246">
      <x:c r="A246" t="inlineStr">
        <x:is>
          <x:t xml:space="preserve">WLF</x:t>
        </x:is>
      </x:c>
      <x:c r="B246" t="inlineStr">
        <x:is>
          <x:t xml:space="preserve">Wallis and Futuna</x:t>
        </x:is>
      </x:c>
      <x:c r="N246" s="8" t="n"/>
      <x:c r="O246" s="9" t="n"/>
      <x:c r="P246" s="8" t="n"/>
      <x:c r="R246" s="8" t="n"/>
      <x:c r="AB246" s="8" t="n"/>
      <x:c r="AR246">
        <x:f>IF(G246="","",LOG10(G246+1))</x:f>
      </x:c>
      <x:c r="AS246" s="10">
        <x:f>IF(AR246="","",IF(MAX($AR$2:$AR$252)-MIN($AR$2:$AR$252)=0,"",(AR246-MIN($AR$2:$AR$252))/(MAX($AR$2:$AR$252)-MIN($AR$2:$AR$252))*100))</x:f>
      </x:c>
      <x:c r="AT246">
        <x:f>IF(R246="","",LOG10(R246+1))</x:f>
      </x:c>
      <x:c r="AU246" s="10">
        <x:f>IF(AT246="","",IF(MAX($AT$2:$AT$252)-MIN($AT$2:$AT$252)=0,"",(AT246-MIN($AT$2:$AT$252))/(MAX($AT$2:$AT$252)-MIN($AT$2:$AT$252))*100))</x:f>
      </x:c>
      <x:c r="AV246">
        <x:f>IF(N246="","",LOG10(N246+1))</x:f>
      </x:c>
      <x:c r="AW246" s="10">
        <x:f>IF(AV246="","",IF(MAX($AV$2:$AV$252)-MIN($AV$2:$AV$252)=0,"",(AV246-MIN($AV$2:$AV$252))/(MAX($AV$2:$AV$252)-MIN($AV$2:$AV$252))*100))</x:f>
      </x:c>
      <x:c r="AX246">
        <x:f>IF(I246="","",LOG10(I246+1))</x:f>
      </x:c>
      <x:c r="AY246" s="10">
        <x:f>IF(AX246="","",IF(MAX($AX$2:$AX$252)-MIN($AX$2:$AX$252)=0,"",(AX246-MIN($AX$2:$AX$252))/(MAX($AX$2:$AX$252)-MIN($AX$2:$AX$252))*100))</x:f>
      </x:c>
      <x:c r="AZ246">
        <x:f>IF(J246="","",LOG10(J246+1))</x:f>
      </x:c>
      <x:c r="BA246" s="10">
        <x:f>IF(AZ246="","",IF(MAX($AZ$2:$AZ$252)-MIN($AZ$2:$AZ$252)=0,"",(AZ246-MIN($AZ$2:$AZ$252))/(MAX($AZ$2:$AZ$252)-MIN($AZ$2:$AZ$252))*100))</x:f>
      </x:c>
      <x:c r="BB246">
        <x:f>IF(K246="","",LOG10(K246+1))</x:f>
      </x:c>
      <x:c r="BC246" s="10">
        <x:f>IF(BB246="","",IF(MAX($BB$2:$BB$252)-MIN($BB$2:$BB$252)=0,"",(BB246-MIN($BB$2:$BB$252))/(MAX($BB$2:$BB$252)-MIN($BB$2:$BB$252))*100))</x:f>
      </x:c>
      <x:c r="BD246">
        <x:f>IF(L246="","",LOG10(L246+1))</x:f>
      </x:c>
      <x:c r="BE246" s="10">
        <x:f>IF(BD246="","",IF(MAX($BD$2:$BD$252)-MIN($BD$2:$BD$252)=0,"",(BD246-MIN($BD$2:$BD$252))/(MAX($BD$2:$BD$252)-MIN($BD$2:$BD$252))*100))</x:f>
      </x:c>
      <x:c r="BF246" s="10">
        <x:f>IF(P246="","",IF(MAX($P$2:$P$252)-MIN($P$2:$P$252)=0,"",(P246-MIN($P$2:$P$252))/(MAX($P$2:$P$252)-MIN($P$2:$P$252))*100))</x:f>
      </x:c>
      <x:c r="BG246">
        <x:f>IF(AF246="","",LOG10(AF246+1))</x:f>
      </x:c>
      <x:c r="BH246" s="10">
        <x:f>IF(BG246="","",IF(MAX($BG$2:$BG$252)-MIN($BG$2:$BG$252)=0,"",(BG246-MIN($BG$2:$BG$252))/(MAX($BG$2:$BG$252)-MIN($BG$2:$BG$252))*100))</x:f>
      </x:c>
      <x:c r="BI246">
        <x:f>IF(AC246="","",LOG10(AC246+1))</x:f>
      </x:c>
      <x:c r="BJ246" s="10">
        <x:f>IF(BI246="","",IF(MAX($BI$2:$BI$252)-MIN($BI$2:$BI$252)=0,"",(BI246-MIN($BI$2:$BI$252))/(MAX($BI$2:$BI$252)-MIN($BI$2:$BI$252))*100))</x:f>
      </x:c>
      <x:c r="BK246">
        <x:f>IF(AD246="","",(AD246*2)+(AE246*1))</x:f>
      </x:c>
      <x:c r="BL246" s="10">
        <x:f>IF(BK246="","",IF(MAX($BK$2:$BK$252)-MIN($BK$2:$BK$252)=0,"",(BK246-MIN($BK$2:$BK$252))/(MAX($BK$2:$BK$252)-MIN($BK$2:$BK$252))*100))</x:f>
      </x:c>
      <x:c r="BM246" s="10">
        <x:f>IF(AB246="","",IF(MAX($AB$2:$AB$252)-MIN($AB$2:$AB$252)=0,"",(AB246-MIN($AB$2:$AB$252))/(MAX($AB$2:$AB$252)-MIN($AB$2:$AB$252))*100))</x:f>
      </x:c>
      <x:c r="BN246" s="10">
        <x:f>IF(X246="","",X246)</x:f>
      </x:c>
      <x:c r="BO246" s="10">
        <x:f>IF(X246="","",100-X246)</x:f>
      </x:c>
      <x:c r="BP246" s="10">
        <x:f>IF((Weights!$C$2*IF(BH246="",0,1)+Weights!$C$3*IF(BJ246="",0,1)+Weights!$C$4*IF(BL246="",0,1))=0,"",(Weights!$C$2*IF(BH246="",0,BH246)+Weights!$C$3*IF(BJ246="",0,BJ246)+Weights!$C$4*IF(BL246="",0,BL246))/(Weights!$C$2*IF(BH246="",0,1)+Weights!$C$3*IF(BJ246="",0,1)+Weights!$C$4*IF(BL246="",0,1)))</x:f>
      </x:c>
      <x:c r="BQ246" s="10">
        <x:f>IF((Weights!$C$5*IF(BA246="",0,1)+Weights!$C$6*IF(AW246="",0,1)+Weights!$C$7*IF(AU246="",0,1))=0,"",(Weights!$C$5*IF(BA246="",0,BA246)+Weights!$C$6*IF(AW246="",0,AW246)+Weights!$C$7*IF(AU246="",0,AU246))/(Weights!$C$5*IF(BA246="",0,1)+Weights!$C$6*IF(AW246="",0,1)+Weights!$C$7*IF(AU246="",0,1)))</x:f>
      </x:c>
      <x:c r="BR246" s="10">
        <x:f>IF((Weights!$C$8*IF(AW246="",0,1)+Weights!$C$9*IF(BC246="",0,1)+Weights!$C$10*IF(BF246="",0,1))=0,"",(Weights!$C$8*IF(AW246="",0,AW246)+Weights!$C$9*IF(BC246="",0,BC246)+Weights!$C$10*IF(BF246="",0,BF246))/(Weights!$C$8*IF(AW246="",0,1)+Weights!$C$9*IF(BC246="",0,1)+Weights!$C$10*IF(BF246="",0,1)))</x:f>
      </x:c>
      <x:c r="BS246" s="10">
        <x:f>IF(Y246="","",Y246)</x:f>
      </x:c>
      <x:c r="BT246" s="10">
        <x:f>IF(AS246="","",AS246)</x:f>
      </x:c>
      <x:c r="BU246" s="10">
        <x:f>IF(AJ246&lt;&gt;"",(0.6*AJ246+0.4*AU246),IF((Weights!$C$11*IF(AU246="",0,1)+Weights!$C$12*IF(BM246="",0,1))=0,"",(Weights!$C$11*IF(AU246="",0,AU246)+Weights!$C$12*IF(BM246="",0,BM246))/(Weights!$C$11*IF(AU246="",0,1)+Weights!$C$12*IF(BM246="",0,1))))</x:f>
      </x:c>
      <x:c r="BV246" s="10">
        <x:f>IF(CG246="",0,CG246)</x:f>
      </x:c>
      <x:c r="BW246" s="10">
        <x:f>IF(AP246="","",AP246)</x:f>
      </x:c>
      <x:c r="BX246" s="10">
        <x:f>IF(AO246="","",AO246)</x:f>
      </x:c>
      <x:c r="BY246" s="10">
        <x:f>IF(AL246="","",AL246)</x:f>
      </x:c>
      <x:c r="BZ246" s="10">
        <x:f>IF(AM246="","",AM246)</x:f>
      </x:c>
      <x:c r="CA246" s="10">
        <x:f>IF(AK246&lt;&gt;"",AK246,AW246)</x:f>
      </x:c>
      <x:c r="CB246" s="10">
        <x:f>IF((Weights!$C$13*IF(BP246="",0,1)+Weights!$C$14*IF(BR246="",0,1)+Weights!$C$15*IF(BQ246="",0,1)+Weights!$C$16*IF(BS246="",0,1)+Weights!$C$17*IF(BU246="",0,1)+Weights!$C$18*IF(BT246="",0,1)+Weights!$C$19*IF(BW246="",0,1)+Weights!$C$20*IF(BZ246="",0,1)+Weights!$C$21*IF(BO246="",0,1)+Weights!$C$22)=0,"",(Weights!$C$13*IF(BP246="",0,BP246)+Weights!$C$14*IF(BR246="",0,BR246)+Weights!$C$15*IF(BQ246="",0,BQ246)+Weights!$C$16*IF(BS246="",0,BS246)+Weights!$C$17*IF(BU246="",0,BU246)+Weights!$C$18*IF(BT246="",0,BT246)+Weights!$C$19*IF(BW246="",0,BW246)+Weights!$C$20*IF(BZ246="",0,BZ246)+Weights!$C$21*IF(BO246="",0,BO246)+Weights!$C$22*BV246)/(Weights!$C$13*IF(BP246="",0,1)+Weights!$C$14*IF(BR246="",0,1)+Weights!$C$15*IF(BQ246="",0,1)+Weights!$C$16*IF(BS246="",0,1)+Weights!$C$17*IF(BU246="",0,1)+Weights!$C$18*IF(BT246="",0,1)+Weights!$C$19*IF(BW246="",0,1)+Weights!$C$20*IF(BZ246="",0,1)+Weights!$C$21*IF(BO246="",0,1)+Weights!$C$22))</x:f>
      </x:c>
      <x:c r="CC246" s="10">
        <x:f>IF((Weights!$C$23*IF(BQ246="",0,1)+Weights!$C$24*IF(BN246="",0,1)+Weights!$C$25*IF(BS246="",0,1)+Weights!$C$26*IF(BY246="",0,1)+Weights!$C$27*IF(BX246="",0,1)+Weights!$C$28*IF(BT246="",0,1)+Weights!$C$29*IF(CA246="",0,1)+Weights!$C$30+Weights!$C$31*IF(BU246="",0,1))=0,"",(Weights!$C$23*IF(BQ246="",0,BQ246)+Weights!$C$24*IF(BN246="",0,BN246)+Weights!$C$25*IF(BS246="",0,BS246)+Weights!$C$26*IF(BY246="",0,BY246)+Weights!$C$27*IF(BX246="",0,BX246)+Weights!$C$28*IF(BT246="",0,BT246)+Weights!$C$29*IF(CA246="",0,CA246)+Weights!$C$30*BV246+Weights!$C$31*IF(BU246="",0,BU246))/(Weights!$C$23*IF(BQ246="",0,1)+Weights!$C$24*IF(BN246="",0,1)+Weights!$C$25*IF(BS246="",0,1)+Weights!$C$26*IF(BY246="",0,1)+Weights!$C$27*IF(BX246="",0,1)+Weights!$C$28*IF(BT246="",0,1)+Weights!$C$29*IF(CA246="",0,1)+Weights!$C$30+Weights!$C$31*IF(BU246="",0,1)))</x:f>
      </x:c>
      <x:c r="CD246" s="10">
        <x:f>IF(AND(CB246="",CC246=""),"",IF(CB246="",CC246,IF(CC246="",CB246,AVERAGE(CB246,CC246))))</x:f>
      </x:c>
      <x:c r="CE246" s="7">
        <x:f>ROUND(100*((IF(BP246&lt;&gt;"",1,0)+IF(BQ246&lt;&gt;"",1,0)+IF(BR246&lt;&gt;"",1,0)+IF(BS246&lt;&gt;"",1,0)+IF(BU246&lt;&gt;"",1,0)+IF(BT246&lt;&gt;"",1,0)+IF(BN246&lt;&gt;"",1,0)+IF(AW246&lt;&gt;"",1,0))/8),0)</x:f>
      </x:c>
      <x:c r="CF246">
        <x:f>IF(V246="","",LOG10(V246+1))</x:f>
      </x:c>
      <x:c r="CG246">
        <x:f>IF(CF246="","",IF(MAX($CF$2:$CF$252)-MIN($CF$2:$CF$252)=0,"",(CF246-MIN($CF$2:$CF$252))/(MAX($CF$2:$CF$252)-MIN($CF$2:$CF$252))*100))</x:f>
      </x:c>
    </x:row>
    <x:row r="247">
      <x:c r="A247" t="inlineStr">
        <x:is>
          <x:t xml:space="preserve">ESH</x:t>
        </x:is>
      </x:c>
      <x:c r="B247" t="inlineStr">
        <x:is>
          <x:t xml:space="preserve">Western Sahara</x:t>
        </x:is>
      </x:c>
      <x:c r="E247" t="inlineStr">
        <x:is>
          <x:t xml:space="preserve">Africa</x:t>
        </x:is>
      </x:c>
      <x:c r="N247" s="8" t="n"/>
      <x:c r="O247" s="9" t="n"/>
      <x:c r="P247" s="8" t="n"/>
      <x:c r="R247" s="8" t="n"/>
      <x:c r="X247" t="n">
        <x:v>45.9098237461916</x:v>
      </x:c>
      <x:c r="Y247" t="n">
        <x:v>12.16386771951232</x:v>
      </x:c>
      <x:c r="Z247" t="n">
        <x:v>96270.60104084719</x:v>
      </x:c>
      <x:c r="AA247" t="n">
        <x:v>6.266222434240775</x:v>
      </x:c>
      <x:c r="AB247" s="8" t="n">
        <x:v>1502.686269276738</x:v>
      </x:c>
      <x:c r="AR247">
        <x:f>IF(G247="","",LOG10(G247+1))</x:f>
      </x:c>
      <x:c r="AS247" s="10">
        <x:f>IF(AR247="","",IF(MAX($AR$2:$AR$252)-MIN($AR$2:$AR$252)=0,"",(AR247-MIN($AR$2:$AR$252))/(MAX($AR$2:$AR$252)-MIN($AR$2:$AR$252))*100))</x:f>
      </x:c>
      <x:c r="AT247">
        <x:f>IF(R247="","",LOG10(R247+1))</x:f>
      </x:c>
      <x:c r="AU247" s="10">
        <x:f>IF(AT247="","",IF(MAX($AT$2:$AT$252)-MIN($AT$2:$AT$252)=0,"",(AT247-MIN($AT$2:$AT$252))/(MAX($AT$2:$AT$252)-MIN($AT$2:$AT$252))*100))</x:f>
      </x:c>
      <x:c r="AV247">
        <x:f>IF(N247="","",LOG10(N247+1))</x:f>
      </x:c>
      <x:c r="AW247" s="10">
        <x:f>IF(AV247="","",IF(MAX($AV$2:$AV$252)-MIN($AV$2:$AV$252)=0,"",(AV247-MIN($AV$2:$AV$252))/(MAX($AV$2:$AV$252)-MIN($AV$2:$AV$252))*100))</x:f>
      </x:c>
      <x:c r="AX247">
        <x:f>IF(I247="","",LOG10(I247+1))</x:f>
      </x:c>
      <x:c r="AY247" s="10">
        <x:f>IF(AX247="","",IF(MAX($AX$2:$AX$252)-MIN($AX$2:$AX$252)=0,"",(AX247-MIN($AX$2:$AX$252))/(MAX($AX$2:$AX$252)-MIN($AX$2:$AX$252))*100))</x:f>
      </x:c>
      <x:c r="AZ247">
        <x:f>IF(J247="","",LOG10(J247+1))</x:f>
      </x:c>
      <x:c r="BA247" s="10">
        <x:f>IF(AZ247="","",IF(MAX($AZ$2:$AZ$252)-MIN($AZ$2:$AZ$252)=0,"",(AZ247-MIN($AZ$2:$AZ$252))/(MAX($AZ$2:$AZ$252)-MIN($AZ$2:$AZ$252))*100))</x:f>
      </x:c>
      <x:c r="BB247">
        <x:f>IF(K247="","",LOG10(K247+1))</x:f>
      </x:c>
      <x:c r="BC247" s="10">
        <x:f>IF(BB247="","",IF(MAX($BB$2:$BB$252)-MIN($BB$2:$BB$252)=0,"",(BB247-MIN($BB$2:$BB$252))/(MAX($BB$2:$BB$252)-MIN($BB$2:$BB$252))*100))</x:f>
      </x:c>
      <x:c r="BD247">
        <x:f>IF(L247="","",LOG10(L247+1))</x:f>
      </x:c>
      <x:c r="BE247" s="10">
        <x:f>IF(BD247="","",IF(MAX($BD$2:$BD$252)-MIN($BD$2:$BD$252)=0,"",(BD247-MIN($BD$2:$BD$252))/(MAX($BD$2:$BD$252)-MIN($BD$2:$BD$252))*100))</x:f>
      </x:c>
      <x:c r="BF247" s="10">
        <x:f>IF(P247="","",IF(MAX($P$2:$P$252)-MIN($P$2:$P$252)=0,"",(P247-MIN($P$2:$P$252))/(MAX($P$2:$P$252)-MIN($P$2:$P$252))*100))</x:f>
      </x:c>
      <x:c r="BG247">
        <x:f>IF(AF247="","",LOG10(AF247+1))</x:f>
      </x:c>
      <x:c r="BH247" s="10">
        <x:f>IF(BG247="","",IF(MAX($BG$2:$BG$252)-MIN($BG$2:$BG$252)=0,"",(BG247-MIN($BG$2:$BG$252))/(MAX($BG$2:$BG$252)-MIN($BG$2:$BG$252))*100))</x:f>
      </x:c>
      <x:c r="BI247">
        <x:f>IF(AC247="","",LOG10(AC247+1))</x:f>
      </x:c>
      <x:c r="BJ247" s="10">
        <x:f>IF(BI247="","",IF(MAX($BI$2:$BI$252)-MIN($BI$2:$BI$252)=0,"",(BI247-MIN($BI$2:$BI$252))/(MAX($BI$2:$BI$252)-MIN($BI$2:$BI$252))*100))</x:f>
      </x:c>
      <x:c r="BK247">
        <x:f>IF(AD247="","",(AD247*2)+(AE247*1))</x:f>
      </x:c>
      <x:c r="BL247" s="10">
        <x:f>IF(BK247="","",IF(MAX($BK$2:$BK$252)-MIN($BK$2:$BK$252)=0,"",(BK247-MIN($BK$2:$BK$252))/(MAX($BK$2:$BK$252)-MIN($BK$2:$BK$252))*100))</x:f>
      </x:c>
      <x:c r="BM247" s="10">
        <x:f>IF(AB247="","",IF(MAX($AB$2:$AB$252)-MIN($AB$2:$AB$252)=0,"",(AB247-MIN($AB$2:$AB$252))/(MAX($AB$2:$AB$252)-MIN($AB$2:$AB$252))*100))</x:f>
      </x:c>
      <x:c r="BN247" s="10">
        <x:f>IF(X247="","",X247)</x:f>
      </x:c>
      <x:c r="BO247" s="10">
        <x:f>IF(X247="","",100-X247)</x:f>
      </x:c>
      <x:c r="BP247" s="10">
        <x:f>IF((Weights!$C$2*IF(BH247="",0,1)+Weights!$C$3*IF(BJ247="",0,1)+Weights!$C$4*IF(BL247="",0,1))=0,"",(Weights!$C$2*IF(BH247="",0,BH247)+Weights!$C$3*IF(BJ247="",0,BJ247)+Weights!$C$4*IF(BL247="",0,BL247))/(Weights!$C$2*IF(BH247="",0,1)+Weights!$C$3*IF(BJ247="",0,1)+Weights!$C$4*IF(BL247="",0,1)))</x:f>
      </x:c>
      <x:c r="BQ247" s="10">
        <x:f>IF((Weights!$C$5*IF(BA247="",0,1)+Weights!$C$6*IF(AW247="",0,1)+Weights!$C$7*IF(AU247="",0,1))=0,"",(Weights!$C$5*IF(BA247="",0,BA247)+Weights!$C$6*IF(AW247="",0,AW247)+Weights!$C$7*IF(AU247="",0,AU247))/(Weights!$C$5*IF(BA247="",0,1)+Weights!$C$6*IF(AW247="",0,1)+Weights!$C$7*IF(AU247="",0,1)))</x:f>
      </x:c>
      <x:c r="BR247" s="10">
        <x:f>IF((Weights!$C$8*IF(AW247="",0,1)+Weights!$C$9*IF(BC247="",0,1)+Weights!$C$10*IF(BF247="",0,1))=0,"",(Weights!$C$8*IF(AW247="",0,AW247)+Weights!$C$9*IF(BC247="",0,BC247)+Weights!$C$10*IF(BF247="",0,BF247))/(Weights!$C$8*IF(AW247="",0,1)+Weights!$C$9*IF(BC247="",0,1)+Weights!$C$10*IF(BF247="",0,1)))</x:f>
      </x:c>
      <x:c r="BS247" s="10">
        <x:f>IF(Y247="","",Y247)</x:f>
      </x:c>
      <x:c r="BT247" s="10">
        <x:f>IF(AS247="","",AS247)</x:f>
      </x:c>
      <x:c r="BU247" s="10">
        <x:f>IF(AJ247&lt;&gt;"",(0.6*AJ247+0.4*AU247),IF((Weights!$C$11*IF(AU247="",0,1)+Weights!$C$12*IF(BM247="",0,1))=0,"",(Weights!$C$11*IF(AU247="",0,AU247)+Weights!$C$12*IF(BM247="",0,BM247))/(Weights!$C$11*IF(AU247="",0,1)+Weights!$C$12*IF(BM247="",0,1))))</x:f>
      </x:c>
      <x:c r="BV247" s="10">
        <x:f>IF(CG247="",0,CG247)</x:f>
      </x:c>
      <x:c r="BW247" s="10">
        <x:f>IF(AP247="","",AP247)</x:f>
      </x:c>
      <x:c r="BX247" s="10">
        <x:f>IF(AO247="","",AO247)</x:f>
      </x:c>
      <x:c r="BY247" s="10">
        <x:f>IF(AL247="","",AL247)</x:f>
      </x:c>
      <x:c r="BZ247" s="10">
        <x:f>IF(AM247="","",AM247)</x:f>
      </x:c>
      <x:c r="CA247" s="10">
        <x:f>IF(AK247&lt;&gt;"",AK247,AW247)</x:f>
      </x:c>
      <x:c r="CB247" s="10">
        <x:f>IF((Weights!$C$13*IF(BP247="",0,1)+Weights!$C$14*IF(BR247="",0,1)+Weights!$C$15*IF(BQ247="",0,1)+Weights!$C$16*IF(BS247="",0,1)+Weights!$C$17*IF(BU247="",0,1)+Weights!$C$18*IF(BT247="",0,1)+Weights!$C$19*IF(BW247="",0,1)+Weights!$C$20*IF(BZ247="",0,1)+Weights!$C$21*IF(BO247="",0,1)+Weights!$C$22)=0,"",(Weights!$C$13*IF(BP247="",0,BP247)+Weights!$C$14*IF(BR247="",0,BR247)+Weights!$C$15*IF(BQ247="",0,BQ247)+Weights!$C$16*IF(BS247="",0,BS247)+Weights!$C$17*IF(BU247="",0,BU247)+Weights!$C$18*IF(BT247="",0,BT247)+Weights!$C$19*IF(BW247="",0,BW247)+Weights!$C$20*IF(BZ247="",0,BZ247)+Weights!$C$21*IF(BO247="",0,BO247)+Weights!$C$22*BV247)/(Weights!$C$13*IF(BP247="",0,1)+Weights!$C$14*IF(BR247="",0,1)+Weights!$C$15*IF(BQ247="",0,1)+Weights!$C$16*IF(BS247="",0,1)+Weights!$C$17*IF(BU247="",0,1)+Weights!$C$18*IF(BT247="",0,1)+Weights!$C$19*IF(BW247="",0,1)+Weights!$C$20*IF(BZ247="",0,1)+Weights!$C$21*IF(BO247="",0,1)+Weights!$C$22))</x:f>
      </x:c>
      <x:c r="CC247" s="10">
        <x:f>IF((Weights!$C$23*IF(BQ247="",0,1)+Weights!$C$24*IF(BN247="",0,1)+Weights!$C$25*IF(BS247="",0,1)+Weights!$C$26*IF(BY247="",0,1)+Weights!$C$27*IF(BX247="",0,1)+Weights!$C$28*IF(BT247="",0,1)+Weights!$C$29*IF(CA247="",0,1)+Weights!$C$30+Weights!$C$31*IF(BU247="",0,1))=0,"",(Weights!$C$23*IF(BQ247="",0,BQ247)+Weights!$C$24*IF(BN247="",0,BN247)+Weights!$C$25*IF(BS247="",0,BS247)+Weights!$C$26*IF(BY247="",0,BY247)+Weights!$C$27*IF(BX247="",0,BX247)+Weights!$C$28*IF(BT247="",0,BT247)+Weights!$C$29*IF(CA247="",0,CA247)+Weights!$C$30*BV247+Weights!$C$31*IF(BU247="",0,BU247))/(Weights!$C$23*IF(BQ247="",0,1)+Weights!$C$24*IF(BN247="",0,1)+Weights!$C$25*IF(BS247="",0,1)+Weights!$C$26*IF(BY247="",0,1)+Weights!$C$27*IF(BX247="",0,1)+Weights!$C$28*IF(BT247="",0,1)+Weights!$C$29*IF(CA247="",0,1)+Weights!$C$30+Weights!$C$31*IF(BU247="",0,1)))</x:f>
      </x:c>
      <x:c r="CD247" s="10">
        <x:f>IF(AND(CB247="",CC247=""),"",IF(CB247="",CC247,IF(CC247="",CB247,AVERAGE(CB247,CC247))))</x:f>
      </x:c>
      <x:c r="CE247" s="7">
        <x:f>ROUND(100*((IF(BP247&lt;&gt;"",1,0)+IF(BQ247&lt;&gt;"",1,0)+IF(BR247&lt;&gt;"",1,0)+IF(BS247&lt;&gt;"",1,0)+IF(BU247&lt;&gt;"",1,0)+IF(BT247&lt;&gt;"",1,0)+IF(BN247&lt;&gt;"",1,0)+IF(AW247&lt;&gt;"",1,0))/8),0)</x:f>
      </x:c>
      <x:c r="CF247">
        <x:f>IF(V247="","",LOG10(V247+1))</x:f>
      </x:c>
      <x:c r="CG247">
        <x:f>IF(CF247="","",IF(MAX($CF$2:$CF$252)-MIN($CF$2:$CF$252)=0,"",(CF247-MIN($CF$2:$CF$252))/(MAX($CF$2:$CF$252)-MIN($CF$2:$CF$252))*100))</x:f>
      </x:c>
    </x:row>
    <x:row r="248">
      <x:c r="A248" t="inlineStr">
        <x:is>
          <x:t xml:space="preserve">ERI</x:t>
        </x:is>
      </x:c>
      <x:c r="B248" t="inlineStr">
        <x:is>
          <x:t xml:space="preserve">Eritrea</x:t>
        </x:is>
      </x:c>
      <x:c r="C248" t="inlineStr">
        <x:is>
          <x:t xml:space="preserve">Sub-Saharan Africa</x:t>
        </x:is>
      </x:c>
      <x:c r="D248" t="inlineStr">
        <x:is>
          <x:t xml:space="preserve">Low income</x:t>
        </x:is>
      </x:c>
      <x:c r="E248" t="inlineStr">
        <x:is>
          <x:t xml:space="preserve">Africa</x:t>
        </x:is>
      </x:c>
      <x:c r="F248" t="n">
        <x:v>2024</x:v>
      </x:c>
      <x:c r="G248" t="n">
        <x:v>3535603</x:v>
      </x:c>
      <x:c r="H248" t="n">
        <x:v>2020</x:v>
      </x:c>
      <x:c r="I248" t="n">
        <x:v>202000</x:v>
      </x:c>
      <x:c r="J248" t="n">
        <x:v>131300</x:v>
      </x:c>
      <x:c r="K248" t="n">
        <x:v>40400</x:v>
      </x:c>
      <x:c r="L248" t="n">
        <x:v>24240</x:v>
      </x:c>
      <x:c r="M248" t="n">
        <x:v>2003</x:v>
      </x:c>
      <x:c r="N248" s="8" t="n">
        <x:v>181583668.998912</x:v>
      </x:c>
      <x:c r="O248" s="9" t="n">
        <x:v>20.8657453093811</x:v>
      </x:c>
      <x:c r="P248" s="8" t="n">
        <x:v>898.9290544500594</x:v>
      </x:c>
      <x:c r="Q248" t="n">
        <x:v>2011</x:v>
      </x:c>
      <x:c r="R248" s="8" t="n">
        <x:v>2065001626.01626</x:v>
      </x:c>
      <x:c r="S248" t="n">
        <x:v>0</x:v>
      </x:c>
      <x:c r="T248" t="n">
        <x:v>0</x:v>
      </x:c>
      <x:c r="U248" t="inlineStr">
        <x:is>
          <x:t xml:space="preserve">No</x:t>
        </x:is>
      </x:c>
      <x:c r="W248" t="inlineStr">
        <x:is>
          <x:t xml:space="preserve">No</x:t>
        </x:is>
      </x:c>
      <x:c r="X248" t="n">
        <x:v>26.44235696516155</x:v>
      </x:c>
      <x:c r="Y248" t="n">
        <x:v>24.7896692254294</x:v>
      </x:c>
      <x:c r="Z248" t="n">
        <x:v>119319.5848738896</x:v>
      </x:c>
      <x:c r="AA248" t="n">
        <x:v>49.60559497634678</x:v>
      </x:c>
      <x:c r="AB248" s="8" t="n">
        <x:v>1549.100435400451</x:v>
      </x:c>
      <x:c r="AC248" t="n">
        <x:v>23</x:v>
      </x:c>
      <x:c r="AD248" t="n">
        <x:v>0</x:v>
      </x:c>
      <x:c r="AE248" t="n">
        <x:v>0</x:v>
      </x:c>
      <x:c r="AR248">
        <x:f>IF(G248="","",LOG10(G248+1))</x:f>
      </x:c>
      <x:c r="AS248" s="10">
        <x:f>IF(AR248="","",IF(MAX($AR$2:$AR$252)-MIN($AR$2:$AR$252)=0,"",(AR248-MIN($AR$2:$AR$252))/(MAX($AR$2:$AR$252)-MIN($AR$2:$AR$252))*100))</x:f>
      </x:c>
      <x:c r="AT248">
        <x:f>IF(R248="","",LOG10(R248+1))</x:f>
      </x:c>
      <x:c r="AU248" s="10">
        <x:f>IF(AT248="","",IF(MAX($AT$2:$AT$252)-MIN($AT$2:$AT$252)=0,"",(AT248-MIN($AT$2:$AT$252))/(MAX($AT$2:$AT$252)-MIN($AT$2:$AT$252))*100))</x:f>
      </x:c>
      <x:c r="AV248">
        <x:f>IF(N248="","",LOG10(N248+1))</x:f>
      </x:c>
      <x:c r="AW248" s="10">
        <x:f>IF(AV248="","",IF(MAX($AV$2:$AV$252)-MIN($AV$2:$AV$252)=0,"",(AV248-MIN($AV$2:$AV$252))/(MAX($AV$2:$AV$252)-MIN($AV$2:$AV$252))*100))</x:f>
      </x:c>
      <x:c r="AX248">
        <x:f>IF(I248="","",LOG10(I248+1))</x:f>
      </x:c>
      <x:c r="AY248" s="10">
        <x:f>IF(AX248="","",IF(MAX($AX$2:$AX$252)-MIN($AX$2:$AX$252)=0,"",(AX248-MIN($AX$2:$AX$252))/(MAX($AX$2:$AX$252)-MIN($AX$2:$AX$252))*100))</x:f>
      </x:c>
      <x:c r="AZ248">
        <x:f>IF(J248="","",LOG10(J248+1))</x:f>
      </x:c>
      <x:c r="BA248" s="10">
        <x:f>IF(AZ248="","",IF(MAX($AZ$2:$AZ$252)-MIN($AZ$2:$AZ$252)=0,"",(AZ248-MIN($AZ$2:$AZ$252))/(MAX($AZ$2:$AZ$252)-MIN($AZ$2:$AZ$252))*100))</x:f>
      </x:c>
      <x:c r="BB248">
        <x:f>IF(K248="","",LOG10(K248+1))</x:f>
      </x:c>
      <x:c r="BC248" s="10">
        <x:f>IF(BB248="","",IF(MAX($BB$2:$BB$252)-MIN($BB$2:$BB$252)=0,"",(BB248-MIN($BB$2:$BB$252))/(MAX($BB$2:$BB$252)-MIN($BB$2:$BB$252))*100))</x:f>
      </x:c>
      <x:c r="BD248">
        <x:f>IF(L248="","",LOG10(L248+1))</x:f>
      </x:c>
      <x:c r="BE248" s="10">
        <x:f>IF(BD248="","",IF(MAX($BD$2:$BD$252)-MIN($BD$2:$BD$252)=0,"",(BD248-MIN($BD$2:$BD$252))/(MAX($BD$2:$BD$252)-MIN($BD$2:$BD$252))*100))</x:f>
      </x:c>
      <x:c r="BF248" s="10">
        <x:f>IF(P248="","",IF(MAX($P$2:$P$252)-MIN($P$2:$P$252)=0,"",(P248-MIN($P$2:$P$252))/(MAX($P$2:$P$252)-MIN($P$2:$P$252))*100))</x:f>
      </x:c>
      <x:c r="BG248">
        <x:f>IF(AF248="","",LOG10(AF248+1))</x:f>
      </x:c>
      <x:c r="BH248" s="10">
        <x:f>IF(BG248="","",IF(MAX($BG$2:$BG$252)-MIN($BG$2:$BG$252)=0,"",(BG248-MIN($BG$2:$BG$252))/(MAX($BG$2:$BG$252)-MIN($BG$2:$BG$252))*100))</x:f>
      </x:c>
      <x:c r="BI248">
        <x:f>IF(AC248="","",LOG10(AC248+1))</x:f>
      </x:c>
      <x:c r="BJ248" s="10">
        <x:f>IF(BI248="","",IF(MAX($BI$2:$BI$252)-MIN($BI$2:$BI$252)=0,"",(BI248-MIN($BI$2:$BI$252))/(MAX($BI$2:$BI$252)-MIN($BI$2:$BI$252))*100))</x:f>
      </x:c>
      <x:c r="BK248">
        <x:f>IF(AD248="","",(AD248*2)+(AE248*1))</x:f>
      </x:c>
      <x:c r="BL248" s="10">
        <x:f>IF(BK248="","",IF(MAX($BK$2:$BK$252)-MIN($BK$2:$BK$252)=0,"",(BK248-MIN($BK$2:$BK$252))/(MAX($BK$2:$BK$252)-MIN($BK$2:$BK$252))*100))</x:f>
      </x:c>
      <x:c r="BM248" s="10">
        <x:f>IF(AB248="","",IF(MAX($AB$2:$AB$252)-MIN($AB$2:$AB$252)=0,"",(AB248-MIN($AB$2:$AB$252))/(MAX($AB$2:$AB$252)-MIN($AB$2:$AB$252))*100))</x:f>
      </x:c>
      <x:c r="BN248" s="10">
        <x:f>IF(X248="","",X248)</x:f>
      </x:c>
      <x:c r="BO248" s="10">
        <x:f>IF(X248="","",100-X248)</x:f>
      </x:c>
      <x:c r="BP248" s="10">
        <x:f>IF((Weights!$C$2*IF(BH248="",0,1)+Weights!$C$3*IF(BJ248="",0,1)+Weights!$C$4*IF(BL248="",0,1))=0,"",(Weights!$C$2*IF(BH248="",0,BH248)+Weights!$C$3*IF(BJ248="",0,BJ248)+Weights!$C$4*IF(BL248="",0,BL248))/(Weights!$C$2*IF(BH248="",0,1)+Weights!$C$3*IF(BJ248="",0,1)+Weights!$C$4*IF(BL248="",0,1)))</x:f>
      </x:c>
      <x:c r="BQ248" s="10">
        <x:f>IF((Weights!$C$5*IF(BA248="",0,1)+Weights!$C$6*IF(AW248="",0,1)+Weights!$C$7*IF(AU248="",0,1))=0,"",(Weights!$C$5*IF(BA248="",0,BA248)+Weights!$C$6*IF(AW248="",0,AW248)+Weights!$C$7*IF(AU248="",0,AU248))/(Weights!$C$5*IF(BA248="",0,1)+Weights!$C$6*IF(AW248="",0,1)+Weights!$C$7*IF(AU248="",0,1)))</x:f>
      </x:c>
      <x:c r="BR248" s="10">
        <x:f>IF((Weights!$C$8*IF(AW248="",0,1)+Weights!$C$9*IF(BC248="",0,1)+Weights!$C$10*IF(BF248="",0,1))=0,"",(Weights!$C$8*IF(AW248="",0,AW248)+Weights!$C$9*IF(BC248="",0,BC248)+Weights!$C$10*IF(BF248="",0,BF248))/(Weights!$C$8*IF(AW248="",0,1)+Weights!$C$9*IF(BC248="",0,1)+Weights!$C$10*IF(BF248="",0,1)))</x:f>
      </x:c>
      <x:c r="BS248" s="10">
        <x:f>IF(Y248="","",Y248)</x:f>
      </x:c>
      <x:c r="BT248" s="10">
        <x:f>IF(AS248="","",AS248)</x:f>
      </x:c>
      <x:c r="BU248" s="10">
        <x:f>IF(AJ248&lt;&gt;"",(0.6*AJ248+0.4*AU248),IF((Weights!$C$11*IF(AU248="",0,1)+Weights!$C$12*IF(BM248="",0,1))=0,"",(Weights!$C$11*IF(AU248="",0,AU248)+Weights!$C$12*IF(BM248="",0,BM248))/(Weights!$C$11*IF(AU248="",0,1)+Weights!$C$12*IF(BM248="",0,1))))</x:f>
      </x:c>
      <x:c r="BV248" s="10">
        <x:f>IF(CG248="",0,CG248)</x:f>
      </x:c>
      <x:c r="BW248" s="10">
        <x:f>IF(AP248="","",AP248)</x:f>
      </x:c>
      <x:c r="BX248" s="10">
        <x:f>IF(AO248="","",AO248)</x:f>
      </x:c>
      <x:c r="BY248" s="10">
        <x:f>IF(AL248="","",AL248)</x:f>
      </x:c>
      <x:c r="BZ248" s="10">
        <x:f>IF(AM248="","",AM248)</x:f>
      </x:c>
      <x:c r="CA248" s="10">
        <x:f>IF(AK248&lt;&gt;"",AK248,AW248)</x:f>
      </x:c>
      <x:c r="CB248" s="10">
        <x:f>IF((Weights!$C$13*IF(BP248="",0,1)+Weights!$C$14*IF(BR248="",0,1)+Weights!$C$15*IF(BQ248="",0,1)+Weights!$C$16*IF(BS248="",0,1)+Weights!$C$17*IF(BU248="",0,1)+Weights!$C$18*IF(BT248="",0,1)+Weights!$C$19*IF(BW248="",0,1)+Weights!$C$20*IF(BZ248="",0,1)+Weights!$C$21*IF(BO248="",0,1)+Weights!$C$22)=0,"",(Weights!$C$13*IF(BP248="",0,BP248)+Weights!$C$14*IF(BR248="",0,BR248)+Weights!$C$15*IF(BQ248="",0,BQ248)+Weights!$C$16*IF(BS248="",0,BS248)+Weights!$C$17*IF(BU248="",0,BU248)+Weights!$C$18*IF(BT248="",0,BT248)+Weights!$C$19*IF(BW248="",0,BW248)+Weights!$C$20*IF(BZ248="",0,BZ248)+Weights!$C$21*IF(BO248="",0,BO248)+Weights!$C$22*BV248)/(Weights!$C$13*IF(BP248="",0,1)+Weights!$C$14*IF(BR248="",0,1)+Weights!$C$15*IF(BQ248="",0,1)+Weights!$C$16*IF(BS248="",0,1)+Weights!$C$17*IF(BU248="",0,1)+Weights!$C$18*IF(BT248="",0,1)+Weights!$C$19*IF(BW248="",0,1)+Weights!$C$20*IF(BZ248="",0,1)+Weights!$C$21*IF(BO248="",0,1)+Weights!$C$22))</x:f>
      </x:c>
      <x:c r="CC248" s="10">
        <x:f>IF((Weights!$C$23*IF(BQ248="",0,1)+Weights!$C$24*IF(BN248="",0,1)+Weights!$C$25*IF(BS248="",0,1)+Weights!$C$26*IF(BY248="",0,1)+Weights!$C$27*IF(BX248="",0,1)+Weights!$C$28*IF(BT248="",0,1)+Weights!$C$29*IF(CA248="",0,1)+Weights!$C$30+Weights!$C$31*IF(BU248="",0,1))=0,"",(Weights!$C$23*IF(BQ248="",0,BQ248)+Weights!$C$24*IF(BN248="",0,BN248)+Weights!$C$25*IF(BS248="",0,BS248)+Weights!$C$26*IF(BY248="",0,BY248)+Weights!$C$27*IF(BX248="",0,BX248)+Weights!$C$28*IF(BT248="",0,BT248)+Weights!$C$29*IF(CA248="",0,CA248)+Weights!$C$30*BV248+Weights!$C$31*IF(BU248="",0,BU248))/(Weights!$C$23*IF(BQ248="",0,1)+Weights!$C$24*IF(BN248="",0,1)+Weights!$C$25*IF(BS248="",0,1)+Weights!$C$26*IF(BY248="",0,1)+Weights!$C$27*IF(BX248="",0,1)+Weights!$C$28*IF(BT248="",0,1)+Weights!$C$29*IF(CA248="",0,1)+Weights!$C$30+Weights!$C$31*IF(BU248="",0,1)))</x:f>
      </x:c>
      <x:c r="CD248" s="10">
        <x:f>IF(AND(CB248="",CC248=""),"",IF(CB248="",CC248,IF(CC248="",CB248,AVERAGE(CB248,CC248))))</x:f>
      </x:c>
      <x:c r="CE248" s="7">
        <x:f>ROUND(100*((IF(BP248&lt;&gt;"",1,0)+IF(BQ248&lt;&gt;"",1,0)+IF(BR248&lt;&gt;"",1,0)+IF(BS248&lt;&gt;"",1,0)+IF(BU248&lt;&gt;"",1,0)+IF(BT248&lt;&gt;"",1,0)+IF(BN248&lt;&gt;"",1,0)+IF(AW248&lt;&gt;"",1,0))/8),0)</x:f>
      </x:c>
      <x:c r="CF248">
        <x:f>IF(V248="","",LOG10(V248+1))</x:f>
      </x:c>
      <x:c r="CG248">
        <x:f>IF(CF248="","",IF(MAX($CF$2:$CF$252)-MIN($CF$2:$CF$252)=0,"",(CF248-MIN($CF$2:$CF$252))/(MAX($CF$2:$CF$252)-MIN($CF$2:$CF$252))*100))</x:f>
      </x:c>
    </x:row>
    <x:row r="249">
      <x:c r="A249" t="inlineStr">
        <x:is>
          <x:t xml:space="preserve">PSE</x:t>
        </x:is>
      </x:c>
      <x:c r="B249" t="inlineStr">
        <x:is>
          <x:t xml:space="preserve">West Bank and Gaza</x:t>
        </x:is>
      </x:c>
      <x:c r="C249" t="inlineStr">
        <x:is>
          <x:t xml:space="preserve">Middle East &amp; North Africa</x:t>
        </x:is>
      </x:c>
      <x:c r="D249" t="inlineStr">
        <x:is>
          <x:t xml:space="preserve">Lower middle income</x:t>
        </x:is>
      </x:c>
      <x:c r="E249" t="inlineStr">
        <x:is>
          <x:t xml:space="preserve">Asia</x:t>
        </x:is>
      </x:c>
      <x:c r="F249" t="n">
        <x:v>2024</x:v>
      </x:c>
      <x:c r="G249" t="n">
        <x:v>5289152</x:v>
      </x:c>
      <x:c r="H249" t="n">
        <x:v>2020</x:v>
      </x:c>
      <x:c r="I249" t="n">
        <x:v>0</x:v>
      </x:c>
      <x:c r="J249" t="n">
        <x:v>0</x:v>
      </x:c>
      <x:c r="K249" t="n">
        <x:v>0</x:v>
      </x:c>
      <x:c r="L249" t="n">
        <x:v>0</x:v>
      </x:c>
      <x:c r="N249" s="8" t="n"/>
      <x:c r="O249" s="9" t="n"/>
      <x:c r="P249" s="8" t="n"/>
      <x:c r="Q249" t="n">
        <x:v>2024</x:v>
      </x:c>
      <x:c r="R249" s="8" t="n">
        <x:v>13711100000</x:v>
      </x:c>
      <x:c r="S249" t="n">
        <x:v>0</x:v>
      </x:c>
      <x:c r="T249" t="n">
        <x:v>0</x:v>
      </x:c>
      <x:c r="U249" t="inlineStr">
        <x:is>
          <x:t xml:space="preserve">No</x:t>
        </x:is>
      </x:c>
      <x:c r="W249" t="inlineStr">
        <x:is>
          <x:t xml:space="preserve">No</x:t>
        </x:is>
      </x:c>
      <x:c r="X249" t="n">
        <x:v>13.51715246881794</x:v>
      </x:c>
      <x:c r="Y249" t="n">
        <x:v>59.03615559553948</x:v>
      </x:c>
      <x:c r="Z249" t="n">
        <x:v>5037.103825871566</x:v>
      </x:c>
      <x:c r="AA249" t="n">
        <x:v>901.9321731399702</x:v>
      </x:c>
      <x:c r="AB249" s="8" t="n">
        <x:v>4670.962240536582</x:v>
      </x:c>
      <x:c r="AR249">
        <x:f>IF(G249="","",LOG10(G249+1))</x:f>
      </x:c>
      <x:c r="AS249" s="10">
        <x:f>IF(AR249="","",IF(MAX($AR$2:$AR$252)-MIN($AR$2:$AR$252)=0,"",(AR249-MIN($AR$2:$AR$252))/(MAX($AR$2:$AR$252)-MIN($AR$2:$AR$252))*100))</x:f>
      </x:c>
      <x:c r="AT249">
        <x:f>IF(R249="","",LOG10(R249+1))</x:f>
      </x:c>
      <x:c r="AU249" s="10">
        <x:f>IF(AT249="","",IF(MAX($AT$2:$AT$252)-MIN($AT$2:$AT$252)=0,"",(AT249-MIN($AT$2:$AT$252))/(MAX($AT$2:$AT$252)-MIN($AT$2:$AT$252))*100))</x:f>
      </x:c>
      <x:c r="AV249">
        <x:f>IF(N249="","",LOG10(N249+1))</x:f>
      </x:c>
      <x:c r="AW249" s="10">
        <x:f>IF(AV249="","",IF(MAX($AV$2:$AV$252)-MIN($AV$2:$AV$252)=0,"",(AV249-MIN($AV$2:$AV$252))/(MAX($AV$2:$AV$252)-MIN($AV$2:$AV$252))*100))</x:f>
      </x:c>
      <x:c r="AX249">
        <x:f>IF(I249="","",LOG10(I249+1))</x:f>
      </x:c>
      <x:c r="AY249" s="10">
        <x:f>IF(AX249="","",IF(MAX($AX$2:$AX$252)-MIN($AX$2:$AX$252)=0,"",(AX249-MIN($AX$2:$AX$252))/(MAX($AX$2:$AX$252)-MIN($AX$2:$AX$252))*100))</x:f>
      </x:c>
      <x:c r="AZ249">
        <x:f>IF(J249="","",LOG10(J249+1))</x:f>
      </x:c>
      <x:c r="BA249" s="10">
        <x:f>IF(AZ249="","",IF(MAX($AZ$2:$AZ$252)-MIN($AZ$2:$AZ$252)=0,"",(AZ249-MIN($AZ$2:$AZ$252))/(MAX($AZ$2:$AZ$252)-MIN($AZ$2:$AZ$252))*100))</x:f>
      </x:c>
      <x:c r="BB249">
        <x:f>IF(K249="","",LOG10(K249+1))</x:f>
      </x:c>
      <x:c r="BC249" s="10">
        <x:f>IF(BB249="","",IF(MAX($BB$2:$BB$252)-MIN($BB$2:$BB$252)=0,"",(BB249-MIN($BB$2:$BB$252))/(MAX($BB$2:$BB$252)-MIN($BB$2:$BB$252))*100))</x:f>
      </x:c>
      <x:c r="BD249">
        <x:f>IF(L249="","",LOG10(L249+1))</x:f>
      </x:c>
      <x:c r="BE249" s="10">
        <x:f>IF(BD249="","",IF(MAX($BD$2:$BD$252)-MIN($BD$2:$BD$252)=0,"",(BD249-MIN($BD$2:$BD$252))/(MAX($BD$2:$BD$252)-MIN($BD$2:$BD$252))*100))</x:f>
      </x:c>
      <x:c r="BF249" s="10">
        <x:f>IF(P249="","",IF(MAX($P$2:$P$252)-MIN($P$2:$P$252)=0,"",(P249-MIN($P$2:$P$252))/(MAX($P$2:$P$252)-MIN($P$2:$P$252))*100))</x:f>
      </x:c>
      <x:c r="BG249">
        <x:f>IF(AF249="","",LOG10(AF249+1))</x:f>
      </x:c>
      <x:c r="BH249" s="10">
        <x:f>IF(BG249="","",IF(MAX($BG$2:$BG$252)-MIN($BG$2:$BG$252)=0,"",(BG249-MIN($BG$2:$BG$252))/(MAX($BG$2:$BG$252)-MIN($BG$2:$BG$252))*100))</x:f>
      </x:c>
      <x:c r="BI249">
        <x:f>IF(AC249="","",LOG10(AC249+1))</x:f>
      </x:c>
      <x:c r="BJ249" s="10">
        <x:f>IF(BI249="","",IF(MAX($BI$2:$BI$252)-MIN($BI$2:$BI$252)=0,"",(BI249-MIN($BI$2:$BI$252))/(MAX($BI$2:$BI$252)-MIN($BI$2:$BI$252))*100))</x:f>
      </x:c>
      <x:c r="BK249">
        <x:f>IF(AD249="","",(AD249*2)+(AE249*1))</x:f>
      </x:c>
      <x:c r="BL249" s="10">
        <x:f>IF(BK249="","",IF(MAX($BK$2:$BK$252)-MIN($BK$2:$BK$252)=0,"",(BK249-MIN($BK$2:$BK$252))/(MAX($BK$2:$BK$252)-MIN($BK$2:$BK$252))*100))</x:f>
      </x:c>
      <x:c r="BM249" s="10">
        <x:f>IF(AB249="","",IF(MAX($AB$2:$AB$252)-MIN($AB$2:$AB$252)=0,"",(AB249-MIN($AB$2:$AB$252))/(MAX($AB$2:$AB$252)-MIN($AB$2:$AB$252))*100))</x:f>
      </x:c>
      <x:c r="BN249" s="10">
        <x:f>IF(X249="","",X249)</x:f>
      </x:c>
      <x:c r="BO249" s="10">
        <x:f>IF(X249="","",100-X249)</x:f>
      </x:c>
      <x:c r="BP249" s="10">
        <x:f>IF((Weights!$C$2*IF(BH249="",0,1)+Weights!$C$3*IF(BJ249="",0,1)+Weights!$C$4*IF(BL249="",0,1))=0,"",(Weights!$C$2*IF(BH249="",0,BH249)+Weights!$C$3*IF(BJ249="",0,BJ249)+Weights!$C$4*IF(BL249="",0,BL249))/(Weights!$C$2*IF(BH249="",0,1)+Weights!$C$3*IF(BJ249="",0,1)+Weights!$C$4*IF(BL249="",0,1)))</x:f>
      </x:c>
      <x:c r="BQ249" s="10">
        <x:f>IF((Weights!$C$5*IF(BA249="",0,1)+Weights!$C$6*IF(AW249="",0,1)+Weights!$C$7*IF(AU249="",0,1))=0,"",(Weights!$C$5*IF(BA249="",0,BA249)+Weights!$C$6*IF(AW249="",0,AW249)+Weights!$C$7*IF(AU249="",0,AU249))/(Weights!$C$5*IF(BA249="",0,1)+Weights!$C$6*IF(AW249="",0,1)+Weights!$C$7*IF(AU249="",0,1)))</x:f>
      </x:c>
      <x:c r="BR249" s="10">
        <x:f>IF((Weights!$C$8*IF(AW249="",0,1)+Weights!$C$9*IF(BC249="",0,1)+Weights!$C$10*IF(BF249="",0,1))=0,"",(Weights!$C$8*IF(AW249="",0,AW249)+Weights!$C$9*IF(BC249="",0,BC249)+Weights!$C$10*IF(BF249="",0,BF249))/(Weights!$C$8*IF(AW249="",0,1)+Weights!$C$9*IF(BC249="",0,1)+Weights!$C$10*IF(BF249="",0,1)))</x:f>
      </x:c>
      <x:c r="BS249" s="10">
        <x:f>IF(Y249="","",Y249)</x:f>
      </x:c>
      <x:c r="BT249" s="10">
        <x:f>IF(AS249="","",AS249)</x:f>
      </x:c>
      <x:c r="BU249" s="10">
        <x:f>IF(AJ249&lt;&gt;"",(0.6*AJ249+0.4*AU249),IF((Weights!$C$11*IF(AU249="",0,1)+Weights!$C$12*IF(BM249="",0,1))=0,"",(Weights!$C$11*IF(AU249="",0,AU249)+Weights!$C$12*IF(BM249="",0,BM249))/(Weights!$C$11*IF(AU249="",0,1)+Weights!$C$12*IF(BM249="",0,1))))</x:f>
      </x:c>
      <x:c r="BV249" s="10">
        <x:f>IF(CG249="",0,CG249)</x:f>
      </x:c>
      <x:c r="BW249" s="10">
        <x:f>IF(AP249="","",AP249)</x:f>
      </x:c>
      <x:c r="BX249" s="10">
        <x:f>IF(AO249="","",AO249)</x:f>
      </x:c>
      <x:c r="BY249" s="10">
        <x:f>IF(AL249="","",AL249)</x:f>
      </x:c>
      <x:c r="BZ249" s="10">
        <x:f>IF(AM249="","",AM249)</x:f>
      </x:c>
      <x:c r="CA249" s="10">
        <x:f>IF(AK249&lt;&gt;"",AK249,AW249)</x:f>
      </x:c>
      <x:c r="CB249" s="10">
        <x:f>IF((Weights!$C$13*IF(BP249="",0,1)+Weights!$C$14*IF(BR249="",0,1)+Weights!$C$15*IF(BQ249="",0,1)+Weights!$C$16*IF(BS249="",0,1)+Weights!$C$17*IF(BU249="",0,1)+Weights!$C$18*IF(BT249="",0,1)+Weights!$C$19*IF(BW249="",0,1)+Weights!$C$20*IF(BZ249="",0,1)+Weights!$C$21*IF(BO249="",0,1)+Weights!$C$22)=0,"",(Weights!$C$13*IF(BP249="",0,BP249)+Weights!$C$14*IF(BR249="",0,BR249)+Weights!$C$15*IF(BQ249="",0,BQ249)+Weights!$C$16*IF(BS249="",0,BS249)+Weights!$C$17*IF(BU249="",0,BU249)+Weights!$C$18*IF(BT249="",0,BT249)+Weights!$C$19*IF(BW249="",0,BW249)+Weights!$C$20*IF(BZ249="",0,BZ249)+Weights!$C$21*IF(BO249="",0,BO249)+Weights!$C$22*BV249)/(Weights!$C$13*IF(BP249="",0,1)+Weights!$C$14*IF(BR249="",0,1)+Weights!$C$15*IF(BQ249="",0,1)+Weights!$C$16*IF(BS249="",0,1)+Weights!$C$17*IF(BU249="",0,1)+Weights!$C$18*IF(BT249="",0,1)+Weights!$C$19*IF(BW249="",0,1)+Weights!$C$20*IF(BZ249="",0,1)+Weights!$C$21*IF(BO249="",0,1)+Weights!$C$22))</x:f>
      </x:c>
      <x:c r="CC249" s="10">
        <x:f>IF((Weights!$C$23*IF(BQ249="",0,1)+Weights!$C$24*IF(BN249="",0,1)+Weights!$C$25*IF(BS249="",0,1)+Weights!$C$26*IF(BY249="",0,1)+Weights!$C$27*IF(BX249="",0,1)+Weights!$C$28*IF(BT249="",0,1)+Weights!$C$29*IF(CA249="",0,1)+Weights!$C$30+Weights!$C$31*IF(BU249="",0,1))=0,"",(Weights!$C$23*IF(BQ249="",0,BQ249)+Weights!$C$24*IF(BN249="",0,BN249)+Weights!$C$25*IF(BS249="",0,BS249)+Weights!$C$26*IF(BY249="",0,BY249)+Weights!$C$27*IF(BX249="",0,BX249)+Weights!$C$28*IF(BT249="",0,BT249)+Weights!$C$29*IF(CA249="",0,CA249)+Weights!$C$30*BV249+Weights!$C$31*IF(BU249="",0,BU249))/(Weights!$C$23*IF(BQ249="",0,1)+Weights!$C$24*IF(BN249="",0,1)+Weights!$C$25*IF(BS249="",0,1)+Weights!$C$26*IF(BY249="",0,1)+Weights!$C$27*IF(BX249="",0,1)+Weights!$C$28*IF(BT249="",0,1)+Weights!$C$29*IF(CA249="",0,1)+Weights!$C$30+Weights!$C$31*IF(BU249="",0,1)))</x:f>
      </x:c>
      <x:c r="CD249" s="10">
        <x:f>IF(AND(CB249="",CC249=""),"",IF(CB249="",CC249,IF(CC249="",CB249,AVERAGE(CB249,CC249))))</x:f>
      </x:c>
      <x:c r="CE249" s="7">
        <x:f>ROUND(100*((IF(BP249&lt;&gt;"",1,0)+IF(BQ249&lt;&gt;"",1,0)+IF(BR249&lt;&gt;"",1,0)+IF(BS249&lt;&gt;"",1,0)+IF(BU249&lt;&gt;"",1,0)+IF(BT249&lt;&gt;"",1,0)+IF(BN249&lt;&gt;"",1,0)+IF(AW249&lt;&gt;"",1,0))/8),0)</x:f>
      </x:c>
      <x:c r="CF249">
        <x:f>IF(V249="","",LOG10(V249+1))</x:f>
      </x:c>
      <x:c r="CG249">
        <x:f>IF(CF249="","",IF(MAX($CF$2:$CF$252)-MIN($CF$2:$CF$252)=0,"",(CF249-MIN($CF$2:$CF$252))/(MAX($CF$2:$CF$252)-MIN($CF$2:$CF$252))*100))</x:f>
      </x:c>
    </x:row>
    <x:row r="250">
      <x:c r="A250" t="inlineStr">
        <x:is>
          <x:t xml:space="preserve">ALA</x:t>
        </x:is>
      </x:c>
      <x:c r="B250" t="inlineStr">
        <x:is>
          <x:t xml:space="preserve">Åland Islands</x:t>
        </x:is>
      </x:c>
      <x:c r="N250" s="8" t="n"/>
      <x:c r="O250" s="9" t="n"/>
      <x:c r="P250" s="8" t="n"/>
      <x:c r="R250" s="8" t="n"/>
      <x:c r="AB250" s="8" t="n"/>
      <x:c r="AR250">
        <x:f>IF(G250="","",LOG10(G250+1))</x:f>
      </x:c>
      <x:c r="AS250" s="10">
        <x:f>IF(AR250="","",IF(MAX($AR$2:$AR$252)-MIN($AR$2:$AR$252)=0,"",(AR250-MIN($AR$2:$AR$252))/(MAX($AR$2:$AR$252)-MIN($AR$2:$AR$252))*100))</x:f>
      </x:c>
      <x:c r="AT250">
        <x:f>IF(R250="","",LOG10(R250+1))</x:f>
      </x:c>
      <x:c r="AU250" s="10">
        <x:f>IF(AT250="","",IF(MAX($AT$2:$AT$252)-MIN($AT$2:$AT$252)=0,"",(AT250-MIN($AT$2:$AT$252))/(MAX($AT$2:$AT$252)-MIN($AT$2:$AT$252))*100))</x:f>
      </x:c>
      <x:c r="AV250">
        <x:f>IF(N250="","",LOG10(N250+1))</x:f>
      </x:c>
      <x:c r="AW250" s="10">
        <x:f>IF(AV250="","",IF(MAX($AV$2:$AV$252)-MIN($AV$2:$AV$252)=0,"",(AV250-MIN($AV$2:$AV$252))/(MAX($AV$2:$AV$252)-MIN($AV$2:$AV$252))*100))</x:f>
      </x:c>
      <x:c r="AX250">
        <x:f>IF(I250="","",LOG10(I250+1))</x:f>
      </x:c>
      <x:c r="AY250" s="10">
        <x:f>IF(AX250="","",IF(MAX($AX$2:$AX$252)-MIN($AX$2:$AX$252)=0,"",(AX250-MIN($AX$2:$AX$252))/(MAX($AX$2:$AX$252)-MIN($AX$2:$AX$252))*100))</x:f>
      </x:c>
      <x:c r="AZ250">
        <x:f>IF(J250="","",LOG10(J250+1))</x:f>
      </x:c>
      <x:c r="BA250" s="10">
        <x:f>IF(AZ250="","",IF(MAX($AZ$2:$AZ$252)-MIN($AZ$2:$AZ$252)=0,"",(AZ250-MIN($AZ$2:$AZ$252))/(MAX($AZ$2:$AZ$252)-MIN($AZ$2:$AZ$252))*100))</x:f>
      </x:c>
      <x:c r="BB250">
        <x:f>IF(K250="","",LOG10(K250+1))</x:f>
      </x:c>
      <x:c r="BC250" s="10">
        <x:f>IF(BB250="","",IF(MAX($BB$2:$BB$252)-MIN($BB$2:$BB$252)=0,"",(BB250-MIN($BB$2:$BB$252))/(MAX($BB$2:$BB$252)-MIN($BB$2:$BB$252))*100))</x:f>
      </x:c>
      <x:c r="BD250">
        <x:f>IF(L250="","",LOG10(L250+1))</x:f>
      </x:c>
      <x:c r="BE250" s="10">
        <x:f>IF(BD250="","",IF(MAX($BD$2:$BD$252)-MIN($BD$2:$BD$252)=0,"",(BD250-MIN($BD$2:$BD$252))/(MAX($BD$2:$BD$252)-MIN($BD$2:$BD$252))*100))</x:f>
      </x:c>
      <x:c r="BF250" s="10">
        <x:f>IF(P250="","",IF(MAX($P$2:$P$252)-MIN($P$2:$P$252)=0,"",(P250-MIN($P$2:$P$252))/(MAX($P$2:$P$252)-MIN($P$2:$P$252))*100))</x:f>
      </x:c>
      <x:c r="BG250">
        <x:f>IF(AF250="","",LOG10(AF250+1))</x:f>
      </x:c>
      <x:c r="BH250" s="10">
        <x:f>IF(BG250="","",IF(MAX($BG$2:$BG$252)-MIN($BG$2:$BG$252)=0,"",(BG250-MIN($BG$2:$BG$252))/(MAX($BG$2:$BG$252)-MIN($BG$2:$BG$252))*100))</x:f>
      </x:c>
      <x:c r="BI250">
        <x:f>IF(AC250="","",LOG10(AC250+1))</x:f>
      </x:c>
      <x:c r="BJ250" s="10">
        <x:f>IF(BI250="","",IF(MAX($BI$2:$BI$252)-MIN($BI$2:$BI$252)=0,"",(BI250-MIN($BI$2:$BI$252))/(MAX($BI$2:$BI$252)-MIN($BI$2:$BI$252))*100))</x:f>
      </x:c>
      <x:c r="BK250">
        <x:f>IF(AD250="","",(AD250*2)+(AE250*1))</x:f>
      </x:c>
      <x:c r="BL250" s="10">
        <x:f>IF(BK250="","",IF(MAX($BK$2:$BK$252)-MIN($BK$2:$BK$252)=0,"",(BK250-MIN($BK$2:$BK$252))/(MAX($BK$2:$BK$252)-MIN($BK$2:$BK$252))*100))</x:f>
      </x:c>
      <x:c r="BM250" s="10">
        <x:f>IF(AB250="","",IF(MAX($AB$2:$AB$252)-MIN($AB$2:$AB$252)=0,"",(AB250-MIN($AB$2:$AB$252))/(MAX($AB$2:$AB$252)-MIN($AB$2:$AB$252))*100))</x:f>
      </x:c>
      <x:c r="BN250" s="10">
        <x:f>IF(X250="","",X250)</x:f>
      </x:c>
      <x:c r="BO250" s="10">
        <x:f>IF(X250="","",100-X250)</x:f>
      </x:c>
      <x:c r="BP250" s="10">
        <x:f>IF((Weights!$C$2*IF(BH250="",0,1)+Weights!$C$3*IF(BJ250="",0,1)+Weights!$C$4*IF(BL250="",0,1))=0,"",(Weights!$C$2*IF(BH250="",0,BH250)+Weights!$C$3*IF(BJ250="",0,BJ250)+Weights!$C$4*IF(BL250="",0,BL250))/(Weights!$C$2*IF(BH250="",0,1)+Weights!$C$3*IF(BJ250="",0,1)+Weights!$C$4*IF(BL250="",0,1)))</x:f>
      </x:c>
      <x:c r="BQ250" s="10">
        <x:f>IF((Weights!$C$5*IF(BA250="",0,1)+Weights!$C$6*IF(AW250="",0,1)+Weights!$C$7*IF(AU250="",0,1))=0,"",(Weights!$C$5*IF(BA250="",0,BA250)+Weights!$C$6*IF(AW250="",0,AW250)+Weights!$C$7*IF(AU250="",0,AU250))/(Weights!$C$5*IF(BA250="",0,1)+Weights!$C$6*IF(AW250="",0,1)+Weights!$C$7*IF(AU250="",0,1)))</x:f>
      </x:c>
      <x:c r="BR250" s="10">
        <x:f>IF((Weights!$C$8*IF(AW250="",0,1)+Weights!$C$9*IF(BC250="",0,1)+Weights!$C$10*IF(BF250="",0,1))=0,"",(Weights!$C$8*IF(AW250="",0,AW250)+Weights!$C$9*IF(BC250="",0,BC250)+Weights!$C$10*IF(BF250="",0,BF250))/(Weights!$C$8*IF(AW250="",0,1)+Weights!$C$9*IF(BC250="",0,1)+Weights!$C$10*IF(BF250="",0,1)))</x:f>
      </x:c>
      <x:c r="BS250" s="10">
        <x:f>IF(Y250="","",Y250)</x:f>
      </x:c>
      <x:c r="BT250" s="10">
        <x:f>IF(AS250="","",AS250)</x:f>
      </x:c>
      <x:c r="BU250" s="10">
        <x:f>IF(AJ250&lt;&gt;"",(0.6*AJ250+0.4*AU250),IF((Weights!$C$11*IF(AU250="",0,1)+Weights!$C$12*IF(BM250="",0,1))=0,"",(Weights!$C$11*IF(AU250="",0,AU250)+Weights!$C$12*IF(BM250="",0,BM250))/(Weights!$C$11*IF(AU250="",0,1)+Weights!$C$12*IF(BM250="",0,1))))</x:f>
      </x:c>
      <x:c r="BV250" s="10">
        <x:f>IF(CG250="",0,CG250)</x:f>
      </x:c>
      <x:c r="BW250" s="10">
        <x:f>IF(AP250="","",AP250)</x:f>
      </x:c>
      <x:c r="BX250" s="10">
        <x:f>IF(AO250="","",AO250)</x:f>
      </x:c>
      <x:c r="BY250" s="10">
        <x:f>IF(AL250="","",AL250)</x:f>
      </x:c>
      <x:c r="BZ250" s="10">
        <x:f>IF(AM250="","",AM250)</x:f>
      </x:c>
      <x:c r="CA250" s="10">
        <x:f>IF(AK250&lt;&gt;"",AK250,AW250)</x:f>
      </x:c>
      <x:c r="CB250" s="10">
        <x:f>IF((Weights!$C$13*IF(BP250="",0,1)+Weights!$C$14*IF(BR250="",0,1)+Weights!$C$15*IF(BQ250="",0,1)+Weights!$C$16*IF(BS250="",0,1)+Weights!$C$17*IF(BU250="",0,1)+Weights!$C$18*IF(BT250="",0,1)+Weights!$C$19*IF(BW250="",0,1)+Weights!$C$20*IF(BZ250="",0,1)+Weights!$C$21*IF(BO250="",0,1)+Weights!$C$22)=0,"",(Weights!$C$13*IF(BP250="",0,BP250)+Weights!$C$14*IF(BR250="",0,BR250)+Weights!$C$15*IF(BQ250="",0,BQ250)+Weights!$C$16*IF(BS250="",0,BS250)+Weights!$C$17*IF(BU250="",0,BU250)+Weights!$C$18*IF(BT250="",0,BT250)+Weights!$C$19*IF(BW250="",0,BW250)+Weights!$C$20*IF(BZ250="",0,BZ250)+Weights!$C$21*IF(BO250="",0,BO250)+Weights!$C$22*BV250)/(Weights!$C$13*IF(BP250="",0,1)+Weights!$C$14*IF(BR250="",0,1)+Weights!$C$15*IF(BQ250="",0,1)+Weights!$C$16*IF(BS250="",0,1)+Weights!$C$17*IF(BU250="",0,1)+Weights!$C$18*IF(BT250="",0,1)+Weights!$C$19*IF(BW250="",0,1)+Weights!$C$20*IF(BZ250="",0,1)+Weights!$C$21*IF(BO250="",0,1)+Weights!$C$22))</x:f>
      </x:c>
      <x:c r="CC250" s="10">
        <x:f>IF((Weights!$C$23*IF(BQ250="",0,1)+Weights!$C$24*IF(BN250="",0,1)+Weights!$C$25*IF(BS250="",0,1)+Weights!$C$26*IF(BY250="",0,1)+Weights!$C$27*IF(BX250="",0,1)+Weights!$C$28*IF(BT250="",0,1)+Weights!$C$29*IF(CA250="",0,1)+Weights!$C$30+Weights!$C$31*IF(BU250="",0,1))=0,"",(Weights!$C$23*IF(BQ250="",0,BQ250)+Weights!$C$24*IF(BN250="",0,BN250)+Weights!$C$25*IF(BS250="",0,BS250)+Weights!$C$26*IF(BY250="",0,BY250)+Weights!$C$27*IF(BX250="",0,BX250)+Weights!$C$28*IF(BT250="",0,BT250)+Weights!$C$29*IF(CA250="",0,CA250)+Weights!$C$30*BV250+Weights!$C$31*IF(BU250="",0,BU250))/(Weights!$C$23*IF(BQ250="",0,1)+Weights!$C$24*IF(BN250="",0,1)+Weights!$C$25*IF(BS250="",0,1)+Weights!$C$26*IF(BY250="",0,1)+Weights!$C$27*IF(BX250="",0,1)+Weights!$C$28*IF(BT250="",0,1)+Weights!$C$29*IF(CA250="",0,1)+Weights!$C$30+Weights!$C$31*IF(BU250="",0,1)))</x:f>
      </x:c>
      <x:c r="CD250" s="10">
        <x:f>IF(AND(CB250="",CC250=""),"",IF(CB250="",CC250,IF(CC250="",CB250,AVERAGE(CB250,CC250))))</x:f>
      </x:c>
      <x:c r="CE250" s="7">
        <x:f>ROUND(100*((IF(BP250&lt;&gt;"",1,0)+IF(BQ250&lt;&gt;"",1,0)+IF(BR250&lt;&gt;"",1,0)+IF(BS250&lt;&gt;"",1,0)+IF(BU250&lt;&gt;"",1,0)+IF(BT250&lt;&gt;"",1,0)+IF(BN250&lt;&gt;"",1,0)+IF(AW250&lt;&gt;"",1,0))/8),0)</x:f>
      </x:c>
      <x:c r="CF250">
        <x:f>IF(V250="","",LOG10(V250+1))</x:f>
      </x:c>
      <x:c r="CG250">
        <x:f>IF(CF250="","",IF(MAX($CF$2:$CF$252)-MIN($CF$2:$CF$252)=0,"",(CF250-MIN($CF$2:$CF$252))/(MAX($CF$2:$CF$252)-MIN($CF$2:$CF$252))*100))</x:f>
      </x:c>
    </x:row>
    <x:row r="251">
      <x:c r="A251" t="inlineStr">
        <x:is>
          <x:t xml:space="preserve">CHI</x:t>
        </x:is>
      </x:c>
      <x:c r="B251" t="inlineStr">
        <x:is>
          <x:t xml:space="preserve">Channel Islands</x:t>
        </x:is>
      </x:c>
      <x:c r="C251" t="inlineStr">
        <x:is>
          <x:t xml:space="preserve">Europe &amp; Central Asia</x:t>
        </x:is>
      </x:c>
      <x:c r="D251" t="inlineStr">
        <x:is>
          <x:t xml:space="preserve">High income</x:t>
        </x:is>
      </x:c>
      <x:c r="F251" t="n">
        <x:v>2024</x:v>
      </x:c>
      <x:c r="G251" t="n">
        <x:v>168126</x:v>
      </x:c>
      <x:c r="N251" s="8" t="n"/>
      <x:c r="O251" s="9" t="n"/>
      <x:c r="P251" s="8" t="n"/>
      <x:c r="Q251" t="n">
        <x:v>2023</x:v>
      </x:c>
      <x:c r="R251" s="8" t="n">
        <x:v>12507320838.3932</x:v>
      </x:c>
      <x:c r="S251" t="n">
        <x:v>0</x:v>
      </x:c>
      <x:c r="T251" t="n">
        <x:v>0</x:v>
      </x:c>
      <x:c r="U251" t="inlineStr">
        <x:is>
          <x:t xml:space="preserve">No</x:t>
        </x:is>
      </x:c>
      <x:c r="W251" t="inlineStr">
        <x:is>
          <x:t xml:space="preserve">No</x:t>
        </x:is>
      </x:c>
      <x:c r="AB251" s="8" t="n"/>
      <x:c r="AR251">
        <x:f>IF(G251="","",LOG10(G251+1))</x:f>
      </x:c>
      <x:c r="AS251" s="10">
        <x:f>IF(AR251="","",IF(MAX($AR$2:$AR$252)-MIN($AR$2:$AR$252)=0,"",(AR251-MIN($AR$2:$AR$252))/(MAX($AR$2:$AR$252)-MIN($AR$2:$AR$252))*100))</x:f>
      </x:c>
      <x:c r="AT251">
        <x:f>IF(R251="","",LOG10(R251+1))</x:f>
      </x:c>
      <x:c r="AU251" s="10">
        <x:f>IF(AT251="","",IF(MAX($AT$2:$AT$252)-MIN($AT$2:$AT$252)=0,"",(AT251-MIN($AT$2:$AT$252))/(MAX($AT$2:$AT$252)-MIN($AT$2:$AT$252))*100))</x:f>
      </x:c>
      <x:c r="AV251">
        <x:f>IF(N251="","",LOG10(N251+1))</x:f>
      </x:c>
      <x:c r="AW251" s="10">
        <x:f>IF(AV251="","",IF(MAX($AV$2:$AV$252)-MIN($AV$2:$AV$252)=0,"",(AV251-MIN($AV$2:$AV$252))/(MAX($AV$2:$AV$252)-MIN($AV$2:$AV$252))*100))</x:f>
      </x:c>
      <x:c r="AX251">
        <x:f>IF(I251="","",LOG10(I251+1))</x:f>
      </x:c>
      <x:c r="AY251" s="10">
        <x:f>IF(AX251="","",IF(MAX($AX$2:$AX$252)-MIN($AX$2:$AX$252)=0,"",(AX251-MIN($AX$2:$AX$252))/(MAX($AX$2:$AX$252)-MIN($AX$2:$AX$252))*100))</x:f>
      </x:c>
      <x:c r="AZ251">
        <x:f>IF(J251="","",LOG10(J251+1))</x:f>
      </x:c>
      <x:c r="BA251" s="10">
        <x:f>IF(AZ251="","",IF(MAX($AZ$2:$AZ$252)-MIN($AZ$2:$AZ$252)=0,"",(AZ251-MIN($AZ$2:$AZ$252))/(MAX($AZ$2:$AZ$252)-MIN($AZ$2:$AZ$252))*100))</x:f>
      </x:c>
      <x:c r="BB251">
        <x:f>IF(K251="","",LOG10(K251+1))</x:f>
      </x:c>
      <x:c r="BC251" s="10">
        <x:f>IF(BB251="","",IF(MAX($BB$2:$BB$252)-MIN($BB$2:$BB$252)=0,"",(BB251-MIN($BB$2:$BB$252))/(MAX($BB$2:$BB$252)-MIN($BB$2:$BB$252))*100))</x:f>
      </x:c>
      <x:c r="BD251">
        <x:f>IF(L251="","",LOG10(L251+1))</x:f>
      </x:c>
      <x:c r="BE251" s="10">
        <x:f>IF(BD251="","",IF(MAX($BD$2:$BD$252)-MIN($BD$2:$BD$252)=0,"",(BD251-MIN($BD$2:$BD$252))/(MAX($BD$2:$BD$252)-MIN($BD$2:$BD$252))*100))</x:f>
      </x:c>
      <x:c r="BF251" s="10">
        <x:f>IF(P251="","",IF(MAX($P$2:$P$252)-MIN($P$2:$P$252)=0,"",(P251-MIN($P$2:$P$252))/(MAX($P$2:$P$252)-MIN($P$2:$P$252))*100))</x:f>
      </x:c>
      <x:c r="BG251">
        <x:f>IF(AF251="","",LOG10(AF251+1))</x:f>
      </x:c>
      <x:c r="BH251" s="10">
        <x:f>IF(BG251="","",IF(MAX($BG$2:$BG$252)-MIN($BG$2:$BG$252)=0,"",(BG251-MIN($BG$2:$BG$252))/(MAX($BG$2:$BG$252)-MIN($BG$2:$BG$252))*100))</x:f>
      </x:c>
      <x:c r="BI251">
        <x:f>IF(AC251="","",LOG10(AC251+1))</x:f>
      </x:c>
      <x:c r="BJ251" s="10">
        <x:f>IF(BI251="","",IF(MAX($BI$2:$BI$252)-MIN($BI$2:$BI$252)=0,"",(BI251-MIN($BI$2:$BI$252))/(MAX($BI$2:$BI$252)-MIN($BI$2:$BI$252))*100))</x:f>
      </x:c>
      <x:c r="BK251">
        <x:f>IF(AD251="","",(AD251*2)+(AE251*1))</x:f>
      </x:c>
      <x:c r="BL251" s="10">
        <x:f>IF(BK251="","",IF(MAX($BK$2:$BK$252)-MIN($BK$2:$BK$252)=0,"",(BK251-MIN($BK$2:$BK$252))/(MAX($BK$2:$BK$252)-MIN($BK$2:$BK$252))*100))</x:f>
      </x:c>
      <x:c r="BM251" s="10">
        <x:f>IF(AB251="","",IF(MAX($AB$2:$AB$252)-MIN($AB$2:$AB$252)=0,"",(AB251-MIN($AB$2:$AB$252))/(MAX($AB$2:$AB$252)-MIN($AB$2:$AB$252))*100))</x:f>
      </x:c>
      <x:c r="BN251" s="10">
        <x:f>IF(X251="","",X251)</x:f>
      </x:c>
      <x:c r="BO251" s="10">
        <x:f>IF(X251="","",100-X251)</x:f>
      </x:c>
      <x:c r="BP251" s="10">
        <x:f>IF((Weights!$C$2*IF(BH251="",0,1)+Weights!$C$3*IF(BJ251="",0,1)+Weights!$C$4*IF(BL251="",0,1))=0,"",(Weights!$C$2*IF(BH251="",0,BH251)+Weights!$C$3*IF(BJ251="",0,BJ251)+Weights!$C$4*IF(BL251="",0,BL251))/(Weights!$C$2*IF(BH251="",0,1)+Weights!$C$3*IF(BJ251="",0,1)+Weights!$C$4*IF(BL251="",0,1)))</x:f>
      </x:c>
      <x:c r="BQ251" s="10">
        <x:f>IF((Weights!$C$5*IF(BA251="",0,1)+Weights!$C$6*IF(AW251="",0,1)+Weights!$C$7*IF(AU251="",0,1))=0,"",(Weights!$C$5*IF(BA251="",0,BA251)+Weights!$C$6*IF(AW251="",0,AW251)+Weights!$C$7*IF(AU251="",0,AU251))/(Weights!$C$5*IF(BA251="",0,1)+Weights!$C$6*IF(AW251="",0,1)+Weights!$C$7*IF(AU251="",0,1)))</x:f>
      </x:c>
      <x:c r="BR251" s="10">
        <x:f>IF((Weights!$C$8*IF(AW251="",0,1)+Weights!$C$9*IF(BC251="",0,1)+Weights!$C$10*IF(BF251="",0,1))=0,"",(Weights!$C$8*IF(AW251="",0,AW251)+Weights!$C$9*IF(BC251="",0,BC251)+Weights!$C$10*IF(BF251="",0,BF251))/(Weights!$C$8*IF(AW251="",0,1)+Weights!$C$9*IF(BC251="",0,1)+Weights!$C$10*IF(BF251="",0,1)))</x:f>
      </x:c>
      <x:c r="BS251" s="10">
        <x:f>IF(Y251="","",Y251)</x:f>
      </x:c>
      <x:c r="BT251" s="10">
        <x:f>IF(AS251="","",AS251)</x:f>
      </x:c>
      <x:c r="BU251" s="10">
        <x:f>IF(AJ251&lt;&gt;"",(0.6*AJ251+0.4*AU251),IF((Weights!$C$11*IF(AU251="",0,1)+Weights!$C$12*IF(BM251="",0,1))=0,"",(Weights!$C$11*IF(AU251="",0,AU251)+Weights!$C$12*IF(BM251="",0,BM251))/(Weights!$C$11*IF(AU251="",0,1)+Weights!$C$12*IF(BM251="",0,1))))</x:f>
      </x:c>
      <x:c r="BV251" s="10">
        <x:f>IF(CG251="",0,CG251)</x:f>
      </x:c>
      <x:c r="BW251" s="10">
        <x:f>IF(AP251="","",AP251)</x:f>
      </x:c>
      <x:c r="BX251" s="10">
        <x:f>IF(AO251="","",AO251)</x:f>
      </x:c>
      <x:c r="BY251" s="10">
        <x:f>IF(AL251="","",AL251)</x:f>
      </x:c>
      <x:c r="BZ251" s="10">
        <x:f>IF(AM251="","",AM251)</x:f>
      </x:c>
      <x:c r="CA251" s="10">
        <x:f>IF(AK251&lt;&gt;"",AK251,AW251)</x:f>
      </x:c>
      <x:c r="CB251" s="10">
        <x:f>IF((Weights!$C$13*IF(BP251="",0,1)+Weights!$C$14*IF(BR251="",0,1)+Weights!$C$15*IF(BQ251="",0,1)+Weights!$C$16*IF(BS251="",0,1)+Weights!$C$17*IF(BU251="",0,1)+Weights!$C$18*IF(BT251="",0,1)+Weights!$C$19*IF(BW251="",0,1)+Weights!$C$20*IF(BZ251="",0,1)+Weights!$C$21*IF(BO251="",0,1)+Weights!$C$22)=0,"",(Weights!$C$13*IF(BP251="",0,BP251)+Weights!$C$14*IF(BR251="",0,BR251)+Weights!$C$15*IF(BQ251="",0,BQ251)+Weights!$C$16*IF(BS251="",0,BS251)+Weights!$C$17*IF(BU251="",0,BU251)+Weights!$C$18*IF(BT251="",0,BT251)+Weights!$C$19*IF(BW251="",0,BW251)+Weights!$C$20*IF(BZ251="",0,BZ251)+Weights!$C$21*IF(BO251="",0,BO251)+Weights!$C$22*BV251)/(Weights!$C$13*IF(BP251="",0,1)+Weights!$C$14*IF(BR251="",0,1)+Weights!$C$15*IF(BQ251="",0,1)+Weights!$C$16*IF(BS251="",0,1)+Weights!$C$17*IF(BU251="",0,1)+Weights!$C$18*IF(BT251="",0,1)+Weights!$C$19*IF(BW251="",0,1)+Weights!$C$20*IF(BZ251="",0,1)+Weights!$C$21*IF(BO251="",0,1)+Weights!$C$22))</x:f>
      </x:c>
      <x:c r="CC251" s="10">
        <x:f>IF((Weights!$C$23*IF(BQ251="",0,1)+Weights!$C$24*IF(BN251="",0,1)+Weights!$C$25*IF(BS251="",0,1)+Weights!$C$26*IF(BY251="",0,1)+Weights!$C$27*IF(BX251="",0,1)+Weights!$C$28*IF(BT251="",0,1)+Weights!$C$29*IF(CA251="",0,1)+Weights!$C$30+Weights!$C$31*IF(BU251="",0,1))=0,"",(Weights!$C$23*IF(BQ251="",0,BQ251)+Weights!$C$24*IF(BN251="",0,BN251)+Weights!$C$25*IF(BS251="",0,BS251)+Weights!$C$26*IF(BY251="",0,BY251)+Weights!$C$27*IF(BX251="",0,BX251)+Weights!$C$28*IF(BT251="",0,BT251)+Weights!$C$29*IF(CA251="",0,CA251)+Weights!$C$30*BV251+Weights!$C$31*IF(BU251="",0,BU251))/(Weights!$C$23*IF(BQ251="",0,1)+Weights!$C$24*IF(BN251="",0,1)+Weights!$C$25*IF(BS251="",0,1)+Weights!$C$26*IF(BY251="",0,1)+Weights!$C$27*IF(BX251="",0,1)+Weights!$C$28*IF(BT251="",0,1)+Weights!$C$29*IF(CA251="",0,1)+Weights!$C$30+Weights!$C$31*IF(BU251="",0,1)))</x:f>
      </x:c>
      <x:c r="CD251" s="10">
        <x:f>IF(AND(CB251="",CC251=""),"",IF(CB251="",CC251,IF(CC251="",CB251,AVERAGE(CB251,CC251))))</x:f>
      </x:c>
      <x:c r="CE251" s="7">
        <x:f>ROUND(100*((IF(BP251&lt;&gt;"",1,0)+IF(BQ251&lt;&gt;"",1,0)+IF(BR251&lt;&gt;"",1,0)+IF(BS251&lt;&gt;"",1,0)+IF(BU251&lt;&gt;"",1,0)+IF(BT251&lt;&gt;"",1,0)+IF(BN251&lt;&gt;"",1,0)+IF(AW251&lt;&gt;"",1,0))/8),0)</x:f>
      </x:c>
      <x:c r="CF251">
        <x:f>IF(V251="","",LOG10(V251+1))</x:f>
      </x:c>
      <x:c r="CG251">
        <x:f>IF(CF251="","",IF(MAX($CF$2:$CF$252)-MIN($CF$2:$CF$252)=0,"",(CF251-MIN($CF$2:$CF$252))/(MAX($CF$2:$CF$252)-MIN($CF$2:$CF$252))*100))</x:f>
      </x:c>
    </x:row>
    <x:row r="252">
      <x:c r="A252" t="inlineStr">
        <x:is>
          <x:t xml:space="preserve">XKX</x:t>
        </x:is>
      </x:c>
      <x:c r="B252" t="inlineStr">
        <x:is>
          <x:t xml:space="preserve">Kosovo</x:t>
        </x:is>
      </x:c>
      <x:c r="C252" t="inlineStr">
        <x:is>
          <x:t xml:space="preserve">Europe &amp; Central Asia</x:t>
        </x:is>
      </x:c>
      <x:c r="D252" t="inlineStr">
        <x:is>
          <x:t xml:space="preserve">Upper middle income</x:t>
        </x:is>
      </x:c>
      <x:c r="F252" t="n">
        <x:v>2024</x:v>
      </x:c>
      <x:c r="G252" t="n">
        <x:v>1594353</x:v>
      </x:c>
      <x:c r="M252" t="n">
        <x:v>2024</x:v>
      </x:c>
      <x:c r="N252" s="8" t="n">
        <x:v>165554668.553169</x:v>
      </x:c>
      <x:c r="O252" s="9" t="n">
        <x:v>1.47659639574127</x:v>
      </x:c>
      <x:c r="P252" s="8" t="n"/>
      <x:c r="Q252" t="n">
        <x:v>2024</x:v>
      </x:c>
      <x:c r="R252" s="8" t="n">
        <x:v>11197246322.588</x:v>
      </x:c>
      <x:c r="S252" t="n">
        <x:v>0</x:v>
      </x:c>
      <x:c r="T252" t="n">
        <x:v>0</x:v>
      </x:c>
      <x:c r="U252" t="inlineStr">
        <x:is>
          <x:t xml:space="preserve">No</x:t>
        </x:is>
      </x:c>
      <x:c r="W252" t="inlineStr">
        <x:is>
          <x:t xml:space="preserve">No</x:t>
        </x:is>
      </x:c>
      <x:c r="AB252" s="8" t="n"/>
      <x:c r="AR252">
        <x:f>IF(G252="","",LOG10(G252+1))</x:f>
      </x:c>
      <x:c r="AS252" s="10">
        <x:f>IF(AR252="","",IF(MAX($AR$2:$AR$252)-MIN($AR$2:$AR$252)=0,"",(AR252-MIN($AR$2:$AR$252))/(MAX($AR$2:$AR$252)-MIN($AR$2:$AR$252))*100))</x:f>
      </x:c>
      <x:c r="AT252">
        <x:f>IF(R252="","",LOG10(R252+1))</x:f>
      </x:c>
      <x:c r="AU252" s="10">
        <x:f>IF(AT252="","",IF(MAX($AT$2:$AT$252)-MIN($AT$2:$AT$252)=0,"",(AT252-MIN($AT$2:$AT$252))/(MAX($AT$2:$AT$252)-MIN($AT$2:$AT$252))*100))</x:f>
      </x:c>
      <x:c r="AV252">
        <x:f>IF(N252="","",LOG10(N252+1))</x:f>
      </x:c>
      <x:c r="AW252" s="10">
        <x:f>IF(AV252="","",IF(MAX($AV$2:$AV$252)-MIN($AV$2:$AV$252)=0,"",(AV252-MIN($AV$2:$AV$252))/(MAX($AV$2:$AV$252)-MIN($AV$2:$AV$252))*100))</x:f>
      </x:c>
      <x:c r="AX252">
        <x:f>IF(I252="","",LOG10(I252+1))</x:f>
      </x:c>
      <x:c r="AY252" s="10">
        <x:f>IF(AX252="","",IF(MAX($AX$2:$AX$252)-MIN($AX$2:$AX$252)=0,"",(AX252-MIN($AX$2:$AX$252))/(MAX($AX$2:$AX$252)-MIN($AX$2:$AX$252))*100))</x:f>
      </x:c>
      <x:c r="AZ252">
        <x:f>IF(J252="","",LOG10(J252+1))</x:f>
      </x:c>
      <x:c r="BA252" s="10">
        <x:f>IF(AZ252="","",IF(MAX($AZ$2:$AZ$252)-MIN($AZ$2:$AZ$252)=0,"",(AZ252-MIN($AZ$2:$AZ$252))/(MAX($AZ$2:$AZ$252)-MIN($AZ$2:$AZ$252))*100))</x:f>
      </x:c>
      <x:c r="BB252">
        <x:f>IF(K252="","",LOG10(K252+1))</x:f>
      </x:c>
      <x:c r="BC252" s="10">
        <x:f>IF(BB252="","",IF(MAX($BB$2:$BB$252)-MIN($BB$2:$BB$252)=0,"",(BB252-MIN($BB$2:$BB$252))/(MAX($BB$2:$BB$252)-MIN($BB$2:$BB$252))*100))</x:f>
      </x:c>
      <x:c r="BD252">
        <x:f>IF(L252="","",LOG10(L252+1))</x:f>
      </x:c>
      <x:c r="BE252" s="10">
        <x:f>IF(BD252="","",IF(MAX($BD$2:$BD$252)-MIN($BD$2:$BD$252)=0,"",(BD252-MIN($BD$2:$BD$252))/(MAX($BD$2:$BD$252)-MIN($BD$2:$BD$252))*100))</x:f>
      </x:c>
      <x:c r="BF252" s="10">
        <x:f>IF(P252="","",IF(MAX($P$2:$P$252)-MIN($P$2:$P$252)=0,"",(P252-MIN($P$2:$P$252))/(MAX($P$2:$P$252)-MIN($P$2:$P$252))*100))</x:f>
      </x:c>
      <x:c r="BG252">
        <x:f>IF(AF252="","",LOG10(AF252+1))</x:f>
      </x:c>
      <x:c r="BH252" s="10">
        <x:f>IF(BG252="","",IF(MAX($BG$2:$BG$252)-MIN($BG$2:$BG$252)=0,"",(BG252-MIN($BG$2:$BG$252))/(MAX($BG$2:$BG$252)-MIN($BG$2:$BG$252))*100))</x:f>
      </x:c>
      <x:c r="BI252">
        <x:f>IF(AC252="","",LOG10(AC252+1))</x:f>
      </x:c>
      <x:c r="BJ252" s="10">
        <x:f>IF(BI252="","",IF(MAX($BI$2:$BI$252)-MIN($BI$2:$BI$252)=0,"",(BI252-MIN($BI$2:$BI$252))/(MAX($BI$2:$BI$252)-MIN($BI$2:$BI$252))*100))</x:f>
      </x:c>
      <x:c r="BK252">
        <x:f>IF(AD252="","",(AD252*2)+(AE252*1))</x:f>
      </x:c>
      <x:c r="BL252" s="10">
        <x:f>IF(BK252="","",IF(MAX($BK$2:$BK$252)-MIN($BK$2:$BK$252)=0,"",(BK252-MIN($BK$2:$BK$252))/(MAX($BK$2:$BK$252)-MIN($BK$2:$BK$252))*100))</x:f>
      </x:c>
      <x:c r="BM252" s="10">
        <x:f>IF(AB252="","",IF(MAX($AB$2:$AB$252)-MIN($AB$2:$AB$252)=0,"",(AB252-MIN($AB$2:$AB$252))/(MAX($AB$2:$AB$252)-MIN($AB$2:$AB$252))*100))</x:f>
      </x:c>
      <x:c r="BN252" s="10">
        <x:f>IF(X252="","",X252)</x:f>
      </x:c>
      <x:c r="BO252" s="10">
        <x:f>IF(X252="","",100-X252)</x:f>
      </x:c>
      <x:c r="BP252" s="10">
        <x:f>IF((Weights!$C$2*IF(BH252="",0,1)+Weights!$C$3*IF(BJ252="",0,1)+Weights!$C$4*IF(BL252="",0,1))=0,"",(Weights!$C$2*IF(BH252="",0,BH252)+Weights!$C$3*IF(BJ252="",0,BJ252)+Weights!$C$4*IF(BL252="",0,BL252))/(Weights!$C$2*IF(BH252="",0,1)+Weights!$C$3*IF(BJ252="",0,1)+Weights!$C$4*IF(BL252="",0,1)))</x:f>
      </x:c>
      <x:c r="BQ252" s="10">
        <x:f>IF((Weights!$C$5*IF(BA252="",0,1)+Weights!$C$6*IF(AW252="",0,1)+Weights!$C$7*IF(AU252="",0,1))=0,"",(Weights!$C$5*IF(BA252="",0,BA252)+Weights!$C$6*IF(AW252="",0,AW252)+Weights!$C$7*IF(AU252="",0,AU252))/(Weights!$C$5*IF(BA252="",0,1)+Weights!$C$6*IF(AW252="",0,1)+Weights!$C$7*IF(AU252="",0,1)))</x:f>
      </x:c>
      <x:c r="BR252" s="10">
        <x:f>IF((Weights!$C$8*IF(AW252="",0,1)+Weights!$C$9*IF(BC252="",0,1)+Weights!$C$10*IF(BF252="",0,1))=0,"",(Weights!$C$8*IF(AW252="",0,AW252)+Weights!$C$9*IF(BC252="",0,BC252)+Weights!$C$10*IF(BF252="",0,BF252))/(Weights!$C$8*IF(AW252="",0,1)+Weights!$C$9*IF(BC252="",0,1)+Weights!$C$10*IF(BF252="",0,1)))</x:f>
      </x:c>
      <x:c r="BS252" s="10">
        <x:f>IF(Y252="","",Y252)</x:f>
      </x:c>
      <x:c r="BT252" s="10">
        <x:f>IF(AS252="","",AS252)</x:f>
      </x:c>
      <x:c r="BU252" s="10">
        <x:f>IF(AJ252&lt;&gt;"",(0.6*AJ252+0.4*AU252),IF((Weights!$C$11*IF(AU252="",0,1)+Weights!$C$12*IF(BM252="",0,1))=0,"",(Weights!$C$11*IF(AU252="",0,AU252)+Weights!$C$12*IF(BM252="",0,BM252))/(Weights!$C$11*IF(AU252="",0,1)+Weights!$C$12*IF(BM252="",0,1))))</x:f>
      </x:c>
      <x:c r="BV252" s="10">
        <x:f>IF(CG252="",0,CG252)</x:f>
      </x:c>
      <x:c r="BW252" s="10">
        <x:f>IF(AP252="","",AP252)</x:f>
      </x:c>
      <x:c r="BX252" s="10">
        <x:f>IF(AO252="","",AO252)</x:f>
      </x:c>
      <x:c r="BY252" s="10">
        <x:f>IF(AL252="","",AL252)</x:f>
      </x:c>
      <x:c r="BZ252" s="10">
        <x:f>IF(AM252="","",AM252)</x:f>
      </x:c>
      <x:c r="CA252" s="10">
        <x:f>IF(AK252&lt;&gt;"",AK252,AW252)</x:f>
      </x:c>
      <x:c r="CB252" s="10">
        <x:f>IF((Weights!$C$13*IF(BP252="",0,1)+Weights!$C$14*IF(BR252="",0,1)+Weights!$C$15*IF(BQ252="",0,1)+Weights!$C$16*IF(BS252="",0,1)+Weights!$C$17*IF(BU252="",0,1)+Weights!$C$18*IF(BT252="",0,1)+Weights!$C$19*IF(BW252="",0,1)+Weights!$C$20*IF(BZ252="",0,1)+Weights!$C$21*IF(BO252="",0,1)+Weights!$C$22)=0,"",(Weights!$C$13*IF(BP252="",0,BP252)+Weights!$C$14*IF(BR252="",0,BR252)+Weights!$C$15*IF(BQ252="",0,BQ252)+Weights!$C$16*IF(BS252="",0,BS252)+Weights!$C$17*IF(BU252="",0,BU252)+Weights!$C$18*IF(BT252="",0,BT252)+Weights!$C$19*IF(BW252="",0,BW252)+Weights!$C$20*IF(BZ252="",0,BZ252)+Weights!$C$21*IF(BO252="",0,BO252)+Weights!$C$22*BV252)/(Weights!$C$13*IF(BP252="",0,1)+Weights!$C$14*IF(BR252="",0,1)+Weights!$C$15*IF(BQ252="",0,1)+Weights!$C$16*IF(BS252="",0,1)+Weights!$C$17*IF(BU252="",0,1)+Weights!$C$18*IF(BT252="",0,1)+Weights!$C$19*IF(BW252="",0,1)+Weights!$C$20*IF(BZ252="",0,1)+Weights!$C$21*IF(BO252="",0,1)+Weights!$C$22))</x:f>
      </x:c>
      <x:c r="CC252" s="10">
        <x:f>IF((Weights!$C$23*IF(BQ252="",0,1)+Weights!$C$24*IF(BN252="",0,1)+Weights!$C$25*IF(BS252="",0,1)+Weights!$C$26*IF(BY252="",0,1)+Weights!$C$27*IF(BX252="",0,1)+Weights!$C$28*IF(BT252="",0,1)+Weights!$C$29*IF(CA252="",0,1)+Weights!$C$30+Weights!$C$31*IF(BU252="",0,1))=0,"",(Weights!$C$23*IF(BQ252="",0,BQ252)+Weights!$C$24*IF(BN252="",0,BN252)+Weights!$C$25*IF(BS252="",0,BS252)+Weights!$C$26*IF(BY252="",0,BY252)+Weights!$C$27*IF(BX252="",0,BX252)+Weights!$C$28*IF(BT252="",0,BT252)+Weights!$C$29*IF(CA252="",0,CA252)+Weights!$C$30*BV252+Weights!$C$31*IF(BU252="",0,BU252))/(Weights!$C$23*IF(BQ252="",0,1)+Weights!$C$24*IF(BN252="",0,1)+Weights!$C$25*IF(BS252="",0,1)+Weights!$C$26*IF(BY252="",0,1)+Weights!$C$27*IF(BX252="",0,1)+Weights!$C$28*IF(BT252="",0,1)+Weights!$C$29*IF(CA252="",0,1)+Weights!$C$30+Weights!$C$31*IF(BU252="",0,1)))</x:f>
      </x:c>
      <x:c r="CD252" s="10">
        <x:f>IF(AND(CB252="",CC252=""),"",IF(CB252="",CC252,IF(CC252="",CB252,AVERAGE(CB252,CC252))))</x:f>
      </x:c>
      <x:c r="CE252" s="7">
        <x:f>ROUND(100*((IF(BP252&lt;&gt;"",1,0)+IF(BQ252&lt;&gt;"",1,0)+IF(BR252&lt;&gt;"",1,0)+IF(BS252&lt;&gt;"",1,0)+IF(BU252&lt;&gt;"",1,0)+IF(BT252&lt;&gt;"",1,0)+IF(BN252&lt;&gt;"",1,0)+IF(AW252&lt;&gt;"",1,0))/8),0)</x:f>
      </x:c>
      <x:c r="CF252">
        <x:f>IF(V252="","",LOG10(V252+1))</x:f>
      </x:c>
      <x:c r="CG252">
        <x:f>IF(CF252="","",IF(MAX($CF$2:$CF$252)-MIN($CF$2:$CF$252)=0,"",(CF252-MIN($CF$2:$CF$252))/(MAX($CF$2:$CF$252)-MIN($CF$2:$CF$252))*100))</x:f>
      </x:c>
    </x:row>
  </x:sheetData>
  <x:pageMargins left="0.7" right="0.7" top="0.75" bottom="0.75" header="0.3" footer="0.3"/>
  <x:tableParts count="1">
    <x:tablePart xmlns:r="http://schemas.openxmlformats.org/officeDocument/2006/relationships" r:id="R59eae616c9ff49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0" customWidth="1"/>
  </x:cols>
  <x:sheetData>
    <x:row r="1">
      <x:c r="A1" t="inlineStr">
        <x:is>
          <x:t xml:space="preserve">Sources (from your uploaded workbooks):</x:t>
        </x:is>
      </x:c>
    </x:row>
    <x:row r="3">
      <x:c r="A3" t="inlineStr">
        <x:is>
          <x:t xml:space="preserve">Global capability base (WDI/FAS/UCS): see global_military_capability_dataset.xlsx / Sources tab.</x:t>
        </x:is>
      </x:c>
    </x:row>
    <x:row r="4">
      <x:c r="A4" t="inlineStr">
        <x:is>
          <x:t xml:space="preserve">Naval data: https://worldpopulationreview.com/country-rankings/largest-navies-in-the-world and https://www.wdmmw.org/ranking.php</x:t>
        </x:is>
      </x:c>
    </x:row>
    <x:row r="5">
      <x:c r="A5" t="inlineStr">
        <x:is>
          <x:t xml:space="preserve">Lowy Asia Power Index data pages: see asia_power_index_2025_measures_plus_comprehensive_power.xlsx / Sources tab.</x:t>
        </x:is>
      </x:c>
    </x:row>
    <x:row r="6">
      <x:c r="A6" t="inlineStr">
        <x:is>
          <x:t xml:space="preserve">Terrain/transport proxies: Natural Earth Admin 0 (lowres) with computed geodesic area/perimeter (see country_land_terrain_transport.xlsx).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30" customWidth="1"/>
    <x:col min="3" max="3" width="8" customWidth="1"/>
    <x:col min="4" max="4" width="30" customWidth="1"/>
  </x:cols>
  <x:sheetData>
    <x:row r="1">
      <x:c r="A1" s="1" t="inlineStr">
        <x:is>
          <x:t xml:space="preserve">Dataset</x:t>
        </x:is>
      </x:c>
      <x:c r="B1" s="1" t="inlineStr">
        <x:is>
          <x:t xml:space="preserve">Original Country Name</x:t>
        </x:is>
      </x:c>
      <x:c r="C1" s="1" t="inlineStr">
        <x:is>
          <x:t xml:space="preserve">ISO3</x:t>
        </x:is>
      </x:c>
      <x:c r="D1" s="1" t="inlineStr">
        <x:is>
          <x:t xml:space="preserve">Matched Display Name</x:t>
        </x:is>
      </x:c>
    </x:row>
    <x:row r="2">
      <x:c r="A2" t="inlineStr">
        <x:is>
          <x:t xml:space="preserve">Lowy API 2025</x:t>
        </x:is>
      </x:c>
      <x:c r="B2" t="inlineStr">
        <x:is>
          <x:t xml:space="preserve">Australia</x:t>
        </x:is>
      </x:c>
      <x:c r="C2" t="inlineStr">
        <x:is>
          <x:t xml:space="preserve">AUS</x:t>
        </x:is>
      </x:c>
      <x:c r="D2" t="inlineStr">
        <x:is>
          <x:t xml:space="preserve">Australia</x:t>
        </x:is>
      </x:c>
    </x:row>
    <x:row r="3">
      <x:c r="A3" t="inlineStr">
        <x:is>
          <x:t xml:space="preserve">Lowy API 2025</x:t>
        </x:is>
      </x:c>
      <x:c r="B3" t="inlineStr">
        <x:is>
          <x:t xml:space="preserve">Bangladesh</x:t>
        </x:is>
      </x:c>
      <x:c r="C3" t="inlineStr">
        <x:is>
          <x:t xml:space="preserve">BGD</x:t>
        </x:is>
      </x:c>
      <x:c r="D3" t="inlineStr">
        <x:is>
          <x:t xml:space="preserve">Bangladesh</x:t>
        </x:is>
      </x:c>
    </x:row>
    <x:row r="4">
      <x:c r="A4" t="inlineStr">
        <x:is>
          <x:t xml:space="preserve">Lowy API 2025</x:t>
        </x:is>
      </x:c>
      <x:c r="B4" t="inlineStr">
        <x:is>
          <x:t xml:space="preserve">Brunei</x:t>
        </x:is>
      </x:c>
      <x:c r="C4" t="inlineStr">
        <x:is>
          <x:t xml:space="preserve">BRN</x:t>
        </x:is>
      </x:c>
      <x:c r="D4" t="inlineStr">
        <x:is>
          <x:t xml:space="preserve">Brunei Darussalam</x:t>
        </x:is>
      </x:c>
    </x:row>
    <x:row r="5">
      <x:c r="A5" t="inlineStr">
        <x:is>
          <x:t xml:space="preserve">Lowy API 2025</x:t>
        </x:is>
      </x:c>
      <x:c r="B5" t="inlineStr">
        <x:is>
          <x:t xml:space="preserve">Cambodia</x:t>
        </x:is>
      </x:c>
      <x:c r="C5" t="inlineStr">
        <x:is>
          <x:t xml:space="preserve">KHM</x:t>
        </x:is>
      </x:c>
      <x:c r="D5" t="inlineStr">
        <x:is>
          <x:t xml:space="preserve">Cambodia</x:t>
        </x:is>
      </x:c>
    </x:row>
    <x:row r="6">
      <x:c r="A6" t="inlineStr">
        <x:is>
          <x:t xml:space="preserve">Lowy API 2025</x:t>
        </x:is>
      </x:c>
      <x:c r="B6" t="inlineStr">
        <x:is>
          <x:t xml:space="preserve">China</x:t>
        </x:is>
      </x:c>
      <x:c r="C6" t="inlineStr">
        <x:is>
          <x:t xml:space="preserve">CHN</x:t>
        </x:is>
      </x:c>
      <x:c r="D6" t="inlineStr">
        <x:is>
          <x:t xml:space="preserve">China</x:t>
        </x:is>
      </x:c>
    </x:row>
    <x:row r="7">
      <x:c r="A7" t="inlineStr">
        <x:is>
          <x:t xml:space="preserve">Lowy API 2025</x:t>
        </x:is>
      </x:c>
      <x:c r="B7" t="inlineStr">
        <x:is>
          <x:t xml:space="preserve">India</x:t>
        </x:is>
      </x:c>
      <x:c r="C7" t="inlineStr">
        <x:is>
          <x:t xml:space="preserve">IND</x:t>
        </x:is>
      </x:c>
      <x:c r="D7" t="inlineStr">
        <x:is>
          <x:t xml:space="preserve">India</x:t>
        </x:is>
      </x:c>
    </x:row>
    <x:row r="8">
      <x:c r="A8" t="inlineStr">
        <x:is>
          <x:t xml:space="preserve">Lowy API 2025</x:t>
        </x:is>
      </x:c>
      <x:c r="B8" t="inlineStr">
        <x:is>
          <x:t xml:space="preserve">Indonesia</x:t>
        </x:is>
      </x:c>
      <x:c r="C8" t="inlineStr">
        <x:is>
          <x:t xml:space="preserve">IDN</x:t>
        </x:is>
      </x:c>
      <x:c r="D8" t="inlineStr">
        <x:is>
          <x:t xml:space="preserve">Indonesia</x:t>
        </x:is>
      </x:c>
    </x:row>
    <x:row r="9">
      <x:c r="A9" t="inlineStr">
        <x:is>
          <x:t xml:space="preserve">Lowy API 2025</x:t>
        </x:is>
      </x:c>
      <x:c r="B9" t="inlineStr">
        <x:is>
          <x:t xml:space="preserve">Japan</x:t>
        </x:is>
      </x:c>
      <x:c r="C9" t="inlineStr">
        <x:is>
          <x:t xml:space="preserve">JPN</x:t>
        </x:is>
      </x:c>
      <x:c r="D9" t="inlineStr">
        <x:is>
          <x:t xml:space="preserve">Japan</x:t>
        </x:is>
      </x:c>
    </x:row>
    <x:row r="10">
      <x:c r="A10" t="inlineStr">
        <x:is>
          <x:t xml:space="preserve">Lowy API 2025</x:t>
        </x:is>
      </x:c>
      <x:c r="B10" t="inlineStr">
        <x:is>
          <x:t xml:space="preserve">Laos</x:t>
        </x:is>
      </x:c>
      <x:c r="C10" t="inlineStr">
        <x:is>
          <x:t xml:space="preserve">LAO</x:t>
        </x:is>
      </x:c>
      <x:c r="D10" t="inlineStr">
        <x:is>
          <x:t xml:space="preserve">Lao PDR</x:t>
        </x:is>
      </x:c>
    </x:row>
    <x:row r="11">
      <x:c r="A11" t="inlineStr">
        <x:is>
          <x:t xml:space="preserve">Lowy API 2025</x:t>
        </x:is>
      </x:c>
      <x:c r="B11" t="inlineStr">
        <x:is>
          <x:t xml:space="preserve">Malaysia</x:t>
        </x:is>
      </x:c>
      <x:c r="C11" t="inlineStr">
        <x:is>
          <x:t xml:space="preserve">MYS</x:t>
        </x:is>
      </x:c>
      <x:c r="D11" t="inlineStr">
        <x:is>
          <x:t xml:space="preserve">Malaysia</x:t>
        </x:is>
      </x:c>
    </x:row>
    <x:row r="12">
      <x:c r="A12" t="inlineStr">
        <x:is>
          <x:t xml:space="preserve">Lowy API 2025</x:t>
        </x:is>
      </x:c>
      <x:c r="B12" t="inlineStr">
        <x:is>
          <x:t xml:space="preserve">Mongolia</x:t>
        </x:is>
      </x:c>
      <x:c r="C12" t="inlineStr">
        <x:is>
          <x:t xml:space="preserve">MNG</x:t>
        </x:is>
      </x:c>
      <x:c r="D12" t="inlineStr">
        <x:is>
          <x:t xml:space="preserve">Mongolia</x:t>
        </x:is>
      </x:c>
    </x:row>
    <x:row r="13">
      <x:c r="A13" t="inlineStr">
        <x:is>
          <x:t xml:space="preserve">Lowy API 2025</x:t>
        </x:is>
      </x:c>
      <x:c r="B13" t="inlineStr">
        <x:is>
          <x:t xml:space="preserve">Myanmar</x:t>
        </x:is>
      </x:c>
      <x:c r="C13" t="inlineStr">
        <x:is>
          <x:t xml:space="preserve">MMR</x:t>
        </x:is>
      </x:c>
      <x:c r="D13" t="inlineStr">
        <x:is>
          <x:t xml:space="preserve">Myanmar</x:t>
        </x:is>
      </x:c>
    </x:row>
    <x:row r="14">
      <x:c r="A14" t="inlineStr">
        <x:is>
          <x:t xml:space="preserve">Lowy API 2025</x:t>
        </x:is>
      </x:c>
      <x:c r="B14" t="inlineStr">
        <x:is>
          <x:t xml:space="preserve">Nepal</x:t>
        </x:is>
      </x:c>
      <x:c r="C14" t="inlineStr">
        <x:is>
          <x:t xml:space="preserve">NPL</x:t>
        </x:is>
      </x:c>
      <x:c r="D14" t="inlineStr">
        <x:is>
          <x:t xml:space="preserve">Nepal</x:t>
        </x:is>
      </x:c>
    </x:row>
    <x:row r="15">
      <x:c r="A15" t="inlineStr">
        <x:is>
          <x:t xml:space="preserve">Lowy API 2025</x:t>
        </x:is>
      </x:c>
      <x:c r="B15" t="inlineStr">
        <x:is>
          <x:t xml:space="preserve">New Zealand</x:t>
        </x:is>
      </x:c>
      <x:c r="C15" t="inlineStr">
        <x:is>
          <x:t xml:space="preserve">NZL</x:t>
        </x:is>
      </x:c>
      <x:c r="D15" t="inlineStr">
        <x:is>
          <x:t xml:space="preserve">New Zealand</x:t>
        </x:is>
      </x:c>
    </x:row>
    <x:row r="16">
      <x:c r="A16" t="inlineStr">
        <x:is>
          <x:t xml:space="preserve">Lowy API 2025</x:t>
        </x:is>
      </x:c>
      <x:c r="B16" t="inlineStr">
        <x:is>
          <x:t xml:space="preserve">North Korea</x:t>
        </x:is>
      </x:c>
      <x:c r="C16" t="inlineStr">
        <x:is>
          <x:t xml:space="preserve">PRK</x:t>
        </x:is>
      </x:c>
      <x:c r="D16" t="inlineStr">
        <x:is>
          <x:t xml:space="preserve">Korea, Dem. People's Rep.</x:t>
        </x:is>
      </x:c>
    </x:row>
    <x:row r="17">
      <x:c r="A17" t="inlineStr">
        <x:is>
          <x:t xml:space="preserve">Lowy API 2025</x:t>
        </x:is>
      </x:c>
      <x:c r="B17" t="inlineStr">
        <x:is>
          <x:t xml:space="preserve">Pakistan</x:t>
        </x:is>
      </x:c>
      <x:c r="C17" t="inlineStr">
        <x:is>
          <x:t xml:space="preserve">PAK</x:t>
        </x:is>
      </x:c>
      <x:c r="D17" t="inlineStr">
        <x:is>
          <x:t xml:space="preserve">Pakistan</x:t>
        </x:is>
      </x:c>
    </x:row>
    <x:row r="18">
      <x:c r="A18" t="inlineStr">
        <x:is>
          <x:t xml:space="preserve">Lowy API 2025</x:t>
        </x:is>
      </x:c>
      <x:c r="B18" t="inlineStr">
        <x:is>
          <x:t xml:space="preserve">Papua New Guinea</x:t>
        </x:is>
      </x:c>
      <x:c r="C18" t="inlineStr">
        <x:is>
          <x:t xml:space="preserve">PNG</x:t>
        </x:is>
      </x:c>
      <x:c r="D18" t="inlineStr">
        <x:is>
          <x:t xml:space="preserve">Papua New Guinea</x:t>
        </x:is>
      </x:c>
    </x:row>
    <x:row r="19">
      <x:c r="A19" t="inlineStr">
        <x:is>
          <x:t xml:space="preserve">Lowy API 2025</x:t>
        </x:is>
      </x:c>
      <x:c r="B19" t="inlineStr">
        <x:is>
          <x:t xml:space="preserve">Philippines</x:t>
        </x:is>
      </x:c>
      <x:c r="C19" t="inlineStr">
        <x:is>
          <x:t xml:space="preserve">PHL</x:t>
        </x:is>
      </x:c>
      <x:c r="D19" t="inlineStr">
        <x:is>
          <x:t xml:space="preserve">Philippines</x:t>
        </x:is>
      </x:c>
    </x:row>
    <x:row r="20">
      <x:c r="A20" t="inlineStr">
        <x:is>
          <x:t xml:space="preserve">Lowy API 2025</x:t>
        </x:is>
      </x:c>
      <x:c r="B20" t="inlineStr">
        <x:is>
          <x:t xml:space="preserve">Russia</x:t>
        </x:is>
      </x:c>
      <x:c r="C20" t="inlineStr">
        <x:is>
          <x:t xml:space="preserve">RUS</x:t>
        </x:is>
      </x:c>
      <x:c r="D20" t="inlineStr">
        <x:is>
          <x:t xml:space="preserve">Russian Federation</x:t>
        </x:is>
      </x:c>
    </x:row>
    <x:row r="21">
      <x:c r="A21" t="inlineStr">
        <x:is>
          <x:t xml:space="preserve">Lowy API 2025</x:t>
        </x:is>
      </x:c>
      <x:c r="B21" t="inlineStr">
        <x:is>
          <x:t xml:space="preserve">Singapore</x:t>
        </x:is>
      </x:c>
      <x:c r="C21" t="inlineStr">
        <x:is>
          <x:t xml:space="preserve">SGP</x:t>
        </x:is>
      </x:c>
      <x:c r="D21" t="inlineStr">
        <x:is>
          <x:t xml:space="preserve">Singapore</x:t>
        </x:is>
      </x:c>
    </x:row>
    <x:row r="22">
      <x:c r="A22" t="inlineStr">
        <x:is>
          <x:t xml:space="preserve">Lowy API 2025</x:t>
        </x:is>
      </x:c>
      <x:c r="B22" t="inlineStr">
        <x:is>
          <x:t xml:space="preserve">South Korea</x:t>
        </x:is>
      </x:c>
      <x:c r="C22" t="inlineStr">
        <x:is>
          <x:t xml:space="preserve">KOR</x:t>
        </x:is>
      </x:c>
      <x:c r="D22" t="inlineStr">
        <x:is>
          <x:t xml:space="preserve">Korea, Rep.</x:t>
        </x:is>
      </x:c>
    </x:row>
    <x:row r="23">
      <x:c r="A23" t="inlineStr">
        <x:is>
          <x:t xml:space="preserve">Lowy API 2025</x:t>
        </x:is>
      </x:c>
      <x:c r="B23" t="inlineStr">
        <x:is>
          <x:t xml:space="preserve">Sri Lanka</x:t>
        </x:is>
      </x:c>
      <x:c r="C23" t="inlineStr">
        <x:is>
          <x:t xml:space="preserve">LKA</x:t>
        </x:is>
      </x:c>
      <x:c r="D23" t="inlineStr">
        <x:is>
          <x:t xml:space="preserve">Sri Lanka</x:t>
        </x:is>
      </x:c>
    </x:row>
    <x:row r="24">
      <x:c r="A24" t="inlineStr">
        <x:is>
          <x:t xml:space="preserve">Lowy API 2025</x:t>
        </x:is>
      </x:c>
      <x:c r="B24" t="inlineStr">
        <x:is>
          <x:t xml:space="preserve">Taiwan</x:t>
        </x:is>
      </x:c>
      <x:c r="C24" t="inlineStr">
        <x:is>
          <x:t xml:space="preserve">TWN</x:t>
        </x:is>
      </x:c>
      <x:c r="D24" t="inlineStr">
        <x:is>
          <x:t xml:space="preserve">Taiwan</x:t>
        </x:is>
      </x:c>
    </x:row>
    <x:row r="25">
      <x:c r="A25" t="inlineStr">
        <x:is>
          <x:t xml:space="preserve">Lowy API 2025</x:t>
        </x:is>
      </x:c>
      <x:c r="B25" t="inlineStr">
        <x:is>
          <x:t xml:space="preserve">Thailand</x:t>
        </x:is>
      </x:c>
      <x:c r="C25" t="inlineStr">
        <x:is>
          <x:t xml:space="preserve">THA</x:t>
        </x:is>
      </x:c>
      <x:c r="D25" t="inlineStr">
        <x:is>
          <x:t xml:space="preserve">Thailand</x:t>
        </x:is>
      </x:c>
    </x:row>
    <x:row r="26">
      <x:c r="A26" t="inlineStr">
        <x:is>
          <x:t xml:space="preserve">Lowy API 2025</x:t>
        </x:is>
      </x:c>
      <x:c r="B26" t="inlineStr">
        <x:is>
          <x:t xml:space="preserve">Timor-Leste</x:t>
        </x:is>
      </x:c>
      <x:c r="C26" t="inlineStr">
        <x:is>
          <x:t xml:space="preserve">TLS</x:t>
        </x:is>
      </x:c>
      <x:c r="D26" t="inlineStr">
        <x:is>
          <x:t xml:space="preserve">Timor-Leste</x:t>
        </x:is>
      </x:c>
    </x:row>
    <x:row r="27">
      <x:c r="A27" t="inlineStr">
        <x:is>
          <x:t xml:space="preserve">Lowy API 2025</x:t>
        </x:is>
      </x:c>
      <x:c r="B27" t="inlineStr">
        <x:is>
          <x:t xml:space="preserve">United States</x:t>
        </x:is>
      </x:c>
      <x:c r="C27" t="inlineStr">
        <x:is>
          <x:t xml:space="preserve">USA</x:t>
        </x:is>
      </x:c>
      <x:c r="D27" t="inlineStr">
        <x:is>
          <x:t xml:space="preserve">United States</x:t>
        </x:is>
      </x:c>
    </x:row>
    <x:row r="28">
      <x:c r="A28" t="inlineStr">
        <x:is>
          <x:t xml:space="preserve">Lowy API 2025</x:t>
        </x:is>
      </x:c>
      <x:c r="B28" t="inlineStr">
        <x:is>
          <x:t xml:space="preserve">Vietnam</x:t>
        </x:is>
      </x:c>
      <x:c r="C28" t="inlineStr">
        <x:is>
          <x:t xml:space="preserve">VNM</x:t>
        </x:is>
      </x:c>
      <x:c r="D28" t="inlineStr">
        <x:is>
          <x:t xml:space="preserve">Viet Nam</x:t>
        </x:is>
      </x:c>
    </x:row>
    <x:row r="29">
      <x:c r="A29" t="inlineStr">
        <x:is>
          <x:t xml:space="preserve">Naval compiled</x:t>
        </x:is>
      </x:c>
      <x:c r="B29" t="inlineStr">
        <x:is>
          <x:t xml:space="preserve">Albania</x:t>
        </x:is>
      </x:c>
      <x:c r="C29" t="inlineStr">
        <x:is>
          <x:t xml:space="preserve">ALB</x:t>
        </x:is>
      </x:c>
      <x:c r="D29" t="inlineStr">
        <x:is>
          <x:t xml:space="preserve">Albania</x:t>
        </x:is>
      </x:c>
    </x:row>
    <x:row r="30">
      <x:c r="A30" t="inlineStr">
        <x:is>
          <x:t xml:space="preserve">Naval compiled</x:t>
        </x:is>
      </x:c>
      <x:c r="B30" t="inlineStr">
        <x:is>
          <x:t xml:space="preserve">Algeria</x:t>
        </x:is>
      </x:c>
      <x:c r="C30" t="inlineStr">
        <x:is>
          <x:t xml:space="preserve">DZA</x:t>
        </x:is>
      </x:c>
      <x:c r="D30" t="inlineStr">
        <x:is>
          <x:t xml:space="preserve">Algeria</x:t>
        </x:is>
      </x:c>
    </x:row>
    <x:row r="31">
      <x:c r="A31" t="inlineStr">
        <x:is>
          <x:t xml:space="preserve">Naval compiled</x:t>
        </x:is>
      </x:c>
      <x:c r="B31" t="inlineStr">
        <x:is>
          <x:t xml:space="preserve">Angola</x:t>
        </x:is>
      </x:c>
      <x:c r="C31" t="inlineStr">
        <x:is>
          <x:t xml:space="preserve">AGO</x:t>
        </x:is>
      </x:c>
      <x:c r="D31" t="inlineStr">
        <x:is>
          <x:t xml:space="preserve">Angola</x:t>
        </x:is>
      </x:c>
    </x:row>
    <x:row r="32">
      <x:c r="A32" t="inlineStr">
        <x:is>
          <x:t xml:space="preserve">Naval compiled</x:t>
        </x:is>
      </x:c>
      <x:c r="B32" t="inlineStr">
        <x:is>
          <x:t xml:space="preserve">Argentina</x:t>
        </x:is>
      </x:c>
      <x:c r="C32" t="inlineStr">
        <x:is>
          <x:t xml:space="preserve">ARG</x:t>
        </x:is>
      </x:c>
      <x:c r="D32" t="inlineStr">
        <x:is>
          <x:t xml:space="preserve">Argentina</x:t>
        </x:is>
      </x:c>
    </x:row>
    <x:row r="33">
      <x:c r="A33" t="inlineStr">
        <x:is>
          <x:t xml:space="preserve">Naval compiled</x:t>
        </x:is>
      </x:c>
      <x:c r="B33" t="inlineStr">
        <x:is>
          <x:t xml:space="preserve">Australia</x:t>
        </x:is>
      </x:c>
      <x:c r="C33" t="inlineStr">
        <x:is>
          <x:t xml:space="preserve">AUS</x:t>
        </x:is>
      </x:c>
      <x:c r="D33" t="inlineStr">
        <x:is>
          <x:t xml:space="preserve">Australia</x:t>
        </x:is>
      </x:c>
    </x:row>
    <x:row r="34">
      <x:c r="A34" t="inlineStr">
        <x:is>
          <x:t xml:space="preserve">Naval compiled</x:t>
        </x:is>
      </x:c>
      <x:c r="B34" t="inlineStr">
        <x:is>
          <x:t xml:space="preserve">Azerbaijan</x:t>
        </x:is>
      </x:c>
      <x:c r="C34" t="inlineStr">
        <x:is>
          <x:t xml:space="preserve">AZE</x:t>
        </x:is>
      </x:c>
      <x:c r="D34" t="inlineStr">
        <x:is>
          <x:t xml:space="preserve">Azerbaijan</x:t>
        </x:is>
      </x:c>
    </x:row>
    <x:row r="35">
      <x:c r="A35" t="inlineStr">
        <x:is>
          <x:t xml:space="preserve">Naval compiled</x:t>
        </x:is>
      </x:c>
      <x:c r="B35" t="inlineStr">
        <x:is>
          <x:t xml:space="preserve">Bahrain</x:t>
        </x:is>
      </x:c>
      <x:c r="C35" t="inlineStr">
        <x:is>
          <x:t xml:space="preserve">BHR</x:t>
        </x:is>
      </x:c>
      <x:c r="D35" t="inlineStr">
        <x:is>
          <x:t xml:space="preserve">Bahrain</x:t>
        </x:is>
      </x:c>
    </x:row>
    <x:row r="36">
      <x:c r="A36" t="inlineStr">
        <x:is>
          <x:t xml:space="preserve">Naval compiled</x:t>
        </x:is>
      </x:c>
      <x:c r="B36" t="inlineStr">
        <x:is>
          <x:t xml:space="preserve">Bangladesh</x:t>
        </x:is>
      </x:c>
      <x:c r="C36" t="inlineStr">
        <x:is>
          <x:t xml:space="preserve">BGD</x:t>
        </x:is>
      </x:c>
      <x:c r="D36" t="inlineStr">
        <x:is>
          <x:t xml:space="preserve">Bangladesh</x:t>
        </x:is>
      </x:c>
    </x:row>
    <x:row r="37">
      <x:c r="A37" t="inlineStr">
        <x:is>
          <x:t xml:space="preserve">Naval compiled</x:t>
        </x:is>
      </x:c>
      <x:c r="B37" t="inlineStr">
        <x:is>
          <x:t xml:space="preserve">Belgium</x:t>
        </x:is>
      </x:c>
      <x:c r="C37" t="inlineStr">
        <x:is>
          <x:t xml:space="preserve">BEL</x:t>
        </x:is>
      </x:c>
      <x:c r="D37" t="inlineStr">
        <x:is>
          <x:t xml:space="preserve">Belgium</x:t>
        </x:is>
      </x:c>
    </x:row>
    <x:row r="38">
      <x:c r="A38" t="inlineStr">
        <x:is>
          <x:t xml:space="preserve">Naval compiled</x:t>
        </x:is>
      </x:c>
      <x:c r="B38" t="inlineStr">
        <x:is>
          <x:t xml:space="preserve">Belize</x:t>
        </x:is>
      </x:c>
      <x:c r="C38" t="inlineStr">
        <x:is>
          <x:t xml:space="preserve">BLZ</x:t>
        </x:is>
      </x:c>
      <x:c r="D38" t="inlineStr">
        <x:is>
          <x:t xml:space="preserve">Belize</x:t>
        </x:is>
      </x:c>
    </x:row>
    <x:row r="39">
      <x:c r="A39" t="inlineStr">
        <x:is>
          <x:t xml:space="preserve">Naval compiled</x:t>
        </x:is>
      </x:c>
      <x:c r="B39" t="inlineStr">
        <x:is>
          <x:t xml:space="preserve">Benin</x:t>
        </x:is>
      </x:c>
      <x:c r="C39" t="inlineStr">
        <x:is>
          <x:t xml:space="preserve">BEN</x:t>
        </x:is>
      </x:c>
      <x:c r="D39" t="inlineStr">
        <x:is>
          <x:t xml:space="preserve">Benin</x:t>
        </x:is>
      </x:c>
    </x:row>
    <x:row r="40">
      <x:c r="A40" t="inlineStr">
        <x:is>
          <x:t xml:space="preserve">Naval compiled</x:t>
        </x:is>
      </x:c>
      <x:c r="B40" t="inlineStr">
        <x:is>
          <x:t xml:space="preserve">Bolivia</x:t>
        </x:is>
      </x:c>
      <x:c r="C40" t="inlineStr">
        <x:is>
          <x:t xml:space="preserve">BOL</x:t>
        </x:is>
      </x:c>
      <x:c r="D40" t="inlineStr">
        <x:is>
          <x:t xml:space="preserve">Bolivia</x:t>
        </x:is>
      </x:c>
    </x:row>
    <x:row r="41">
      <x:c r="A41" t="inlineStr">
        <x:is>
          <x:t xml:space="preserve">Naval compiled</x:t>
        </x:is>
      </x:c>
      <x:c r="B41" t="inlineStr">
        <x:is>
          <x:t xml:space="preserve">Brazil</x:t>
        </x:is>
      </x:c>
      <x:c r="C41" t="inlineStr">
        <x:is>
          <x:t xml:space="preserve">BRA</x:t>
        </x:is>
      </x:c>
      <x:c r="D41" t="inlineStr">
        <x:is>
          <x:t xml:space="preserve">Brazil</x:t>
        </x:is>
      </x:c>
    </x:row>
    <x:row r="42">
      <x:c r="A42" t="inlineStr">
        <x:is>
          <x:t xml:space="preserve">Naval compiled</x:t>
        </x:is>
      </x:c>
      <x:c r="B42" t="inlineStr">
        <x:is>
          <x:t xml:space="preserve">Bulgaria</x:t>
        </x:is>
      </x:c>
      <x:c r="C42" t="inlineStr">
        <x:is>
          <x:t xml:space="preserve">BGR</x:t>
        </x:is>
      </x:c>
      <x:c r="D42" t="inlineStr">
        <x:is>
          <x:t xml:space="preserve">Bulgaria</x:t>
        </x:is>
      </x:c>
    </x:row>
    <x:row r="43">
      <x:c r="A43" t="inlineStr">
        <x:is>
          <x:t xml:space="preserve">Naval compiled</x:t>
        </x:is>
      </x:c>
      <x:c r="B43" t="inlineStr">
        <x:is>
          <x:t xml:space="preserve">Cambodia</x:t>
        </x:is>
      </x:c>
      <x:c r="C43" t="inlineStr">
        <x:is>
          <x:t xml:space="preserve">KHM</x:t>
        </x:is>
      </x:c>
      <x:c r="D43" t="inlineStr">
        <x:is>
          <x:t xml:space="preserve">Cambodia</x:t>
        </x:is>
      </x:c>
    </x:row>
    <x:row r="44">
      <x:c r="A44" t="inlineStr">
        <x:is>
          <x:t xml:space="preserve">Naval compiled</x:t>
        </x:is>
      </x:c>
      <x:c r="B44" t="inlineStr">
        <x:is>
          <x:t xml:space="preserve">Cameroon</x:t>
        </x:is>
      </x:c>
      <x:c r="C44" t="inlineStr">
        <x:is>
          <x:t xml:space="preserve">CMR</x:t>
        </x:is>
      </x:c>
      <x:c r="D44" t="inlineStr">
        <x:is>
          <x:t xml:space="preserve">Cameroon</x:t>
        </x:is>
      </x:c>
    </x:row>
    <x:row r="45">
      <x:c r="A45" t="inlineStr">
        <x:is>
          <x:t xml:space="preserve">Naval compiled</x:t>
        </x:is>
      </x:c>
      <x:c r="B45" t="inlineStr">
        <x:is>
          <x:t xml:space="preserve">Canada</x:t>
        </x:is>
      </x:c>
      <x:c r="C45" t="inlineStr">
        <x:is>
          <x:t xml:space="preserve">CAN</x:t>
        </x:is>
      </x:c>
      <x:c r="D45" t="inlineStr">
        <x:is>
          <x:t xml:space="preserve">Canada</x:t>
        </x:is>
      </x:c>
    </x:row>
    <x:row r="46">
      <x:c r="A46" t="inlineStr">
        <x:is>
          <x:t xml:space="preserve">Naval compiled</x:t>
        </x:is>
      </x:c>
      <x:c r="B46" t="inlineStr">
        <x:is>
          <x:t xml:space="preserve">Chile</x:t>
        </x:is>
      </x:c>
      <x:c r="C46" t="inlineStr">
        <x:is>
          <x:t xml:space="preserve">CHL</x:t>
        </x:is>
      </x:c>
      <x:c r="D46" t="inlineStr">
        <x:is>
          <x:t xml:space="preserve">Chile</x:t>
        </x:is>
      </x:c>
    </x:row>
    <x:row r="47">
      <x:c r="A47" t="inlineStr">
        <x:is>
          <x:t xml:space="preserve">Naval compiled</x:t>
        </x:is>
      </x:c>
      <x:c r="B47" t="inlineStr">
        <x:is>
          <x:t xml:space="preserve">China</x:t>
        </x:is>
      </x:c>
      <x:c r="C47" t="inlineStr">
        <x:is>
          <x:t xml:space="preserve">CHN</x:t>
        </x:is>
      </x:c>
      <x:c r="D47" t="inlineStr">
        <x:is>
          <x:t xml:space="preserve">China</x:t>
        </x:is>
      </x:c>
    </x:row>
    <x:row r="48">
      <x:c r="A48" t="inlineStr">
        <x:is>
          <x:t xml:space="preserve">Naval compiled</x:t>
        </x:is>
      </x:c>
      <x:c r="B48" t="inlineStr">
        <x:is>
          <x:t xml:space="preserve">Colombia</x:t>
        </x:is>
      </x:c>
      <x:c r="C48" t="inlineStr">
        <x:is>
          <x:t xml:space="preserve">COL</x:t>
        </x:is>
      </x:c>
      <x:c r="D48" t="inlineStr">
        <x:is>
          <x:t xml:space="preserve">Colombia</x:t>
        </x:is>
      </x:c>
    </x:row>
    <x:row r="49">
      <x:c r="A49" t="inlineStr">
        <x:is>
          <x:t xml:space="preserve">Naval compiled</x:t>
        </x:is>
      </x:c>
      <x:c r="B49" t="inlineStr">
        <x:is>
          <x:t xml:space="preserve">Croatia</x:t>
        </x:is>
      </x:c>
      <x:c r="C49" t="inlineStr">
        <x:is>
          <x:t xml:space="preserve">HRV</x:t>
        </x:is>
      </x:c>
      <x:c r="D49" t="inlineStr">
        <x:is>
          <x:t xml:space="preserve">Croatia</x:t>
        </x:is>
      </x:c>
    </x:row>
    <x:row r="50">
      <x:c r="A50" t="inlineStr">
        <x:is>
          <x:t xml:space="preserve">Naval compiled</x:t>
        </x:is>
      </x:c>
      <x:c r="B50" t="inlineStr">
        <x:is>
          <x:t xml:space="preserve">Cuba</x:t>
        </x:is>
      </x:c>
      <x:c r="C50" t="inlineStr">
        <x:is>
          <x:t xml:space="preserve">CUB</x:t>
        </x:is>
      </x:c>
      <x:c r="D50" t="inlineStr">
        <x:is>
          <x:t xml:space="preserve">Cuba</x:t>
        </x:is>
      </x:c>
    </x:row>
    <x:row r="51">
      <x:c r="A51" t="inlineStr">
        <x:is>
          <x:t xml:space="preserve">Naval compiled</x:t>
        </x:is>
      </x:c>
      <x:c r="B51" t="inlineStr">
        <x:is>
          <x:t xml:space="preserve">DR Congo</x:t>
        </x:is>
      </x:c>
      <x:c r="C51" t="inlineStr">
        <x:is>
          <x:t xml:space="preserve">COD</x:t>
        </x:is>
      </x:c>
      <x:c r="D51" t="inlineStr">
        <x:is>
          <x:t xml:space="preserve">Congo, Dem. Rep.</x:t>
        </x:is>
      </x:c>
    </x:row>
    <x:row r="52">
      <x:c r="A52" t="inlineStr">
        <x:is>
          <x:t xml:space="preserve">Naval compiled</x:t>
        </x:is>
      </x:c>
      <x:c r="B52" t="inlineStr">
        <x:is>
          <x:t xml:space="preserve">Denmark</x:t>
        </x:is>
      </x:c>
      <x:c r="C52" t="inlineStr">
        <x:is>
          <x:t xml:space="preserve">DNK</x:t>
        </x:is>
      </x:c>
      <x:c r="D52" t="inlineStr">
        <x:is>
          <x:t xml:space="preserve">Denmark</x:t>
        </x:is>
      </x:c>
    </x:row>
    <x:row r="53">
      <x:c r="A53" t="inlineStr">
        <x:is>
          <x:t xml:space="preserve">Naval compiled</x:t>
        </x:is>
      </x:c>
      <x:c r="B53" t="inlineStr">
        <x:is>
          <x:t xml:space="preserve">Dominican Republic</x:t>
        </x:is>
      </x:c>
      <x:c r="C53" t="inlineStr">
        <x:is>
          <x:t xml:space="preserve">DOM</x:t>
        </x:is>
      </x:c>
      <x:c r="D53" t="inlineStr">
        <x:is>
          <x:t xml:space="preserve">Dominican Republic</x:t>
        </x:is>
      </x:c>
    </x:row>
    <x:row r="54">
      <x:c r="A54" t="inlineStr">
        <x:is>
          <x:t xml:space="preserve">Naval compiled</x:t>
        </x:is>
      </x:c>
      <x:c r="B54" t="inlineStr">
        <x:is>
          <x:t xml:space="preserve">Ecuador</x:t>
        </x:is>
      </x:c>
      <x:c r="C54" t="inlineStr">
        <x:is>
          <x:t xml:space="preserve">ECU</x:t>
        </x:is>
      </x:c>
      <x:c r="D54" t="inlineStr">
        <x:is>
          <x:t xml:space="preserve">Ecuador</x:t>
        </x:is>
      </x:c>
    </x:row>
    <x:row r="55">
      <x:c r="A55" t="inlineStr">
        <x:is>
          <x:t xml:space="preserve">Naval compiled</x:t>
        </x:is>
      </x:c>
      <x:c r="B55" t="inlineStr">
        <x:is>
          <x:t xml:space="preserve">Egypt</x:t>
        </x:is>
      </x:c>
      <x:c r="C55" t="inlineStr">
        <x:is>
          <x:t xml:space="preserve">EGY</x:t>
        </x:is>
      </x:c>
      <x:c r="D55" t="inlineStr">
        <x:is>
          <x:t xml:space="preserve">Egypt, Arab Rep.</x:t>
        </x:is>
      </x:c>
    </x:row>
    <x:row r="56">
      <x:c r="A56" t="inlineStr">
        <x:is>
          <x:t xml:space="preserve">Naval compiled</x:t>
        </x:is>
      </x:c>
      <x:c r="B56" t="inlineStr">
        <x:is>
          <x:t xml:space="preserve">El Salvador</x:t>
        </x:is>
      </x:c>
      <x:c r="C56" t="inlineStr">
        <x:is>
          <x:t xml:space="preserve">SLV</x:t>
        </x:is>
      </x:c>
      <x:c r="D56" t="inlineStr">
        <x:is>
          <x:t xml:space="preserve">El Salvador</x:t>
        </x:is>
      </x:c>
    </x:row>
    <x:row r="57">
      <x:c r="A57" t="inlineStr">
        <x:is>
          <x:t xml:space="preserve">Naval compiled</x:t>
        </x:is>
      </x:c>
      <x:c r="B57" t="inlineStr">
        <x:is>
          <x:t xml:space="preserve">Eritrea</x:t>
        </x:is>
      </x:c>
      <x:c r="C57" t="inlineStr">
        <x:is>
          <x:t xml:space="preserve">ERI</x:t>
        </x:is>
      </x:c>
      <x:c r="D57" t="inlineStr">
        <x:is>
          <x:t xml:space="preserve">Eritrea</x:t>
        </x:is>
      </x:c>
    </x:row>
    <x:row r="58">
      <x:c r="A58" t="inlineStr">
        <x:is>
          <x:t xml:space="preserve">Naval compiled</x:t>
        </x:is>
      </x:c>
      <x:c r="B58" t="inlineStr">
        <x:is>
          <x:t xml:space="preserve">Estonia</x:t>
        </x:is>
      </x:c>
      <x:c r="C58" t="inlineStr">
        <x:is>
          <x:t xml:space="preserve">EST</x:t>
        </x:is>
      </x:c>
      <x:c r="D58" t="inlineStr">
        <x:is>
          <x:t xml:space="preserve">Estonia</x:t>
        </x:is>
      </x:c>
    </x:row>
    <x:row r="59">
      <x:c r="A59" t="inlineStr">
        <x:is>
          <x:t xml:space="preserve">Naval compiled</x:t>
        </x:is>
      </x:c>
      <x:c r="B59" t="inlineStr">
        <x:is>
          <x:t xml:space="preserve">Finland</x:t>
        </x:is>
      </x:c>
      <x:c r="C59" t="inlineStr">
        <x:is>
          <x:t xml:space="preserve">FIN</x:t>
        </x:is>
      </x:c>
      <x:c r="D59" t="inlineStr">
        <x:is>
          <x:t xml:space="preserve">Finland</x:t>
        </x:is>
      </x:c>
    </x:row>
    <x:row r="60">
      <x:c r="A60" t="inlineStr">
        <x:is>
          <x:t xml:space="preserve">Naval compiled</x:t>
        </x:is>
      </x:c>
      <x:c r="B60" t="inlineStr">
        <x:is>
          <x:t xml:space="preserve">France</x:t>
        </x:is>
      </x:c>
      <x:c r="C60" t="inlineStr">
        <x:is>
          <x:t xml:space="preserve">FRA</x:t>
        </x:is>
      </x:c>
      <x:c r="D60" t="inlineStr">
        <x:is>
          <x:t xml:space="preserve">France</x:t>
        </x:is>
      </x:c>
    </x:row>
    <x:row r="61">
      <x:c r="A61" t="inlineStr">
        <x:is>
          <x:t xml:space="preserve">Naval compiled</x:t>
        </x:is>
      </x:c>
      <x:c r="B61" t="inlineStr">
        <x:is>
          <x:t xml:space="preserve">Gabon</x:t>
        </x:is>
      </x:c>
      <x:c r="C61" t="inlineStr">
        <x:is>
          <x:t xml:space="preserve">GAB</x:t>
        </x:is>
      </x:c>
      <x:c r="D61" t="inlineStr">
        <x:is>
          <x:t xml:space="preserve">Gabon</x:t>
        </x:is>
      </x:c>
    </x:row>
    <x:row r="62">
      <x:c r="A62" t="inlineStr">
        <x:is>
          <x:t xml:space="preserve">Naval compiled</x:t>
        </x:is>
      </x:c>
      <x:c r="B62" t="inlineStr">
        <x:is>
          <x:t xml:space="preserve">Georgia</x:t>
        </x:is>
      </x:c>
      <x:c r="C62" t="inlineStr">
        <x:is>
          <x:t xml:space="preserve">GEO</x:t>
        </x:is>
      </x:c>
      <x:c r="D62" t="inlineStr">
        <x:is>
          <x:t xml:space="preserve">Georgia</x:t>
        </x:is>
      </x:c>
    </x:row>
    <x:row r="63">
      <x:c r="A63" t="inlineStr">
        <x:is>
          <x:t xml:space="preserve">Naval compiled</x:t>
        </x:is>
      </x:c>
      <x:c r="B63" t="inlineStr">
        <x:is>
          <x:t xml:space="preserve">Germany</x:t>
        </x:is>
      </x:c>
      <x:c r="C63" t="inlineStr">
        <x:is>
          <x:t xml:space="preserve">DEU</x:t>
        </x:is>
      </x:c>
      <x:c r="D63" t="inlineStr">
        <x:is>
          <x:t xml:space="preserve">Germany</x:t>
        </x:is>
      </x:c>
    </x:row>
    <x:row r="64">
      <x:c r="A64" t="inlineStr">
        <x:is>
          <x:t xml:space="preserve">Naval compiled</x:t>
        </x:is>
      </x:c>
      <x:c r="B64" t="inlineStr">
        <x:is>
          <x:t xml:space="preserve">Ghana</x:t>
        </x:is>
      </x:c>
      <x:c r="C64" t="inlineStr">
        <x:is>
          <x:t xml:space="preserve">GHA</x:t>
        </x:is>
      </x:c>
      <x:c r="D64" t="inlineStr">
        <x:is>
          <x:t xml:space="preserve">Ghana</x:t>
        </x:is>
      </x:c>
    </x:row>
    <x:row r="65">
      <x:c r="A65" t="inlineStr">
        <x:is>
          <x:t xml:space="preserve">Naval compiled</x:t>
        </x:is>
      </x:c>
      <x:c r="B65" t="inlineStr">
        <x:is>
          <x:t xml:space="preserve">Greece</x:t>
        </x:is>
      </x:c>
      <x:c r="C65" t="inlineStr">
        <x:is>
          <x:t xml:space="preserve">GRC</x:t>
        </x:is>
      </x:c>
      <x:c r="D65" t="inlineStr">
        <x:is>
          <x:t xml:space="preserve">Greece</x:t>
        </x:is>
      </x:c>
    </x:row>
    <x:row r="66">
      <x:c r="A66" t="inlineStr">
        <x:is>
          <x:t xml:space="preserve">Naval compiled</x:t>
        </x:is>
      </x:c>
      <x:c r="B66" t="inlineStr">
        <x:is>
          <x:t xml:space="preserve">Guatemala</x:t>
        </x:is>
      </x:c>
      <x:c r="C66" t="inlineStr">
        <x:is>
          <x:t xml:space="preserve">GTM</x:t>
        </x:is>
      </x:c>
      <x:c r="D66" t="inlineStr">
        <x:is>
          <x:t xml:space="preserve">Guatemala</x:t>
        </x:is>
      </x:c>
    </x:row>
    <x:row r="67">
      <x:c r="A67" t="inlineStr">
        <x:is>
          <x:t xml:space="preserve">Naval compiled</x:t>
        </x:is>
      </x:c>
      <x:c r="B67" t="inlineStr">
        <x:is>
          <x:t xml:space="preserve">Honduras</x:t>
        </x:is>
      </x:c>
      <x:c r="C67" t="inlineStr">
        <x:is>
          <x:t xml:space="preserve">HND</x:t>
        </x:is>
      </x:c>
      <x:c r="D67" t="inlineStr">
        <x:is>
          <x:t xml:space="preserve">Honduras</x:t>
        </x:is>
      </x:c>
    </x:row>
    <x:row r="68">
      <x:c r="A68" t="inlineStr">
        <x:is>
          <x:t xml:space="preserve">Naval compiled</x:t>
        </x:is>
      </x:c>
      <x:c r="B68" t="inlineStr">
        <x:is>
          <x:t xml:space="preserve">India</x:t>
        </x:is>
      </x:c>
      <x:c r="C68" t="inlineStr">
        <x:is>
          <x:t xml:space="preserve">IND</x:t>
        </x:is>
      </x:c>
      <x:c r="D68" t="inlineStr">
        <x:is>
          <x:t xml:space="preserve">India</x:t>
        </x:is>
      </x:c>
    </x:row>
    <x:row r="69">
      <x:c r="A69" t="inlineStr">
        <x:is>
          <x:t xml:space="preserve">Naval compiled</x:t>
        </x:is>
      </x:c>
      <x:c r="B69" t="inlineStr">
        <x:is>
          <x:t xml:space="preserve">Indonesia</x:t>
        </x:is>
      </x:c>
      <x:c r="C69" t="inlineStr">
        <x:is>
          <x:t xml:space="preserve">IDN</x:t>
        </x:is>
      </x:c>
      <x:c r="D69" t="inlineStr">
        <x:is>
          <x:t xml:space="preserve">Indonesia</x:t>
        </x:is>
      </x:c>
    </x:row>
    <x:row r="70">
      <x:c r="A70" t="inlineStr">
        <x:is>
          <x:t xml:space="preserve">Naval compiled</x:t>
        </x:is>
      </x:c>
      <x:c r="B70" t="inlineStr">
        <x:is>
          <x:t xml:space="preserve">Iran</x:t>
        </x:is>
      </x:c>
      <x:c r="C70" t="inlineStr">
        <x:is>
          <x:t xml:space="preserve">IRN</x:t>
        </x:is>
      </x:c>
      <x:c r="D70" t="inlineStr">
        <x:is>
          <x:t xml:space="preserve">Iran, Islamic Rep.</x:t>
        </x:is>
      </x:c>
    </x:row>
    <x:row r="71">
      <x:c r="A71" t="inlineStr">
        <x:is>
          <x:t xml:space="preserve">Naval compiled</x:t>
        </x:is>
      </x:c>
      <x:c r="B71" t="inlineStr">
        <x:is>
          <x:t xml:space="preserve">Iraq</x:t>
        </x:is>
      </x:c>
      <x:c r="C71" t="inlineStr">
        <x:is>
          <x:t xml:space="preserve">IRQ</x:t>
        </x:is>
      </x:c>
      <x:c r="D71" t="inlineStr">
        <x:is>
          <x:t xml:space="preserve">Iraq</x:t>
        </x:is>
      </x:c>
    </x:row>
    <x:row r="72">
      <x:c r="A72" t="inlineStr">
        <x:is>
          <x:t xml:space="preserve">Naval compiled</x:t>
        </x:is>
      </x:c>
      <x:c r="B72" t="inlineStr">
        <x:is>
          <x:t xml:space="preserve">Ireland</x:t>
        </x:is>
      </x:c>
      <x:c r="C72" t="inlineStr">
        <x:is>
          <x:t xml:space="preserve">IRL</x:t>
        </x:is>
      </x:c>
      <x:c r="D72" t="inlineStr">
        <x:is>
          <x:t xml:space="preserve">Ireland</x:t>
        </x:is>
      </x:c>
    </x:row>
    <x:row r="73">
      <x:c r="A73" t="inlineStr">
        <x:is>
          <x:t xml:space="preserve">Naval compiled</x:t>
        </x:is>
      </x:c>
      <x:c r="B73" t="inlineStr">
        <x:is>
          <x:t xml:space="preserve">Israel</x:t>
        </x:is>
      </x:c>
      <x:c r="C73" t="inlineStr">
        <x:is>
          <x:t xml:space="preserve">ISR</x:t>
        </x:is>
      </x:c>
      <x:c r="D73" t="inlineStr">
        <x:is>
          <x:t xml:space="preserve">Israel</x:t>
        </x:is>
      </x:c>
    </x:row>
    <x:row r="74">
      <x:c r="A74" t="inlineStr">
        <x:is>
          <x:t xml:space="preserve">Naval compiled</x:t>
        </x:is>
      </x:c>
      <x:c r="B74" t="inlineStr">
        <x:is>
          <x:t xml:space="preserve">Italy</x:t>
        </x:is>
      </x:c>
      <x:c r="C74" t="inlineStr">
        <x:is>
          <x:t xml:space="preserve">ITA</x:t>
        </x:is>
      </x:c>
      <x:c r="D74" t="inlineStr">
        <x:is>
          <x:t xml:space="preserve">Italy</x:t>
        </x:is>
      </x:c>
    </x:row>
    <x:row r="75">
      <x:c r="A75" t="inlineStr">
        <x:is>
          <x:t xml:space="preserve">Naval compiled</x:t>
        </x:is>
      </x:c>
      <x:c r="B75" t="inlineStr">
        <x:is>
          <x:t xml:space="preserve">Ivory Coast</x:t>
        </x:is>
      </x:c>
      <x:c r="C75" t="inlineStr">
        <x:is>
          <x:t xml:space="preserve">CIV</x:t>
        </x:is>
      </x:c>
      <x:c r="D75" t="inlineStr">
        <x:is>
          <x:t xml:space="preserve">Côte d'Ivoire</x:t>
        </x:is>
      </x:c>
    </x:row>
    <x:row r="76">
      <x:c r="A76" t="inlineStr">
        <x:is>
          <x:t xml:space="preserve">Naval compiled</x:t>
        </x:is>
      </x:c>
      <x:c r="B76" t="inlineStr">
        <x:is>
          <x:t xml:space="preserve">Japan</x:t>
        </x:is>
      </x:c>
      <x:c r="C76" t="inlineStr">
        <x:is>
          <x:t xml:space="preserve">JPN</x:t>
        </x:is>
      </x:c>
      <x:c r="D76" t="inlineStr">
        <x:is>
          <x:t xml:space="preserve">Japan</x:t>
        </x:is>
      </x:c>
    </x:row>
    <x:row r="77">
      <x:c r="A77" t="inlineStr">
        <x:is>
          <x:t xml:space="preserve">Naval compiled</x:t>
        </x:is>
      </x:c>
      <x:c r="B77" t="inlineStr">
        <x:is>
          <x:t xml:space="preserve">Jordan</x:t>
        </x:is>
      </x:c>
      <x:c r="C77" t="inlineStr">
        <x:is>
          <x:t xml:space="preserve">JOR</x:t>
        </x:is>
      </x:c>
      <x:c r="D77" t="inlineStr">
        <x:is>
          <x:t xml:space="preserve">Jordan</x:t>
        </x:is>
      </x:c>
    </x:row>
    <x:row r="78">
      <x:c r="A78" t="inlineStr">
        <x:is>
          <x:t xml:space="preserve">Naval compiled</x:t>
        </x:is>
      </x:c>
      <x:c r="B78" t="inlineStr">
        <x:is>
          <x:t xml:space="preserve">Kazakhstan</x:t>
        </x:is>
      </x:c>
      <x:c r="C78" t="inlineStr">
        <x:is>
          <x:t xml:space="preserve">KAZ</x:t>
        </x:is>
      </x:c>
      <x:c r="D78" t="inlineStr">
        <x:is>
          <x:t xml:space="preserve">Kazakhstan</x:t>
        </x:is>
      </x:c>
    </x:row>
    <x:row r="79">
      <x:c r="A79" t="inlineStr">
        <x:is>
          <x:t xml:space="preserve">Naval compiled</x:t>
        </x:is>
      </x:c>
      <x:c r="B79" t="inlineStr">
        <x:is>
          <x:t xml:space="preserve">Kenya</x:t>
        </x:is>
      </x:c>
      <x:c r="C79" t="inlineStr">
        <x:is>
          <x:t xml:space="preserve">KEN</x:t>
        </x:is>
      </x:c>
      <x:c r="D79" t="inlineStr">
        <x:is>
          <x:t xml:space="preserve">Kenya</x:t>
        </x:is>
      </x:c>
    </x:row>
    <x:row r="80">
      <x:c r="A80" t="inlineStr">
        <x:is>
          <x:t xml:space="preserve">Naval compiled</x:t>
        </x:is>
      </x:c>
      <x:c r="B80" t="inlineStr">
        <x:is>
          <x:t xml:space="preserve">Kuwait</x:t>
        </x:is>
      </x:c>
      <x:c r="C80" t="inlineStr">
        <x:is>
          <x:t xml:space="preserve">KWT</x:t>
        </x:is>
      </x:c>
      <x:c r="D80" t="inlineStr">
        <x:is>
          <x:t xml:space="preserve">Kuwait</x:t>
        </x:is>
      </x:c>
    </x:row>
    <x:row r="81">
      <x:c r="A81" t="inlineStr">
        <x:is>
          <x:t xml:space="preserve">Naval compiled</x:t>
        </x:is>
      </x:c>
      <x:c r="B81" t="inlineStr">
        <x:is>
          <x:t xml:space="preserve">Laos</x:t>
        </x:is>
      </x:c>
      <x:c r="C81" t="inlineStr">
        <x:is>
          <x:t xml:space="preserve">LAO</x:t>
        </x:is>
      </x:c>
      <x:c r="D81" t="inlineStr">
        <x:is>
          <x:t xml:space="preserve">Lao PDR</x:t>
        </x:is>
      </x:c>
    </x:row>
    <x:row r="82">
      <x:c r="A82" t="inlineStr">
        <x:is>
          <x:t xml:space="preserve">Naval compiled</x:t>
        </x:is>
      </x:c>
      <x:c r="B82" t="inlineStr">
        <x:is>
          <x:t xml:space="preserve">Latvia</x:t>
        </x:is>
      </x:c>
      <x:c r="C82" t="inlineStr">
        <x:is>
          <x:t xml:space="preserve">LVA</x:t>
        </x:is>
      </x:c>
      <x:c r="D82" t="inlineStr">
        <x:is>
          <x:t xml:space="preserve">Latvia</x:t>
        </x:is>
      </x:c>
    </x:row>
    <x:row r="83">
      <x:c r="A83" t="inlineStr">
        <x:is>
          <x:t xml:space="preserve">Naval compiled</x:t>
        </x:is>
      </x:c>
      <x:c r="B83" t="inlineStr">
        <x:is>
          <x:t xml:space="preserve">Lebanon</x:t>
        </x:is>
      </x:c>
      <x:c r="C83" t="inlineStr">
        <x:is>
          <x:t xml:space="preserve">LBN</x:t>
        </x:is>
      </x:c>
      <x:c r="D83" t="inlineStr">
        <x:is>
          <x:t xml:space="preserve">Lebanon</x:t>
        </x:is>
      </x:c>
    </x:row>
    <x:row r="84">
      <x:c r="A84" t="inlineStr">
        <x:is>
          <x:t xml:space="preserve">Naval compiled</x:t>
        </x:is>
      </x:c>
      <x:c r="B84" t="inlineStr">
        <x:is>
          <x:t xml:space="preserve">Liberia</x:t>
        </x:is>
      </x:c>
      <x:c r="C84" t="inlineStr">
        <x:is>
          <x:t xml:space="preserve">LBR</x:t>
        </x:is>
      </x:c>
      <x:c r="D84" t="inlineStr">
        <x:is>
          <x:t xml:space="preserve">Liberia</x:t>
        </x:is>
      </x:c>
    </x:row>
    <x:row r="85">
      <x:c r="A85" t="inlineStr">
        <x:is>
          <x:t xml:space="preserve">Naval compiled</x:t>
        </x:is>
      </x:c>
      <x:c r="B85" t="inlineStr">
        <x:is>
          <x:t xml:space="preserve">Libya</x:t>
        </x:is>
      </x:c>
      <x:c r="C85" t="inlineStr">
        <x:is>
          <x:t xml:space="preserve">LBY</x:t>
        </x:is>
      </x:c>
      <x:c r="D85" t="inlineStr">
        <x:is>
          <x:t xml:space="preserve">Libya</x:t>
        </x:is>
      </x:c>
    </x:row>
    <x:row r="86">
      <x:c r="A86" t="inlineStr">
        <x:is>
          <x:t xml:space="preserve">Naval compiled</x:t>
        </x:is>
      </x:c>
      <x:c r="B86" t="inlineStr">
        <x:is>
          <x:t xml:space="preserve">Lithuania</x:t>
        </x:is>
      </x:c>
      <x:c r="C86" t="inlineStr">
        <x:is>
          <x:t xml:space="preserve">LTU</x:t>
        </x:is>
      </x:c>
      <x:c r="D86" t="inlineStr">
        <x:is>
          <x:t xml:space="preserve">Lithuania</x:t>
        </x:is>
      </x:c>
    </x:row>
    <x:row r="87">
      <x:c r="A87" t="inlineStr">
        <x:is>
          <x:t xml:space="preserve">Naval compiled</x:t>
        </x:is>
      </x:c>
      <x:c r="B87" t="inlineStr">
        <x:is>
          <x:t xml:space="preserve">Madagascar</x:t>
        </x:is>
      </x:c>
      <x:c r="C87" t="inlineStr">
        <x:is>
          <x:t xml:space="preserve">MDG</x:t>
        </x:is>
      </x:c>
      <x:c r="D87" t="inlineStr">
        <x:is>
          <x:t xml:space="preserve">Madagascar</x:t>
        </x:is>
      </x:c>
    </x:row>
    <x:row r="88">
      <x:c r="A88" t="inlineStr">
        <x:is>
          <x:t xml:space="preserve">Naval compiled</x:t>
        </x:is>
      </x:c>
      <x:c r="B88" t="inlineStr">
        <x:is>
          <x:t xml:space="preserve">Malaysia</x:t>
        </x:is>
      </x:c>
      <x:c r="C88" t="inlineStr">
        <x:is>
          <x:t xml:space="preserve">MYS</x:t>
        </x:is>
      </x:c>
      <x:c r="D88" t="inlineStr">
        <x:is>
          <x:t xml:space="preserve">Malaysia</x:t>
        </x:is>
      </x:c>
    </x:row>
    <x:row r="89">
      <x:c r="A89" t="inlineStr">
        <x:is>
          <x:t xml:space="preserve">Naval compiled</x:t>
        </x:is>
      </x:c>
      <x:c r="B89" t="inlineStr">
        <x:is>
          <x:t xml:space="preserve">Mauritania</x:t>
        </x:is>
      </x:c>
      <x:c r="C89" t="inlineStr">
        <x:is>
          <x:t xml:space="preserve">MRT</x:t>
        </x:is>
      </x:c>
      <x:c r="D89" t="inlineStr">
        <x:is>
          <x:t xml:space="preserve">Mauritania</x:t>
        </x:is>
      </x:c>
    </x:row>
    <x:row r="90">
      <x:c r="A90" t="inlineStr">
        <x:is>
          <x:t xml:space="preserve">Naval compiled</x:t>
        </x:is>
      </x:c>
      <x:c r="B90" t="inlineStr">
        <x:is>
          <x:t xml:space="preserve">Mexico</x:t>
        </x:is>
      </x:c>
      <x:c r="C90" t="inlineStr">
        <x:is>
          <x:t xml:space="preserve">MEX</x:t>
        </x:is>
      </x:c>
      <x:c r="D90" t="inlineStr">
        <x:is>
          <x:t xml:space="preserve">Mexico</x:t>
        </x:is>
      </x:c>
    </x:row>
    <x:row r="91">
      <x:c r="A91" t="inlineStr">
        <x:is>
          <x:t xml:space="preserve">Naval compiled</x:t>
        </x:is>
      </x:c>
      <x:c r="B91" t="inlineStr">
        <x:is>
          <x:t xml:space="preserve">Montenegro</x:t>
        </x:is>
      </x:c>
      <x:c r="C91" t="inlineStr">
        <x:is>
          <x:t xml:space="preserve">MNE</x:t>
        </x:is>
      </x:c>
      <x:c r="D91" t="inlineStr">
        <x:is>
          <x:t xml:space="preserve">Montenegro</x:t>
        </x:is>
      </x:c>
    </x:row>
    <x:row r="92">
      <x:c r="A92" t="inlineStr">
        <x:is>
          <x:t xml:space="preserve">Naval compiled</x:t>
        </x:is>
      </x:c>
      <x:c r="B92" t="inlineStr">
        <x:is>
          <x:t xml:space="preserve">Morocco</x:t>
        </x:is>
      </x:c>
      <x:c r="C92" t="inlineStr">
        <x:is>
          <x:t xml:space="preserve">MAR</x:t>
        </x:is>
      </x:c>
      <x:c r="D92" t="inlineStr">
        <x:is>
          <x:t xml:space="preserve">Morocco</x:t>
        </x:is>
      </x:c>
    </x:row>
    <x:row r="93">
      <x:c r="A93" t="inlineStr">
        <x:is>
          <x:t xml:space="preserve">Naval compiled</x:t>
        </x:is>
      </x:c>
      <x:c r="B93" t="inlineStr">
        <x:is>
          <x:t xml:space="preserve">Mozambique</x:t>
        </x:is>
      </x:c>
      <x:c r="C93" t="inlineStr">
        <x:is>
          <x:t xml:space="preserve">MOZ</x:t>
        </x:is>
      </x:c>
      <x:c r="D93" t="inlineStr">
        <x:is>
          <x:t xml:space="preserve">Mozambique</x:t>
        </x:is>
      </x:c>
    </x:row>
    <x:row r="94">
      <x:c r="A94" t="inlineStr">
        <x:is>
          <x:t xml:space="preserve">Naval compiled</x:t>
        </x:is>
      </x:c>
      <x:c r="B94" t="inlineStr">
        <x:is>
          <x:t xml:space="preserve">Myanmar</x:t>
        </x:is>
      </x:c>
      <x:c r="C94" t="inlineStr">
        <x:is>
          <x:t xml:space="preserve">MMR</x:t>
        </x:is>
      </x:c>
      <x:c r="D94" t="inlineStr">
        <x:is>
          <x:t xml:space="preserve">Myanmar</x:t>
        </x:is>
      </x:c>
    </x:row>
    <x:row r="95">
      <x:c r="A95" t="inlineStr">
        <x:is>
          <x:t xml:space="preserve">Naval compiled</x:t>
        </x:is>
      </x:c>
      <x:c r="B95" t="inlineStr">
        <x:is>
          <x:t xml:space="preserve">Namibia</x:t>
        </x:is>
      </x:c>
      <x:c r="C95" t="inlineStr">
        <x:is>
          <x:t xml:space="preserve">NAM</x:t>
        </x:is>
      </x:c>
      <x:c r="D95" t="inlineStr">
        <x:is>
          <x:t xml:space="preserve">Namibia</x:t>
        </x:is>
      </x:c>
    </x:row>
    <x:row r="96">
      <x:c r="A96" t="inlineStr">
        <x:is>
          <x:t xml:space="preserve">Naval compiled</x:t>
        </x:is>
      </x:c>
      <x:c r="B96" t="inlineStr">
        <x:is>
          <x:t xml:space="preserve">Netherlands</x:t>
        </x:is>
      </x:c>
      <x:c r="C96" t="inlineStr">
        <x:is>
          <x:t xml:space="preserve">NLD</x:t>
        </x:is>
      </x:c>
      <x:c r="D96" t="inlineStr">
        <x:is>
          <x:t xml:space="preserve">Netherlands</x:t>
        </x:is>
      </x:c>
    </x:row>
    <x:row r="97">
      <x:c r="A97" t="inlineStr">
        <x:is>
          <x:t xml:space="preserve">Naval compiled</x:t>
        </x:is>
      </x:c>
      <x:c r="B97" t="inlineStr">
        <x:is>
          <x:t xml:space="preserve">New Zealand</x:t>
        </x:is>
      </x:c>
      <x:c r="C97" t="inlineStr">
        <x:is>
          <x:t xml:space="preserve">NZL</x:t>
        </x:is>
      </x:c>
      <x:c r="D97" t="inlineStr">
        <x:is>
          <x:t xml:space="preserve">New Zealand</x:t>
        </x:is>
      </x:c>
    </x:row>
    <x:row r="98">
      <x:c r="A98" t="inlineStr">
        <x:is>
          <x:t xml:space="preserve">Naval compiled</x:t>
        </x:is>
      </x:c>
      <x:c r="B98" t="inlineStr">
        <x:is>
          <x:t xml:space="preserve">Nicaragua</x:t>
        </x:is>
      </x:c>
      <x:c r="C98" t="inlineStr">
        <x:is>
          <x:t xml:space="preserve">NIC</x:t>
        </x:is>
      </x:c>
      <x:c r="D98" t="inlineStr">
        <x:is>
          <x:t xml:space="preserve">Nicaragua</x:t>
        </x:is>
      </x:c>
    </x:row>
    <x:row r="99">
      <x:c r="A99" t="inlineStr">
        <x:is>
          <x:t xml:space="preserve">Naval compiled</x:t>
        </x:is>
      </x:c>
      <x:c r="B99" t="inlineStr">
        <x:is>
          <x:t xml:space="preserve">Nigeria</x:t>
        </x:is>
      </x:c>
      <x:c r="C99" t="inlineStr">
        <x:is>
          <x:t xml:space="preserve">NGA</x:t>
        </x:is>
      </x:c>
      <x:c r="D99" t="inlineStr">
        <x:is>
          <x:t xml:space="preserve">Nigeria</x:t>
        </x:is>
      </x:c>
    </x:row>
    <x:row r="100">
      <x:c r="A100" t="inlineStr">
        <x:is>
          <x:t xml:space="preserve">Naval compiled</x:t>
        </x:is>
      </x:c>
      <x:c r="B100" t="inlineStr">
        <x:is>
          <x:t xml:space="preserve">North Korea</x:t>
        </x:is>
      </x:c>
      <x:c r="C100" t="inlineStr">
        <x:is>
          <x:t xml:space="preserve">PRK</x:t>
        </x:is>
      </x:c>
      <x:c r="D100" t="inlineStr">
        <x:is>
          <x:t xml:space="preserve">Korea, Dem. People's Rep.</x:t>
        </x:is>
      </x:c>
    </x:row>
    <x:row r="101">
      <x:c r="A101" t="inlineStr">
        <x:is>
          <x:t xml:space="preserve">Naval compiled</x:t>
        </x:is>
      </x:c>
      <x:c r="B101" t="inlineStr">
        <x:is>
          <x:t xml:space="preserve">Norway</x:t>
        </x:is>
      </x:c>
      <x:c r="C101" t="inlineStr">
        <x:is>
          <x:t xml:space="preserve">NOR</x:t>
        </x:is>
      </x:c>
      <x:c r="D101" t="inlineStr">
        <x:is>
          <x:t xml:space="preserve">Norway</x:t>
        </x:is>
      </x:c>
    </x:row>
    <x:row r="102">
      <x:c r="A102" t="inlineStr">
        <x:is>
          <x:t xml:space="preserve">Naval compiled</x:t>
        </x:is>
      </x:c>
      <x:c r="B102" t="inlineStr">
        <x:is>
          <x:t xml:space="preserve">Oman</x:t>
        </x:is>
      </x:c>
      <x:c r="C102" t="inlineStr">
        <x:is>
          <x:t xml:space="preserve">OMN</x:t>
        </x:is>
      </x:c>
      <x:c r="D102" t="inlineStr">
        <x:is>
          <x:t xml:space="preserve">Oman</x:t>
        </x:is>
      </x:c>
    </x:row>
    <x:row r="103">
      <x:c r="A103" t="inlineStr">
        <x:is>
          <x:t xml:space="preserve">Naval compiled</x:t>
        </x:is>
      </x:c>
      <x:c r="B103" t="inlineStr">
        <x:is>
          <x:t xml:space="preserve">Pakistan</x:t>
        </x:is>
      </x:c>
      <x:c r="C103" t="inlineStr">
        <x:is>
          <x:t xml:space="preserve">PAK</x:t>
        </x:is>
      </x:c>
      <x:c r="D103" t="inlineStr">
        <x:is>
          <x:t xml:space="preserve">Pakistan</x:t>
        </x:is>
      </x:c>
    </x:row>
    <x:row r="104">
      <x:c r="A104" t="inlineStr">
        <x:is>
          <x:t xml:space="preserve">Naval compiled</x:t>
        </x:is>
      </x:c>
      <x:c r="B104" t="inlineStr">
        <x:is>
          <x:t xml:space="preserve">Panama</x:t>
        </x:is>
      </x:c>
      <x:c r="C104" t="inlineStr">
        <x:is>
          <x:t xml:space="preserve">PAN</x:t>
        </x:is>
      </x:c>
      <x:c r="D104" t="inlineStr">
        <x:is>
          <x:t xml:space="preserve">Panama</x:t>
        </x:is>
      </x:c>
    </x:row>
    <x:row r="105">
      <x:c r="A105" t="inlineStr">
        <x:is>
          <x:t xml:space="preserve">Naval compiled</x:t>
        </x:is>
      </x:c>
      <x:c r="B105" t="inlineStr">
        <x:is>
          <x:t xml:space="preserve">Paraguay</x:t>
        </x:is>
      </x:c>
      <x:c r="C105" t="inlineStr">
        <x:is>
          <x:t xml:space="preserve">PRY</x:t>
        </x:is>
      </x:c>
      <x:c r="D105" t="inlineStr">
        <x:is>
          <x:t xml:space="preserve">Paraguay</x:t>
        </x:is>
      </x:c>
    </x:row>
    <x:row r="106">
      <x:c r="A106" t="inlineStr">
        <x:is>
          <x:t xml:space="preserve">Naval compiled</x:t>
        </x:is>
      </x:c>
      <x:c r="B106" t="inlineStr">
        <x:is>
          <x:t xml:space="preserve">Peru</x:t>
        </x:is>
      </x:c>
      <x:c r="C106" t="inlineStr">
        <x:is>
          <x:t xml:space="preserve">PER</x:t>
        </x:is>
      </x:c>
      <x:c r="D106" t="inlineStr">
        <x:is>
          <x:t xml:space="preserve">Peru</x:t>
        </x:is>
      </x:c>
    </x:row>
    <x:row r="107">
      <x:c r="A107" t="inlineStr">
        <x:is>
          <x:t xml:space="preserve">Naval compiled</x:t>
        </x:is>
      </x:c>
      <x:c r="B107" t="inlineStr">
        <x:is>
          <x:t xml:space="preserve">Philippines</x:t>
        </x:is>
      </x:c>
      <x:c r="C107" t="inlineStr">
        <x:is>
          <x:t xml:space="preserve">PHL</x:t>
        </x:is>
      </x:c>
      <x:c r="D107" t="inlineStr">
        <x:is>
          <x:t xml:space="preserve">Philippines</x:t>
        </x:is>
      </x:c>
    </x:row>
    <x:row r="108">
      <x:c r="A108" t="inlineStr">
        <x:is>
          <x:t xml:space="preserve">Naval compiled</x:t>
        </x:is>
      </x:c>
      <x:c r="B108" t="inlineStr">
        <x:is>
          <x:t xml:space="preserve">Poland</x:t>
        </x:is>
      </x:c>
      <x:c r="C108" t="inlineStr">
        <x:is>
          <x:t xml:space="preserve">POL</x:t>
        </x:is>
      </x:c>
      <x:c r="D108" t="inlineStr">
        <x:is>
          <x:t xml:space="preserve">Poland</x:t>
        </x:is>
      </x:c>
    </x:row>
    <x:row r="109">
      <x:c r="A109" t="inlineStr">
        <x:is>
          <x:t xml:space="preserve">Naval compiled</x:t>
        </x:is>
      </x:c>
      <x:c r="B109" t="inlineStr">
        <x:is>
          <x:t xml:space="preserve">Portugal</x:t>
        </x:is>
      </x:c>
      <x:c r="C109" t="inlineStr">
        <x:is>
          <x:t xml:space="preserve">PRT</x:t>
        </x:is>
      </x:c>
      <x:c r="D109" t="inlineStr">
        <x:is>
          <x:t xml:space="preserve">Portugal</x:t>
        </x:is>
      </x:c>
    </x:row>
    <x:row r="110">
      <x:c r="A110" t="inlineStr">
        <x:is>
          <x:t xml:space="preserve">Naval compiled</x:t>
        </x:is>
      </x:c>
      <x:c r="B110" t="inlineStr">
        <x:is>
          <x:t xml:space="preserve">Qatar</x:t>
        </x:is>
      </x:c>
      <x:c r="C110" t="inlineStr">
        <x:is>
          <x:t xml:space="preserve">QAT</x:t>
        </x:is>
      </x:c>
      <x:c r="D110" t="inlineStr">
        <x:is>
          <x:t xml:space="preserve">Qatar</x:t>
        </x:is>
      </x:c>
    </x:row>
    <x:row r="111">
      <x:c r="A111" t="inlineStr">
        <x:is>
          <x:t xml:space="preserve">Naval compiled</x:t>
        </x:is>
      </x:c>
      <x:c r="B111" t="inlineStr">
        <x:is>
          <x:t xml:space="preserve">Republic of the Congo</x:t>
        </x:is>
      </x:c>
      <x:c r="C111" t="inlineStr">
        <x:is>
          <x:t xml:space="preserve">COG</x:t>
        </x:is>
      </x:c>
      <x:c r="D111" t="inlineStr">
        <x:is>
          <x:t xml:space="preserve">Congo, Rep.</x:t>
        </x:is>
      </x:c>
    </x:row>
    <x:row r="112">
      <x:c r="A112" t="inlineStr">
        <x:is>
          <x:t xml:space="preserve">Naval compiled</x:t>
        </x:is>
      </x:c>
      <x:c r="B112" t="inlineStr">
        <x:is>
          <x:t xml:space="preserve">Romania</x:t>
        </x:is>
      </x:c>
      <x:c r="C112" t="inlineStr">
        <x:is>
          <x:t xml:space="preserve">ROU</x:t>
        </x:is>
      </x:c>
      <x:c r="D112" t="inlineStr">
        <x:is>
          <x:t xml:space="preserve">Romania</x:t>
        </x:is>
      </x:c>
    </x:row>
    <x:row r="113">
      <x:c r="A113" t="inlineStr">
        <x:is>
          <x:t xml:space="preserve">Naval compiled</x:t>
        </x:is>
      </x:c>
      <x:c r="B113" t="inlineStr">
        <x:is>
          <x:t xml:space="preserve">Russia</x:t>
        </x:is>
      </x:c>
      <x:c r="C113" t="inlineStr">
        <x:is>
          <x:t xml:space="preserve">RUS</x:t>
        </x:is>
      </x:c>
      <x:c r="D113" t="inlineStr">
        <x:is>
          <x:t xml:space="preserve">Russian Federation</x:t>
        </x:is>
      </x:c>
    </x:row>
    <x:row r="114">
      <x:c r="A114" t="inlineStr">
        <x:is>
          <x:t xml:space="preserve">Naval compiled</x:t>
        </x:is>
      </x:c>
      <x:c r="B114" t="inlineStr">
        <x:is>
          <x:t xml:space="preserve">Saudi Arabia</x:t>
        </x:is>
      </x:c>
      <x:c r="C114" t="inlineStr">
        <x:is>
          <x:t xml:space="preserve">SAU</x:t>
        </x:is>
      </x:c>
      <x:c r="D114" t="inlineStr">
        <x:is>
          <x:t xml:space="preserve">Saudi Arabia</x:t>
        </x:is>
      </x:c>
    </x:row>
    <x:row r="115">
      <x:c r="A115" t="inlineStr">
        <x:is>
          <x:t xml:space="preserve">Naval compiled</x:t>
        </x:is>
      </x:c>
      <x:c r="B115" t="inlineStr">
        <x:is>
          <x:t xml:space="preserve">Senegal</x:t>
        </x:is>
      </x:c>
      <x:c r="C115" t="inlineStr">
        <x:is>
          <x:t xml:space="preserve">SEN</x:t>
        </x:is>
      </x:c>
      <x:c r="D115" t="inlineStr">
        <x:is>
          <x:t xml:space="preserve">Senegal</x:t>
        </x:is>
      </x:c>
    </x:row>
    <x:row r="116">
      <x:c r="A116" t="inlineStr">
        <x:is>
          <x:t xml:space="preserve">Naval compiled</x:t>
        </x:is>
      </x:c>
      <x:c r="B116" t="inlineStr">
        <x:is>
          <x:t xml:space="preserve">Serbia</x:t>
        </x:is>
      </x:c>
      <x:c r="C116" t="inlineStr">
        <x:is>
          <x:t xml:space="preserve">SRB</x:t>
        </x:is>
      </x:c>
      <x:c r="D116" t="inlineStr">
        <x:is>
          <x:t xml:space="preserve">Serbia</x:t>
        </x:is>
      </x:c>
    </x:row>
    <x:row r="117">
      <x:c r="A117" t="inlineStr">
        <x:is>
          <x:t xml:space="preserve">Naval compiled</x:t>
        </x:is>
      </x:c>
      <x:c r="B117" t="inlineStr">
        <x:is>
          <x:t xml:space="preserve">Sierra Leone</x:t>
        </x:is>
      </x:c>
      <x:c r="C117" t="inlineStr">
        <x:is>
          <x:t xml:space="preserve">SLE</x:t>
        </x:is>
      </x:c>
      <x:c r="D117" t="inlineStr">
        <x:is>
          <x:t xml:space="preserve">Sierra Leone</x:t>
        </x:is>
      </x:c>
    </x:row>
    <x:row r="118">
      <x:c r="A118" t="inlineStr">
        <x:is>
          <x:t xml:space="preserve">Naval compiled</x:t>
        </x:is>
      </x:c>
      <x:c r="B118" t="inlineStr">
        <x:is>
          <x:t xml:space="preserve">Singapore</x:t>
        </x:is>
      </x:c>
      <x:c r="C118" t="inlineStr">
        <x:is>
          <x:t xml:space="preserve">SGP</x:t>
        </x:is>
      </x:c>
      <x:c r="D118" t="inlineStr">
        <x:is>
          <x:t xml:space="preserve">Singapore</x:t>
        </x:is>
      </x:c>
    </x:row>
    <x:row r="119">
      <x:c r="A119" t="inlineStr">
        <x:is>
          <x:t xml:space="preserve">Naval compiled</x:t>
        </x:is>
      </x:c>
      <x:c r="B119" t="inlineStr">
        <x:is>
          <x:t xml:space="preserve">Slovenia</x:t>
        </x:is>
      </x:c>
      <x:c r="C119" t="inlineStr">
        <x:is>
          <x:t xml:space="preserve">SVN</x:t>
        </x:is>
      </x:c>
      <x:c r="D119" t="inlineStr">
        <x:is>
          <x:t xml:space="preserve">Slovenia</x:t>
        </x:is>
      </x:c>
    </x:row>
    <x:row r="120">
      <x:c r="A120" t="inlineStr">
        <x:is>
          <x:t xml:space="preserve">Naval compiled</x:t>
        </x:is>
      </x:c>
      <x:c r="B120" t="inlineStr">
        <x:is>
          <x:t xml:space="preserve">Somalia</x:t>
        </x:is>
      </x:c>
      <x:c r="C120" t="inlineStr">
        <x:is>
          <x:t xml:space="preserve">SOM</x:t>
        </x:is>
      </x:c>
      <x:c r="D120" t="inlineStr">
        <x:is>
          <x:t xml:space="preserve">Somalia, Fed. Rep.</x:t>
        </x:is>
      </x:c>
    </x:row>
    <x:row r="121">
      <x:c r="A121" t="inlineStr">
        <x:is>
          <x:t xml:space="preserve">Naval compiled</x:t>
        </x:is>
      </x:c>
      <x:c r="B121" t="inlineStr">
        <x:is>
          <x:t xml:space="preserve">South Africa</x:t>
        </x:is>
      </x:c>
      <x:c r="C121" t="inlineStr">
        <x:is>
          <x:t xml:space="preserve">ZAF</x:t>
        </x:is>
      </x:c>
      <x:c r="D121" t="inlineStr">
        <x:is>
          <x:t xml:space="preserve">South Africa</x:t>
        </x:is>
      </x:c>
    </x:row>
    <x:row r="122">
      <x:c r="A122" t="inlineStr">
        <x:is>
          <x:t xml:space="preserve">Naval compiled</x:t>
        </x:is>
      </x:c>
      <x:c r="B122" t="inlineStr">
        <x:is>
          <x:t xml:space="preserve">South Korea</x:t>
        </x:is>
      </x:c>
      <x:c r="C122" t="inlineStr">
        <x:is>
          <x:t xml:space="preserve">KOR</x:t>
        </x:is>
      </x:c>
      <x:c r="D122" t="inlineStr">
        <x:is>
          <x:t xml:space="preserve">Korea, Rep.</x:t>
        </x:is>
      </x:c>
    </x:row>
    <x:row r="123">
      <x:c r="A123" t="inlineStr">
        <x:is>
          <x:t xml:space="preserve">Naval compiled</x:t>
        </x:is>
      </x:c>
      <x:c r="B123" t="inlineStr">
        <x:is>
          <x:t xml:space="preserve">Spain</x:t>
        </x:is>
      </x:c>
      <x:c r="C123" t="inlineStr">
        <x:is>
          <x:t xml:space="preserve">ESP</x:t>
        </x:is>
      </x:c>
      <x:c r="D123" t="inlineStr">
        <x:is>
          <x:t xml:space="preserve">Spain</x:t>
        </x:is>
      </x:c>
    </x:row>
    <x:row r="124">
      <x:c r="A124" t="inlineStr">
        <x:is>
          <x:t xml:space="preserve">Naval compiled</x:t>
        </x:is>
      </x:c>
      <x:c r="B124" t="inlineStr">
        <x:is>
          <x:t xml:space="preserve">Sri Lanka</x:t>
        </x:is>
      </x:c>
      <x:c r="C124" t="inlineStr">
        <x:is>
          <x:t xml:space="preserve">LKA</x:t>
        </x:is>
      </x:c>
      <x:c r="D124" t="inlineStr">
        <x:is>
          <x:t xml:space="preserve">Sri Lanka</x:t>
        </x:is>
      </x:c>
    </x:row>
    <x:row r="125">
      <x:c r="A125" t="inlineStr">
        <x:is>
          <x:t xml:space="preserve">Naval compiled</x:t>
        </x:is>
      </x:c>
      <x:c r="B125" t="inlineStr">
        <x:is>
          <x:t xml:space="preserve">Sudan</x:t>
        </x:is>
      </x:c>
      <x:c r="C125" t="inlineStr">
        <x:is>
          <x:t xml:space="preserve">SDN</x:t>
        </x:is>
      </x:c>
      <x:c r="D125" t="inlineStr">
        <x:is>
          <x:t xml:space="preserve">Sudan</x:t>
        </x:is>
      </x:c>
    </x:row>
    <x:row r="126">
      <x:c r="A126" t="inlineStr">
        <x:is>
          <x:t xml:space="preserve">Naval compiled</x:t>
        </x:is>
      </x:c>
      <x:c r="B126" t="inlineStr">
        <x:is>
          <x:t xml:space="preserve">Suriname</x:t>
        </x:is>
      </x:c>
      <x:c r="C126" t="inlineStr">
        <x:is>
          <x:t xml:space="preserve">SUR</x:t>
        </x:is>
      </x:c>
      <x:c r="D126" t="inlineStr">
        <x:is>
          <x:t xml:space="preserve">Suriname</x:t>
        </x:is>
      </x:c>
    </x:row>
    <x:row r="127">
      <x:c r="A127" t="inlineStr">
        <x:is>
          <x:t xml:space="preserve">Naval compiled</x:t>
        </x:is>
      </x:c>
      <x:c r="B127" t="inlineStr">
        <x:is>
          <x:t xml:space="preserve">Sweden</x:t>
        </x:is>
      </x:c>
      <x:c r="C127" t="inlineStr">
        <x:is>
          <x:t xml:space="preserve">SWE</x:t>
        </x:is>
      </x:c>
      <x:c r="D127" t="inlineStr">
        <x:is>
          <x:t xml:space="preserve">Sweden</x:t>
        </x:is>
      </x:c>
    </x:row>
    <x:row r="128">
      <x:c r="A128" t="inlineStr">
        <x:is>
          <x:t xml:space="preserve">Naval compiled</x:t>
        </x:is>
      </x:c>
      <x:c r="B128" t="inlineStr">
        <x:is>
          <x:t xml:space="preserve">Syria</x:t>
        </x:is>
      </x:c>
      <x:c r="C128" t="inlineStr">
        <x:is>
          <x:t xml:space="preserve">SYR</x:t>
        </x:is>
      </x:c>
      <x:c r="D128" t="inlineStr">
        <x:is>
          <x:t xml:space="preserve">Syrian Arab Republic</x:t>
        </x:is>
      </x:c>
    </x:row>
    <x:row r="129">
      <x:c r="A129" t="inlineStr">
        <x:is>
          <x:t xml:space="preserve">Naval compiled</x:t>
        </x:is>
      </x:c>
      <x:c r="B129" t="inlineStr">
        <x:is>
          <x:t xml:space="preserve">Taiwan</x:t>
        </x:is>
      </x:c>
      <x:c r="C129" t="inlineStr">
        <x:is>
          <x:t xml:space="preserve">TWN</x:t>
        </x:is>
      </x:c>
      <x:c r="D129" t="inlineStr">
        <x:is>
          <x:t xml:space="preserve">Taiwan</x:t>
        </x:is>
      </x:c>
    </x:row>
    <x:row r="130">
      <x:c r="A130" t="inlineStr">
        <x:is>
          <x:t xml:space="preserve">Naval compiled</x:t>
        </x:is>
      </x:c>
      <x:c r="B130" t="inlineStr">
        <x:is>
          <x:t xml:space="preserve">Tanzania</x:t>
        </x:is>
      </x:c>
      <x:c r="C130" t="inlineStr">
        <x:is>
          <x:t xml:space="preserve">TZA</x:t>
        </x:is>
      </x:c>
      <x:c r="D130" t="inlineStr">
        <x:is>
          <x:t xml:space="preserve">Tanzania</x:t>
        </x:is>
      </x:c>
    </x:row>
    <x:row r="131">
      <x:c r="A131" t="inlineStr">
        <x:is>
          <x:t xml:space="preserve">Naval compiled</x:t>
        </x:is>
      </x:c>
      <x:c r="B131" t="inlineStr">
        <x:is>
          <x:t xml:space="preserve">Thailand</x:t>
        </x:is>
      </x:c>
      <x:c r="C131" t="inlineStr">
        <x:is>
          <x:t xml:space="preserve">THA</x:t>
        </x:is>
      </x:c>
      <x:c r="D131" t="inlineStr">
        <x:is>
          <x:t xml:space="preserve">Thailand</x:t>
        </x:is>
      </x:c>
    </x:row>
    <x:row r="132">
      <x:c r="A132" t="inlineStr">
        <x:is>
          <x:t xml:space="preserve">Naval compiled</x:t>
        </x:is>
      </x:c>
      <x:c r="B132" t="inlineStr">
        <x:is>
          <x:t xml:space="preserve">Tunisia</x:t>
        </x:is>
      </x:c>
      <x:c r="C132" t="inlineStr">
        <x:is>
          <x:t xml:space="preserve">TUN</x:t>
        </x:is>
      </x:c>
      <x:c r="D132" t="inlineStr">
        <x:is>
          <x:t xml:space="preserve">Tunisia</x:t>
        </x:is>
      </x:c>
    </x:row>
    <x:row r="133">
      <x:c r="A133" t="inlineStr">
        <x:is>
          <x:t xml:space="preserve">Naval compiled</x:t>
        </x:is>
      </x:c>
      <x:c r="B133" t="inlineStr">
        <x:is>
          <x:t xml:space="preserve">Turkey</x:t>
        </x:is>
      </x:c>
      <x:c r="C133" t="inlineStr">
        <x:is>
          <x:t xml:space="preserve">TUR</x:t>
        </x:is>
      </x:c>
      <x:c r="D133" t="inlineStr">
        <x:is>
          <x:t xml:space="preserve">Türkiye</x:t>
        </x:is>
      </x:c>
    </x:row>
    <x:row r="134">
      <x:c r="A134" t="inlineStr">
        <x:is>
          <x:t xml:space="preserve">Naval compiled</x:t>
        </x:is>
      </x:c>
      <x:c r="B134" t="inlineStr">
        <x:is>
          <x:t xml:space="preserve">Turkmenistan</x:t>
        </x:is>
      </x:c>
      <x:c r="C134" t="inlineStr">
        <x:is>
          <x:t xml:space="preserve">TKM</x:t>
        </x:is>
      </x:c>
      <x:c r="D134" t="inlineStr">
        <x:is>
          <x:t xml:space="preserve">Turkmenistan</x:t>
        </x:is>
      </x:c>
    </x:row>
    <x:row r="135">
      <x:c r="A135" t="inlineStr">
        <x:is>
          <x:t xml:space="preserve">Naval compiled</x:t>
        </x:is>
      </x:c>
      <x:c r="B135" t="inlineStr">
        <x:is>
          <x:t xml:space="preserve">Ukraine</x:t>
        </x:is>
      </x:c>
      <x:c r="C135" t="inlineStr">
        <x:is>
          <x:t xml:space="preserve">UKR</x:t>
        </x:is>
      </x:c>
      <x:c r="D135" t="inlineStr">
        <x:is>
          <x:t xml:space="preserve">Ukraine</x:t>
        </x:is>
      </x:c>
    </x:row>
    <x:row r="136">
      <x:c r="A136" t="inlineStr">
        <x:is>
          <x:t xml:space="preserve">Naval compiled</x:t>
        </x:is>
      </x:c>
      <x:c r="B136" t="inlineStr">
        <x:is>
          <x:t xml:space="preserve">United Arab Emirates</x:t>
        </x:is>
      </x:c>
      <x:c r="C136" t="inlineStr">
        <x:is>
          <x:t xml:space="preserve">ARE</x:t>
        </x:is>
      </x:c>
      <x:c r="D136" t="inlineStr">
        <x:is>
          <x:t xml:space="preserve">United Arab Emirates</x:t>
        </x:is>
      </x:c>
    </x:row>
    <x:row r="137">
      <x:c r="A137" t="inlineStr">
        <x:is>
          <x:t xml:space="preserve">Naval compiled</x:t>
        </x:is>
      </x:c>
      <x:c r="B137" t="inlineStr">
        <x:is>
          <x:t xml:space="preserve">United Kingdom</x:t>
        </x:is>
      </x:c>
      <x:c r="C137" t="inlineStr">
        <x:is>
          <x:t xml:space="preserve">GBR</x:t>
        </x:is>
      </x:c>
      <x:c r="D137" t="inlineStr">
        <x:is>
          <x:t xml:space="preserve">United Kingdom</x:t>
        </x:is>
      </x:c>
    </x:row>
    <x:row r="138">
      <x:c r="A138" t="inlineStr">
        <x:is>
          <x:t xml:space="preserve">Naval compiled</x:t>
        </x:is>
      </x:c>
      <x:c r="B138" t="inlineStr">
        <x:is>
          <x:t xml:space="preserve">United States</x:t>
        </x:is>
      </x:c>
      <x:c r="C138" t="inlineStr">
        <x:is>
          <x:t xml:space="preserve">USA</x:t>
        </x:is>
      </x:c>
      <x:c r="D138" t="inlineStr">
        <x:is>
          <x:t xml:space="preserve">United States</x:t>
        </x:is>
      </x:c>
    </x:row>
    <x:row r="139">
      <x:c r="A139" t="inlineStr">
        <x:is>
          <x:t xml:space="preserve">Naval compiled</x:t>
        </x:is>
      </x:c>
      <x:c r="B139" t="inlineStr">
        <x:is>
          <x:t xml:space="preserve">Uruguay</x:t>
        </x:is>
      </x:c>
      <x:c r="C139" t="inlineStr">
        <x:is>
          <x:t xml:space="preserve">URY</x:t>
        </x:is>
      </x:c>
      <x:c r="D139" t="inlineStr">
        <x:is>
          <x:t xml:space="preserve">Uruguay</x:t>
        </x:is>
      </x:c>
    </x:row>
    <x:row r="140">
      <x:c r="A140" t="inlineStr">
        <x:is>
          <x:t xml:space="preserve">Naval compiled</x:t>
        </x:is>
      </x:c>
      <x:c r="B140" t="inlineStr">
        <x:is>
          <x:t xml:space="preserve">Venezuela</x:t>
        </x:is>
      </x:c>
      <x:c r="C140" t="inlineStr">
        <x:is>
          <x:t xml:space="preserve">VEN</x:t>
        </x:is>
      </x:c>
      <x:c r="D140" t="inlineStr">
        <x:is>
          <x:t xml:space="preserve">Venezuela, RB</x:t>
        </x:is>
      </x:c>
    </x:row>
    <x:row r="141">
      <x:c r="A141" t="inlineStr">
        <x:is>
          <x:t xml:space="preserve">Naval compiled</x:t>
        </x:is>
      </x:c>
      <x:c r="B141" t="inlineStr">
        <x:is>
          <x:t xml:space="preserve">Vietnam</x:t>
        </x:is>
      </x:c>
      <x:c r="C141" t="inlineStr">
        <x:is>
          <x:t xml:space="preserve">VNM</x:t>
        </x:is>
      </x:c>
      <x:c r="D141" t="inlineStr">
        <x:is>
          <x:t xml:space="preserve">Viet Nam</x:t>
        </x:is>
      </x:c>
    </x:row>
    <x:row r="142">
      <x:c r="A142" t="inlineStr">
        <x:is>
          <x:t xml:space="preserve">Naval compiled</x:t>
        </x:is>
      </x:c>
      <x:c r="B142" t="inlineStr">
        <x:is>
          <x:t xml:space="preserve">Yemen</x:t>
        </x:is>
      </x:c>
      <x:c r="C142" t="inlineStr">
        <x:is>
          <x:t xml:space="preserve">YEM</x:t>
        </x:is>
      </x:c>
      <x:c r="D142" t="inlineStr">
        <x:is>
          <x:t xml:space="preserve">Yemen, Rep.</x:t>
        </x:is>
      </x:c>
    </x:row>
  </x:sheetData>
  <x:pageMargins left="0.7" right="0.7" top="0.75" bottom="0.75" header="0.3" footer="0.3"/>
</x:worksheet>
</file>